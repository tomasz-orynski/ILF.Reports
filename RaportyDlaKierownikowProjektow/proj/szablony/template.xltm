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orkbookTemplate" defaultThemeVersion="124226"/>
  <bookViews>
    <workbookView xWindow="2014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O24" i="1" l="1"/>
  <c r="O23" i="1"/>
  <c r="O17" i="1"/>
  <c r="O16" i="1"/>
  <c r="M24" i="1" l="1"/>
  <c r="M23" i="1"/>
  <c r="M17" i="1"/>
  <c r="M16" i="1"/>
  <c r="K24" i="1" l="1"/>
  <c r="J24" i="1"/>
  <c r="K23" i="1"/>
  <c r="J23" i="1"/>
  <c r="K16" i="1"/>
  <c r="G24" i="1" l="1"/>
  <c r="G23" i="1"/>
  <c r="G17" i="1"/>
  <c r="G16" i="1"/>
  <c r="J16" i="1" l="1"/>
  <c r="K17" i="1"/>
  <c r="J17" i="1"/>
  <c r="F24" i="1" l="1"/>
  <c r="F23" i="1"/>
  <c r="N23" i="1" l="1"/>
  <c r="N24" i="1"/>
  <c r="F17" i="1"/>
  <c r="F16" i="1" l="1"/>
  <c r="N16" i="1" l="1"/>
  <c r="N17" i="1"/>
</calcChain>
</file>

<file path=xl/sharedStrings.xml><?xml version="1.0" encoding="utf-8"?>
<sst xmlns="http://schemas.openxmlformats.org/spreadsheetml/2006/main" count="71" uniqueCount="47">
  <si>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</si>
  <si>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</si>
  <si>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</si>
  <si>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</si>
  <si>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</si>
  <si>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</si>
  <si>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</si>
  <si>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</si>
  <si>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</si>
  <si>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</si>
  <si>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</si>
  <si>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</si>
  <si>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</si>
  <si>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</si>
  <si>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</si>
  <si>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</si>
  <si>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</si>
  <si>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</si>
  <si>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</si>
  <si>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</si>
  <si>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</si>
  <si>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</si>
  <si>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</si>
  <si>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</si>
  <si>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</si>
  <si>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</si>
  <si>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</si>
  <si>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</si>
  <si>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</si>
  <si>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</si>
  <si>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</si>
  <si>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</si>
  <si>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</si>
  <si>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</si>
  <si>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</si>
  <si>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xxx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</si>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</sst>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#,##0\ &quot;€&quot;"/>
    <numFmt numFmtId="165" formatCode="0.0%"/>
  </numFmts>
  <fonts count="24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8">
    <xf numFmtId="0" fontId="0" fillId="0" borderId="0" xfId="0"/>
    <xf numFmtId="2" fontId="3" fillId="0" borderId="2" xfId="0" applyNumberFormat="1" applyFont="1" applyBorder="1" applyAlignment="1" applyProtection="1">
      <alignment horizontal="center" vertical="center" wrapText="1"/>
      <protection locked="0"/>
    </xf>
    <xf numFmtId="2" fontId="3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2" fontId="3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Border="1" applyProtection="1">
      <protection locked="0"/>
    </xf>
    <xf numFmtId="164" fontId="0" fillId="0" borderId="0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3" fontId="8" fillId="0" borderId="12" xfId="0" applyNumberFormat="1" applyFont="1" applyBorder="1" applyAlignment="1" applyProtection="1">
      <alignment horizontal="center" vertical="center"/>
      <protection locked="0"/>
    </xf>
    <xf numFmtId="3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4" fontId="4" fillId="0" borderId="7" xfId="0" applyNumberFormat="1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18" fillId="0" borderId="11" xfId="16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7" fillId="4" borderId="12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18" fillId="0" borderId="0" xfId="16" applyBorder="1" applyAlignment="1" applyProtection="1">
      <alignment horizontal="center" vertical="center"/>
      <protection locked="0"/>
    </xf>
    <xf numFmtId="10" fontId="9" fillId="0" borderId="0" xfId="0" applyNumberFormat="1" applyFont="1" applyBorder="1" applyProtection="1">
      <protection locked="0"/>
    </xf>
    <xf numFmtId="10" fontId="0" fillId="0" borderId="0" xfId="1" applyNumberFormat="1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14" fontId="4" fillId="0" borderId="8" xfId="0" applyNumberFormat="1" applyFont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 applyProtection="1">
      <alignment horizontal="center" vertical="center" wrapText="1"/>
      <protection locked="0"/>
    </xf>
    <xf numFmtId="0" fontId="4" fillId="4" borderId="15" xfId="0" applyFont="1" applyFill="1" applyBorder="1" applyAlignment="1" applyProtection="1">
      <alignment horizontal="center" vertical="center" wrapText="1"/>
      <protection locked="0"/>
    </xf>
    <xf numFmtId="0" fontId="4" fillId="4" borderId="16" xfId="0" applyFont="1" applyFill="1" applyBorder="1" applyAlignment="1" applyProtection="1">
      <alignment horizontal="center" vertical="center" wrapText="1"/>
      <protection locked="0"/>
    </xf>
    <xf numFmtId="0" fontId="4" fillId="5" borderId="12" xfId="0" applyFont="1" applyFill="1" applyBorder="1" applyAlignment="1" applyProtection="1">
      <alignment horizontal="center" vertical="center" wrapText="1"/>
      <protection locked="0"/>
    </xf>
    <xf numFmtId="165" fontId="8" fillId="0" borderId="12" xfId="0" applyNumberFormat="1" applyFont="1" applyBorder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center" vertical="center" wrapText="1"/>
      <protection locked="0"/>
    </xf>
    <xf numFmtId="165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0" fontId="20" fillId="0" borderId="4" xfId="0" applyFont="1" applyBorder="1" applyAlignment="1" applyProtection="1">
      <alignment horizontal="center" vertical="center"/>
      <protection locked="0"/>
    </xf>
    <xf numFmtId="14" fontId="4" fillId="0" borderId="6" xfId="0" applyNumberFormat="1" applyFont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>
      <alignment horizontal="left" vertical="top"/>
    </xf>
    <xf numFmtId="0" fontId="21" fillId="0" borderId="4" xfId="0" applyFont="1" applyBorder="1" applyAlignment="1">
      <alignment horizontal="left" vertical="top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>
      <alignment horizontal="left" vertical="top"/>
    </xf>
    <xf numFmtId="0" fontId="21" fillId="0" borderId="9" xfId="0" applyFont="1" applyBorder="1" applyAlignment="1">
      <alignment horizontal="left" vertical="top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>
      <alignment horizontal="left" vertical="top"/>
    </xf>
    <xf numFmtId="0" fontId="21" fillId="0" borderId="11" xfId="0" applyFont="1" applyBorder="1" applyAlignment="1">
      <alignment horizontal="left" vertical="top"/>
    </xf>
    <xf numFmtId="0" fontId="10" fillId="0" borderId="3" xfId="0" applyFont="1" applyBorder="1" applyAlignment="1" applyProtection="1">
      <alignment horizontal="left" vertical="distributed" wrapText="1"/>
      <protection locked="0"/>
    </xf>
    <xf numFmtId="0" fontId="0" fillId="0" borderId="3" xfId="0" applyBorder="1" applyAlignment="1">
      <alignment horizontal="left" vertical="distributed" wrapText="1"/>
    </xf>
    <xf numFmtId="0" fontId="0" fillId="0" borderId="0" xfId="0" applyAlignment="1">
      <alignment horizontal="left" vertical="distributed" wrapText="1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199"/>
  <sheetViews>
    <sheetView showGridLines="0" tabSelected="1" zoomScale="70" zoomScaleNormal="70" workbookViewId="0">
      <selection activeCell="F5" sqref="F5:O7"/>
    </sheetView>
  </sheetViews>
  <sheetFormatPr defaultColWidth="0" defaultRowHeight="12.75" zeroHeight="1" x14ac:dyDescent="0.2"/>
  <cols>
    <col min="1" max="1" width="5.7109375" style="4" customWidth="1"/>
    <col min="2" max="2" width="17.28515625" style="4" customWidth="1"/>
    <col min="3" max="3" width="36" style="4" customWidth="1"/>
    <col min="4" max="15" width="16.7109375" style="4" customWidth="1"/>
    <col min="16" max="16" width="5.7109375" style="4" customWidth="1"/>
    <col min="17" max="37" width="16.85546875" style="4" hidden="1" customWidth="1"/>
    <col min="38" max="38" width="18.85546875" style="4" hidden="1" customWidth="1"/>
    <col min="39" max="40" width="20.28515625" style="4" hidden="1" customWidth="1"/>
    <col min="41" max="42" width="26.42578125" style="4" hidden="1" customWidth="1"/>
    <col min="43" max="187" width="10.5703125" style="4" hidden="1" customWidth="1"/>
    <col min="188" max="189" width="15.42578125" style="4" hidden="1" customWidth="1"/>
    <col min="190" max="16383" width="15.28515625" style="4" hidden="1"/>
    <col min="16384" max="16384" width="0.42578125" style="4" customWidth="1"/>
  </cols>
  <sheetData>
    <row r="1" spans="1:19" s="7" customFormat="1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9" s="7" customFormat="1" ht="33.75" customHeight="1" thickBot="1" x14ac:dyDescent="0.25">
      <c r="A2" s="5"/>
      <c r="B2" s="47" t="s">
        <v>6</v>
      </c>
      <c r="C2" s="48"/>
      <c r="D2" s="33"/>
      <c r="E2" s="4"/>
      <c r="F2" s="49" t="s">
        <v>15</v>
      </c>
      <c r="G2" s="50"/>
      <c r="H2" s="23">
        <v>42736</v>
      </c>
      <c r="I2" s="23" t="s">
        <v>14</v>
      </c>
      <c r="J2" s="39">
        <v>42736</v>
      </c>
      <c r="K2" s="6"/>
      <c r="L2" s="6"/>
      <c r="M2" s="6"/>
      <c r="N2" s="6"/>
    </row>
    <row r="3" spans="1:19" s="7" customFormat="1" ht="33.75" customHeight="1" thickBot="1" x14ac:dyDescent="0.25">
      <c r="A3" s="5"/>
      <c r="B3" s="8" t="s">
        <v>7</v>
      </c>
      <c r="C3" s="24" t="s">
        <v>8</v>
      </c>
      <c r="D3" s="34"/>
      <c r="E3" s="6"/>
      <c r="F3" s="4"/>
      <c r="G3" s="4"/>
      <c r="H3" s="4"/>
      <c r="I3" s="4"/>
      <c r="J3" s="4"/>
      <c r="K3" s="6"/>
      <c r="L3" s="6"/>
      <c r="M3" s="6"/>
      <c r="N3" s="6"/>
    </row>
    <row r="4" spans="1:19" s="7" customFormat="1" ht="33.75" customHeight="1" thickBot="1" x14ac:dyDescent="0.25">
      <c r="A4" s="5"/>
      <c r="B4" s="8" t="s">
        <v>9</v>
      </c>
      <c r="C4" s="24" t="s">
        <v>35</v>
      </c>
      <c r="D4" s="34"/>
      <c r="E4" s="6"/>
      <c r="F4" s="51" t="s">
        <v>5</v>
      </c>
      <c r="G4" s="52"/>
      <c r="N4" s="6"/>
    </row>
    <row r="5" spans="1:19" s="7" customFormat="1" ht="33.75" customHeight="1" x14ac:dyDescent="0.2">
      <c r="A5" s="5"/>
      <c r="B5" s="8" t="s">
        <v>0</v>
      </c>
      <c r="C5" s="9" t="s">
        <v>35</v>
      </c>
      <c r="D5" s="14"/>
      <c r="E5" s="6"/>
      <c r="F5" s="53"/>
      <c r="G5" s="54"/>
      <c r="H5" s="54"/>
      <c r="I5" s="54"/>
      <c r="J5" s="54"/>
      <c r="K5" s="54"/>
      <c r="L5" s="54"/>
      <c r="M5" s="54"/>
      <c r="N5" s="55"/>
      <c r="O5" s="56"/>
    </row>
    <row r="6" spans="1:19" s="7" customFormat="1" ht="33.75" customHeight="1" x14ac:dyDescent="0.2">
      <c r="A6" s="5"/>
      <c r="B6" s="10" t="s">
        <v>10</v>
      </c>
      <c r="C6" s="25" t="s">
        <v>35</v>
      </c>
      <c r="D6" s="34"/>
      <c r="E6" s="6"/>
      <c r="F6" s="57"/>
      <c r="G6" s="58"/>
      <c r="H6" s="58"/>
      <c r="I6" s="58"/>
      <c r="J6" s="58"/>
      <c r="K6" s="58"/>
      <c r="L6" s="58"/>
      <c r="M6" s="58"/>
      <c r="N6" s="59"/>
      <c r="O6" s="60"/>
    </row>
    <row r="7" spans="1:19" s="7" customFormat="1" ht="33.75" customHeight="1" thickBot="1" x14ac:dyDescent="0.25">
      <c r="A7" s="5"/>
      <c r="B7" s="10" t="s">
        <v>11</v>
      </c>
      <c r="C7" s="25" t="s">
        <v>35</v>
      </c>
      <c r="D7" s="34"/>
      <c r="E7" s="6"/>
      <c r="F7" s="61"/>
      <c r="G7" s="62"/>
      <c r="H7" s="62"/>
      <c r="I7" s="62"/>
      <c r="J7" s="62"/>
      <c r="K7" s="62"/>
      <c r="L7" s="62"/>
      <c r="M7" s="62"/>
      <c r="N7" s="63"/>
      <c r="O7" s="64"/>
    </row>
    <row r="8" spans="1:19" s="7" customFormat="1" ht="33.75" customHeight="1" x14ac:dyDescent="0.2">
      <c r="A8" s="5"/>
      <c r="B8" s="10" t="s">
        <v>1</v>
      </c>
      <c r="C8" s="11" t="s">
        <v>35</v>
      </c>
      <c r="D8" s="14"/>
      <c r="E8" s="6"/>
      <c r="F8" s="65" t="s">
        <v>34</v>
      </c>
      <c r="G8" s="66"/>
      <c r="H8" s="66"/>
      <c r="I8" s="66"/>
      <c r="J8" s="66"/>
      <c r="K8" s="66"/>
      <c r="L8" s="66"/>
      <c r="M8" s="66"/>
      <c r="N8" s="6"/>
    </row>
    <row r="9" spans="1:19" s="7" customFormat="1" ht="33.75" customHeight="1" thickBot="1" x14ac:dyDescent="0.25">
      <c r="A9" s="5"/>
      <c r="B9" s="12"/>
      <c r="C9" s="26"/>
      <c r="D9" s="35"/>
      <c r="E9" s="6"/>
      <c r="F9" s="67"/>
      <c r="G9" s="67"/>
      <c r="H9" s="67"/>
      <c r="I9" s="67"/>
      <c r="J9" s="67"/>
      <c r="K9" s="67"/>
      <c r="L9" s="67"/>
      <c r="M9" s="67"/>
      <c r="N9" s="6"/>
    </row>
    <row r="10" spans="1:19" s="7" customFormat="1" ht="15.75" x14ac:dyDescent="0.2">
      <c r="A10" s="5"/>
      <c r="B10" s="13"/>
      <c r="C10" s="14"/>
      <c r="D10" s="14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9" s="7" customFormat="1" x14ac:dyDescent="0.2">
      <c r="A11" s="5"/>
    </row>
    <row r="12" spans="1:19" s="7" customFormat="1" x14ac:dyDescent="0.2">
      <c r="A12" s="5"/>
      <c r="B12" s="15" t="s">
        <v>16</v>
      </c>
      <c r="C12" s="16"/>
      <c r="D12" s="16"/>
      <c r="E12" s="16"/>
      <c r="F12" s="17"/>
      <c r="G12" s="17"/>
      <c r="H12" s="18"/>
      <c r="K12" s="19"/>
      <c r="M12" s="27"/>
    </row>
    <row r="13" spans="1:19" s="7" customFormat="1" x14ac:dyDescent="0.2">
      <c r="A13" s="5"/>
    </row>
    <row r="14" spans="1:19" s="7" customFormat="1" x14ac:dyDescent="0.2">
      <c r="A14" s="5"/>
      <c r="B14" s="28"/>
      <c r="C14" s="28"/>
      <c r="D14" s="28" t="s">
        <v>2</v>
      </c>
      <c r="E14" s="28" t="s">
        <v>3</v>
      </c>
      <c r="F14" s="28" t="s">
        <v>13</v>
      </c>
      <c r="G14" s="28" t="s">
        <v>4</v>
      </c>
      <c r="H14" s="28" t="s">
        <v>25</v>
      </c>
      <c r="I14" s="28" t="s">
        <v>43</v>
      </c>
      <c r="J14" s="29" t="s">
        <v>44</v>
      </c>
      <c r="K14" s="29" t="s">
        <v>45</v>
      </c>
      <c r="L14" s="28" t="s">
        <v>24</v>
      </c>
      <c r="M14" s="28" t="s">
        <v>46</v>
      </c>
      <c r="N14" s="28" t="s">
        <v>27</v>
      </c>
      <c r="O14" s="28" t="s">
        <v>28</v>
      </c>
      <c r="P14" s="22"/>
    </row>
    <row r="15" spans="1:19" s="7" customFormat="1" ht="76.5" x14ac:dyDescent="0.2">
      <c r="A15" s="5"/>
      <c r="B15" s="30" t="s">
        <v>17</v>
      </c>
      <c r="C15" s="30" t="s">
        <v>33</v>
      </c>
      <c r="D15" s="30" t="s">
        <v>18</v>
      </c>
      <c r="E15" s="30" t="s">
        <v>19</v>
      </c>
      <c r="F15" s="30" t="s">
        <v>20</v>
      </c>
      <c r="G15" s="30" t="s">
        <v>12</v>
      </c>
      <c r="H15" s="30" t="s">
        <v>30</v>
      </c>
      <c r="I15" s="30" t="s">
        <v>21</v>
      </c>
      <c r="J15" s="31" t="s">
        <v>23</v>
      </c>
      <c r="K15" s="31" t="s">
        <v>22</v>
      </c>
      <c r="L15" s="30" t="s">
        <v>31</v>
      </c>
      <c r="M15" s="30" t="s">
        <v>26</v>
      </c>
      <c r="N15" s="32" t="s">
        <v>32</v>
      </c>
      <c r="O15" s="30" t="s">
        <v>29</v>
      </c>
    </row>
    <row r="16" spans="1:19" s="7" customFormat="1" x14ac:dyDescent="0.2">
      <c r="A16" s="5"/>
      <c r="B16" s="20"/>
      <c r="C16" s="20"/>
      <c r="D16" s="20">
        <v>2</v>
      </c>
      <c r="E16" s="20">
        <v>1</v>
      </c>
      <c r="F16" s="20">
        <f>E16-D16</f>
        <v>-1</v>
      </c>
      <c r="G16" s="44">
        <f>IF(D16=0,0,ABS(F16/D16))</f>
        <v>0.5</v>
      </c>
      <c r="H16" s="20">
        <v>1</v>
      </c>
      <c r="I16" s="20">
        <v>1696.75</v>
      </c>
      <c r="J16" s="46">
        <f>IF(H16=0,"No plan at start",I16/H16)</f>
        <v>1696.75</v>
      </c>
      <c r="K16" s="21">
        <f>H16-I16</f>
        <v>-1695.75</v>
      </c>
      <c r="L16" s="20">
        <v>1</v>
      </c>
      <c r="M16" s="20">
        <f>I16+L16</f>
        <v>1697.75</v>
      </c>
      <c r="N16" s="20">
        <f>M16-H16</f>
        <v>1696.75</v>
      </c>
      <c r="O16" s="44">
        <f>IF(H16=0,"No plan at start",M16/H16)</f>
        <v>1697.75</v>
      </c>
      <c r="P16" s="36"/>
      <c r="Q16" s="37"/>
      <c r="R16" s="38"/>
      <c r="S16" s="38"/>
    </row>
    <row r="17" spans="1:19" s="7" customFormat="1" x14ac:dyDescent="0.2">
      <c r="A17" s="5"/>
      <c r="B17" s="20"/>
      <c r="C17" s="20"/>
      <c r="D17" s="20">
        <v>0</v>
      </c>
      <c r="E17" s="20">
        <v>4</v>
      </c>
      <c r="F17" s="20">
        <f>E17-D17</f>
        <v>4</v>
      </c>
      <c r="G17" s="44">
        <f>IF(D17=0,0,ABS(F17/D17))</f>
        <v>0</v>
      </c>
      <c r="H17" s="20">
        <v>1</v>
      </c>
      <c r="I17" s="20">
        <v>210.75</v>
      </c>
      <c r="J17" s="46">
        <f t="shared" ref="J17" si="0">IF(H17=0,"No plan at start",I17/H17)</f>
        <v>210.75</v>
      </c>
      <c r="K17" s="21">
        <f>H17-I17</f>
        <v>-209.75</v>
      </c>
      <c r="L17" s="20">
        <v>5</v>
      </c>
      <c r="M17" s="20">
        <f>I17+L17</f>
        <v>215.75</v>
      </c>
      <c r="N17" s="20">
        <f>M17-H17</f>
        <v>214.75</v>
      </c>
      <c r="O17" s="44">
        <f>IF(H17=0,"No plan at start",M17/H17)</f>
        <v>215.75</v>
      </c>
      <c r="P17" s="36"/>
      <c r="Q17" s="37"/>
      <c r="R17" s="38"/>
      <c r="S17" s="38"/>
    </row>
    <row r="18" spans="1:19" s="7" customFormat="1" ht="28.5" customHeight="1" x14ac:dyDescent="0.2">
      <c r="A18" s="5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9" x14ac:dyDescent="0.2">
      <c r="B19" s="15" t="s">
        <v>36</v>
      </c>
      <c r="C19" s="16"/>
      <c r="D19" s="16"/>
      <c r="E19" s="16"/>
      <c r="F19" s="17"/>
      <c r="G19" s="17"/>
      <c r="H19" s="18"/>
      <c r="I19" s="7"/>
      <c r="J19" s="7"/>
      <c r="K19" s="19"/>
      <c r="L19" s="7"/>
      <c r="M19" s="27"/>
      <c r="N19" s="7"/>
      <c r="O19" s="7"/>
    </row>
    <row r="20" spans="1:19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9" x14ac:dyDescent="0.2">
      <c r="B21" s="28"/>
      <c r="C21" s="28"/>
      <c r="D21" s="28" t="s">
        <v>2</v>
      </c>
      <c r="E21" s="28" t="s">
        <v>3</v>
      </c>
      <c r="F21" s="28" t="s">
        <v>13</v>
      </c>
      <c r="G21" s="28" t="s">
        <v>4</v>
      </c>
      <c r="H21" s="28" t="s">
        <v>25</v>
      </c>
      <c r="I21" s="28" t="s">
        <v>43</v>
      </c>
      <c r="J21" s="29" t="s">
        <v>44</v>
      </c>
      <c r="K21" s="29" t="s">
        <v>45</v>
      </c>
      <c r="L21" s="28" t="s">
        <v>24</v>
      </c>
      <c r="M21" s="28" t="s">
        <v>46</v>
      </c>
      <c r="N21" s="28" t="s">
        <v>27</v>
      </c>
      <c r="O21" s="28" t="s">
        <v>28</v>
      </c>
    </row>
    <row r="22" spans="1:19" ht="76.5" x14ac:dyDescent="0.2">
      <c r="B22" s="30" t="s">
        <v>17</v>
      </c>
      <c r="C22" s="30" t="s">
        <v>33</v>
      </c>
      <c r="D22" s="40" t="s">
        <v>18</v>
      </c>
      <c r="E22" s="41" t="s">
        <v>19</v>
      </c>
      <c r="F22" s="41" t="s">
        <v>20</v>
      </c>
      <c r="G22" s="41" t="s">
        <v>12</v>
      </c>
      <c r="H22" s="41" t="s">
        <v>37</v>
      </c>
      <c r="I22" s="45" t="s">
        <v>38</v>
      </c>
      <c r="J22" s="43" t="s">
        <v>39</v>
      </c>
      <c r="K22" s="43" t="s">
        <v>22</v>
      </c>
      <c r="L22" s="41" t="s">
        <v>40</v>
      </c>
      <c r="M22" s="41" t="s">
        <v>41</v>
      </c>
      <c r="N22" s="41" t="s">
        <v>42</v>
      </c>
      <c r="O22" s="42" t="s">
        <v>29</v>
      </c>
    </row>
    <row r="23" spans="1:19" x14ac:dyDescent="0.2">
      <c r="B23" s="20"/>
      <c r="C23" s="20"/>
      <c r="D23" s="20">
        <v>2</v>
      </c>
      <c r="E23" s="20">
        <v>1</v>
      </c>
      <c r="F23" s="20">
        <f>E23-D23</f>
        <v>-1</v>
      </c>
      <c r="G23" s="44">
        <f>IF(D23=0,0,ABS(F23/D23))</f>
        <v>0.5</v>
      </c>
      <c r="H23" s="20">
        <v>1</v>
      </c>
      <c r="I23" s="20">
        <v>44115.5</v>
      </c>
      <c r="J23" s="46">
        <f>IF(H23=0,"No plan at start",I23/H23)</f>
        <v>44115.5</v>
      </c>
      <c r="K23" s="21">
        <f>H23-I23</f>
        <v>-44114.5</v>
      </c>
      <c r="L23" s="20">
        <v>1</v>
      </c>
      <c r="M23" s="20">
        <f>I23+L23</f>
        <v>44116.5</v>
      </c>
      <c r="N23" s="20">
        <f>M23-H23</f>
        <v>44115.5</v>
      </c>
      <c r="O23" s="44">
        <f>IF(H23=0,"No plan at start",M23/H23)</f>
        <v>44116.5</v>
      </c>
    </row>
    <row r="24" spans="1:19" x14ac:dyDescent="0.2">
      <c r="B24" s="20"/>
      <c r="C24" s="20"/>
      <c r="D24" s="20">
        <v>0</v>
      </c>
      <c r="E24" s="20">
        <v>4</v>
      </c>
      <c r="F24" s="20">
        <f>E24-D24</f>
        <v>4</v>
      </c>
      <c r="G24" s="44">
        <f>IF(D24=0,0,ABS(F24/D24))</f>
        <v>0</v>
      </c>
      <c r="H24" s="20">
        <v>1</v>
      </c>
      <c r="I24" s="20">
        <v>5479.5</v>
      </c>
      <c r="J24" s="46">
        <f t="shared" ref="J24" si="1">IF(H24=0,"No plan at start",I24/H24)</f>
        <v>5479.5</v>
      </c>
      <c r="K24" s="21">
        <f>H24-I24</f>
        <v>-5478.5</v>
      </c>
      <c r="L24" s="20">
        <v>5</v>
      </c>
      <c r="M24" s="20">
        <f>I24+L24</f>
        <v>5484.5</v>
      </c>
      <c r="N24" s="20">
        <f>M24-H24</f>
        <v>5483.5</v>
      </c>
      <c r="O24" s="44">
        <f>IF(H24=0,"No plan at start",M24/H24)</f>
        <v>5484.5</v>
      </c>
    </row>
    <row r="25" spans="1:19" x14ac:dyDescent="0.2"/>
    <row r="26" spans="1:19" x14ac:dyDescent="0.2"/>
    <row r="27" spans="1:19" x14ac:dyDescent="0.2"/>
    <row r="28" spans="1:19" x14ac:dyDescent="0.2"/>
    <row r="29" spans="1:19" x14ac:dyDescent="0.2"/>
    <row r="30" spans="1:19" x14ac:dyDescent="0.2"/>
    <row r="31" spans="1:19" x14ac:dyDescent="0.2"/>
    <row r="32" spans="1:19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ht="15" customHeight="1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54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53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15" priority="35" operator="lessThan">
      <formula>0</formula>
    </cfRule>
    <cfRule type="cellIs" dxfId="14" priority="36" operator="greaterThan">
      <formula>0</formula>
    </cfRule>
  </conditionalFormatting>
  <conditionalFormatting sqref="F16">
    <cfRule type="cellIs" dxfId="13" priority="33" operator="lessThan">
      <formula>0</formula>
    </cfRule>
    <cfRule type="cellIs" dxfId="12" priority="34" operator="greaterThan">
      <formula>0</formula>
    </cfRule>
  </conditionalFormatting>
  <conditionalFormatting sqref="U16">
    <cfRule type="iconSet" priority="56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3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17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U17">
    <cfRule type="iconSet" priority="14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5">
      <iconSet iconSet="3Symbols" showValue="0" reverse="1">
        <cfvo type="percent" val="0"/>
        <cfvo type="num" val="1"/>
        <cfvo type="num" val="1.05"/>
      </iconSet>
    </cfRule>
  </conditionalFormatting>
  <conditionalFormatting sqref="N2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2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2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2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2017-05-15T15:21:12Z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SAVE_PATH</vt:lpwstr>
  </property>
</Properties>
</file>