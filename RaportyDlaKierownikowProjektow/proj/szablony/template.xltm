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D:\Repos\Remote\GitHub\ILF.Reports\RaportyDlaKierownikowProjektow\proj\szablony\"/>
    </mc:Choice>
  </mc:AlternateContent>
  <bookViews>
    <workbookView xWindow="23925" yWindow="-15" windowWidth="15600" windowHeight="7605"/>
  </bookViews>
  <sheets>
    <sheet name="Report" sheetId="1" r:id="rId1"/>
  </sheets>
  <calcPr calcId="162913"/>
</workbook>
</file>

<file path=xl/calcChain.xml><?xml version="1.0" encoding="utf-8"?>
<calcChain xmlns="http://schemas.openxmlformats.org/spreadsheetml/2006/main">
  <c r="F26" i="1" l="1"/>
  <c r="F25" i="1"/>
  <c r="F18" i="1"/>
  <c r="F17" i="1"/>
  <c r="G26" i="1" l="1"/>
  <c r="G25" i="1"/>
  <c r="G18" i="1"/>
  <c r="G17" i="1"/>
  <c r="J17" i="1"/>
  <c r="K17" i="1"/>
  <c r="M17" i="1"/>
  <c r="N17" i="1" s="1"/>
  <c r="O17" i="1"/>
  <c r="O26" i="1" l="1"/>
  <c r="O25" i="1"/>
  <c r="O18" i="1"/>
  <c r="M26" i="1" l="1"/>
  <c r="M25" i="1"/>
  <c r="M18" i="1"/>
  <c r="K26" i="1" l="1"/>
  <c r="J26" i="1"/>
  <c r="K25" i="1"/>
  <c r="J25" i="1"/>
  <c r="K18" i="1" l="1"/>
  <c r="J18" i="1"/>
  <c r="N25" i="1" l="1"/>
  <c r="N26" i="1"/>
  <c r="N18" i="1" l="1"/>
</calcChain>
</file>

<file path=xl/sharedStrings.xml><?xml version="1.0" encoding="utf-8"?>
<sst xmlns="http://schemas.openxmlformats.org/spreadsheetml/2006/main" count="75" uniqueCount="49">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</sst>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3"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4">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3" fontId="8" fillId="5" borderId="12"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8" fillId="5" borderId="12" xfId="0" applyNumberFormat="1" applyFont="1" applyFill="1" applyBorder="1" applyAlignment="1" applyProtection="1">
      <alignment horizontal="center" vertical="center"/>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3" fontId="8" fillId="0" borderId="21" xfId="0" applyNumberFormat="1" applyFont="1" applyBorder="1" applyAlignment="1" applyProtection="1">
      <alignment horizontal="center" vertical="center"/>
      <protection locked="0"/>
    </xf>
    <xf numFmtId="3" fontId="8" fillId="0" borderId="22"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3" fontId="8" fillId="0" borderId="23" xfId="0" applyNumberFormat="1" applyFont="1" applyBorder="1" applyAlignment="1" applyProtection="1">
      <alignment horizontal="center" vertical="center"/>
      <protection locked="0"/>
    </xf>
    <xf numFmtId="166" fontId="8" fillId="0" borderId="22" xfId="0" applyNumberFormat="1" applyFont="1" applyBorder="1" applyAlignment="1" applyProtection="1">
      <alignment horizontal="center" vertical="center"/>
      <protection locked="0"/>
    </xf>
    <xf numFmtId="166" fontId="8" fillId="5" borderId="23" xfId="0" applyNumberFormat="1" applyFont="1" applyFill="1" applyBorder="1" applyAlignment="1" applyProtection="1">
      <alignment horizontal="center" vertical="center"/>
      <protection locked="0"/>
    </xf>
    <xf numFmtId="3" fontId="8" fillId="5" borderId="23" xfId="0" applyNumberFormat="1" applyFont="1" applyFill="1" applyBorder="1" applyAlignment="1" applyProtection="1">
      <alignment horizontal="center" vertical="center"/>
      <protection locked="0"/>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1"/>
  <sheetViews>
    <sheetView showGridLines="0" tabSelected="1" zoomScale="70" zoomScaleNormal="70" workbookViewId="0">
      <selection activeCell="F5" sqref="F5:O7"/>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56" t="s">
        <v>5</v>
      </c>
      <c r="C2" s="57"/>
      <c r="D2" s="27"/>
      <c r="E2" s="4"/>
      <c r="F2" s="58" t="s">
        <v>12</v>
      </c>
      <c r="G2" s="59"/>
      <c r="H2" s="34">
        <v>42736</v>
      </c>
      <c r="I2" s="22" t="s">
        <v>11</v>
      </c>
      <c r="J2" s="35">
        <v>42736</v>
      </c>
      <c r="K2" s="6"/>
      <c r="L2" s="6"/>
      <c r="M2" s="6"/>
      <c r="N2" s="6"/>
    </row>
    <row r="3" spans="1:16" s="7" customFormat="1" ht="33.75" customHeight="1" x14ac:dyDescent="0.2">
      <c r="A3" s="5"/>
      <c r="B3" s="8" t="s">
        <v>6</v>
      </c>
      <c r="C3" s="23" t="s">
        <v>7</v>
      </c>
      <c r="D3" s="28"/>
      <c r="E3" s="6"/>
      <c r="F3" s="4"/>
      <c r="G3" s="4"/>
      <c r="H3" s="4"/>
      <c r="I3" s="4"/>
      <c r="J3" s="4"/>
      <c r="K3" s="6"/>
      <c r="L3" s="6"/>
      <c r="M3" s="6"/>
      <c r="N3" s="6"/>
    </row>
    <row r="4" spans="1:16" s="7" customFormat="1" ht="33.75" customHeight="1" thickBot="1" x14ac:dyDescent="0.25">
      <c r="A4" s="5"/>
      <c r="B4" s="9" t="s">
        <v>8</v>
      </c>
      <c r="C4" s="24" t="s">
        <v>29</v>
      </c>
      <c r="D4" s="28"/>
      <c r="E4" s="6"/>
      <c r="F4" s="60" t="s">
        <v>4</v>
      </c>
      <c r="G4" s="61"/>
      <c r="N4" s="6"/>
    </row>
    <row r="5" spans="1:16" s="7" customFormat="1" ht="33.75" customHeight="1" thickBot="1" x14ac:dyDescent="0.25">
      <c r="A5" s="5"/>
      <c r="B5" s="9" t="s">
        <v>0</v>
      </c>
      <c r="C5" s="10" t="s">
        <v>29</v>
      </c>
      <c r="D5" s="13"/>
      <c r="E5" s="6"/>
      <c r="F5" s="62"/>
      <c r="G5" s="63"/>
      <c r="H5" s="63"/>
      <c r="I5" s="63"/>
      <c r="J5" s="63"/>
      <c r="K5" s="63"/>
      <c r="L5" s="63"/>
      <c r="M5" s="63"/>
      <c r="N5" s="64"/>
      <c r="O5" s="65"/>
    </row>
    <row r="6" spans="1:16" s="7" customFormat="1" ht="33.75" customHeight="1" thickBot="1" x14ac:dyDescent="0.25">
      <c r="A6" s="5"/>
      <c r="B6" s="36" t="s">
        <v>9</v>
      </c>
      <c r="C6" s="37" t="s">
        <v>29</v>
      </c>
      <c r="D6" s="28"/>
      <c r="E6" s="6"/>
      <c r="F6" s="66"/>
      <c r="G6" s="67"/>
      <c r="H6" s="67"/>
      <c r="I6" s="67"/>
      <c r="J6" s="67"/>
      <c r="K6" s="67"/>
      <c r="L6" s="67"/>
      <c r="M6" s="67"/>
      <c r="N6" s="68"/>
      <c r="O6" s="69"/>
    </row>
    <row r="7" spans="1:16" s="7" customFormat="1" ht="33.75" customHeight="1" thickBot="1" x14ac:dyDescent="0.25">
      <c r="A7" s="5"/>
      <c r="B7" s="9" t="s">
        <v>10</v>
      </c>
      <c r="C7" s="24" t="s">
        <v>29</v>
      </c>
      <c r="D7" s="28"/>
      <c r="E7" s="6"/>
      <c r="F7" s="70"/>
      <c r="G7" s="71"/>
      <c r="H7" s="71"/>
      <c r="I7" s="71"/>
      <c r="J7" s="71"/>
      <c r="K7" s="71"/>
      <c r="L7" s="71"/>
      <c r="M7" s="71"/>
      <c r="N7" s="72"/>
      <c r="O7" s="73"/>
    </row>
    <row r="8" spans="1:16" s="7" customFormat="1" ht="33.75" customHeight="1" x14ac:dyDescent="0.2">
      <c r="A8" s="5"/>
      <c r="B8" s="9" t="s">
        <v>1</v>
      </c>
      <c r="C8" s="10" t="s">
        <v>29</v>
      </c>
      <c r="D8" s="13"/>
      <c r="E8" s="6"/>
      <c r="F8" s="74" t="s">
        <v>38</v>
      </c>
      <c r="G8" s="75"/>
      <c r="H8" s="75"/>
      <c r="I8" s="75"/>
      <c r="J8" s="75"/>
      <c r="K8" s="75"/>
      <c r="L8" s="75"/>
      <c r="M8" s="75"/>
      <c r="N8" s="6"/>
    </row>
    <row r="9" spans="1:16" s="7" customFormat="1" ht="33.75" customHeight="1" thickBot="1" x14ac:dyDescent="0.25">
      <c r="A9" s="5"/>
      <c r="B9" s="11"/>
      <c r="C9" s="25"/>
      <c r="D9" s="29"/>
      <c r="E9" s="6"/>
      <c r="F9" s="76"/>
      <c r="G9" s="76"/>
      <c r="H9" s="76"/>
      <c r="I9" s="76"/>
      <c r="J9" s="76"/>
      <c r="K9" s="76"/>
      <c r="L9" s="76"/>
      <c r="M9" s="76"/>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6"/>
    </row>
    <row r="13" spans="1:16" s="7" customFormat="1" ht="13.5" thickBot="1" x14ac:dyDescent="0.25">
      <c r="A13" s="5"/>
    </row>
    <row r="14" spans="1:16" s="7" customFormat="1" x14ac:dyDescent="0.2">
      <c r="A14" s="5"/>
      <c r="B14" s="80"/>
      <c r="C14" s="81"/>
      <c r="D14" s="77" t="s">
        <v>39</v>
      </c>
      <c r="E14" s="78"/>
      <c r="F14" s="78"/>
      <c r="G14" s="79"/>
      <c r="H14" s="77" t="s">
        <v>40</v>
      </c>
      <c r="I14" s="78"/>
      <c r="J14" s="78"/>
      <c r="K14" s="78"/>
      <c r="L14" s="78"/>
      <c r="M14" s="78"/>
      <c r="N14" s="78"/>
      <c r="O14" s="79"/>
    </row>
    <row r="15" spans="1:16" s="7" customFormat="1" x14ac:dyDescent="0.2">
      <c r="A15" s="5"/>
      <c r="B15" s="82"/>
      <c r="C15" s="83"/>
      <c r="D15" s="38" t="s">
        <v>2</v>
      </c>
      <c r="E15" s="40" t="s">
        <v>3</v>
      </c>
      <c r="F15" s="40" t="s">
        <v>44</v>
      </c>
      <c r="G15" s="39" t="s">
        <v>41</v>
      </c>
      <c r="H15" s="38" t="s">
        <v>20</v>
      </c>
      <c r="I15" s="40" t="s">
        <v>34</v>
      </c>
      <c r="J15" s="41" t="s">
        <v>35</v>
      </c>
      <c r="K15" s="41" t="s">
        <v>36</v>
      </c>
      <c r="L15" s="40" t="s">
        <v>19</v>
      </c>
      <c r="M15" s="40" t="s">
        <v>37</v>
      </c>
      <c r="N15" s="40" t="s">
        <v>22</v>
      </c>
      <c r="O15" s="39" t="s">
        <v>23</v>
      </c>
      <c r="P15" s="21"/>
    </row>
    <row r="16" spans="1:16" s="7" customFormat="1" ht="76.5" x14ac:dyDescent="0.2">
      <c r="A16" s="5"/>
      <c r="B16" s="42" t="s">
        <v>14</v>
      </c>
      <c r="C16" s="43" t="s">
        <v>28</v>
      </c>
      <c r="D16" s="42" t="s">
        <v>45</v>
      </c>
      <c r="E16" s="44" t="s">
        <v>15</v>
      </c>
      <c r="F16" s="44" t="s">
        <v>42</v>
      </c>
      <c r="G16" s="43" t="s">
        <v>43</v>
      </c>
      <c r="H16" s="42" t="s">
        <v>25</v>
      </c>
      <c r="I16" s="44" t="s">
        <v>16</v>
      </c>
      <c r="J16" s="45" t="s">
        <v>18</v>
      </c>
      <c r="K16" s="45" t="s">
        <v>17</v>
      </c>
      <c r="L16" s="44" t="s">
        <v>26</v>
      </c>
      <c r="M16" s="44" t="s">
        <v>21</v>
      </c>
      <c r="N16" s="46" t="s">
        <v>27</v>
      </c>
      <c r="O16" s="43" t="s">
        <v>24</v>
      </c>
    </row>
    <row r="17" spans="1:19" s="7" customFormat="1" x14ac:dyDescent="0.2">
      <c r="A17" s="5"/>
      <c r="B17" s="47"/>
      <c r="C17" s="48"/>
      <c r="D17" s="47">
        <v>2</v>
      </c>
      <c r="E17" s="19">
        <v>1</v>
      </c>
      <c r="F17" s="19">
        <f>MAX(D17-E17, 0)</f>
        <v>1</v>
      </c>
      <c r="G17" s="51">
        <f>IF(D17=0,0,ABS(E17/D17))</f>
        <v>0.5</v>
      </c>
      <c r="H17" s="47">
        <v>1</v>
      </c>
      <c r="I17" s="19">
        <v>1696.75</v>
      </c>
      <c r="J17" s="33">
        <f>IF(H17=0,"No plan at start",I17/H17)</f>
        <v>1696.75</v>
      </c>
      <c r="K17" s="20">
        <f>H17-I17</f>
        <v>-1695.75</v>
      </c>
      <c r="L17" s="19">
        <v>1</v>
      </c>
      <c r="M17" s="19">
        <f>I17+L17</f>
        <v>1697.75</v>
      </c>
      <c r="N17" s="19">
        <f>M17-H17</f>
        <v>1696.75</v>
      </c>
      <c r="O17" s="51">
        <f>IF(H17=0,"No plan at start",M17/H17)</f>
        <v>1697.75</v>
      </c>
      <c r="P17" s="30"/>
      <c r="Q17" s="31"/>
      <c r="R17" s="32"/>
      <c r="S17" s="32"/>
    </row>
    <row r="18" spans="1:19" s="7" customFormat="1" ht="13.5" thickBot="1" x14ac:dyDescent="0.25">
      <c r="A18" s="5"/>
      <c r="B18" s="49"/>
      <c r="C18" s="50"/>
      <c r="D18" s="49">
        <v>0</v>
      </c>
      <c r="E18" s="52">
        <v>4</v>
      </c>
      <c r="F18" s="52">
        <f>MAX(D18-E18, 0)</f>
        <v>0</v>
      </c>
      <c r="G18" s="53">
        <f>IF(D18=0,0,ABS(E18/D18))</f>
        <v>0</v>
      </c>
      <c r="H18" s="49">
        <v>1</v>
      </c>
      <c r="I18" s="52">
        <v>210.75</v>
      </c>
      <c r="J18" s="54">
        <f t="shared" ref="J18" si="0">IF(H18=0,"No plan at start",I18/H18)</f>
        <v>210.75</v>
      </c>
      <c r="K18" s="55">
        <f>H18-I18</f>
        <v>-209.75</v>
      </c>
      <c r="L18" s="52">
        <v>5</v>
      </c>
      <c r="M18" s="52">
        <f>I18+L18</f>
        <v>215.75</v>
      </c>
      <c r="N18" s="52">
        <f>M18-H18</f>
        <v>214.75</v>
      </c>
      <c r="O18" s="53">
        <f>IF(H18=0,"No plan at start",M18/H18)</f>
        <v>215.75</v>
      </c>
      <c r="P18" s="30"/>
      <c r="Q18" s="31"/>
      <c r="R18" s="32"/>
      <c r="S18" s="32"/>
    </row>
    <row r="19" spans="1:19" s="7" customFormat="1" ht="28.5" customHeight="1" x14ac:dyDescent="0.2">
      <c r="A19" s="5"/>
      <c r="B19" s="21"/>
      <c r="C19" s="21"/>
      <c r="D19" s="21"/>
      <c r="E19" s="21"/>
      <c r="F19" s="21"/>
      <c r="G19" s="21"/>
      <c r="H19" s="21"/>
      <c r="I19" s="21"/>
      <c r="J19" s="21"/>
      <c r="K19" s="21"/>
      <c r="L19" s="21"/>
      <c r="M19" s="21"/>
      <c r="N19" s="21"/>
      <c r="O19" s="21"/>
    </row>
    <row r="20" spans="1:19" x14ac:dyDescent="0.2">
      <c r="B20" s="14" t="s">
        <v>30</v>
      </c>
      <c r="C20" s="15"/>
      <c r="D20" s="15"/>
      <c r="E20" s="15"/>
      <c r="F20" s="16"/>
      <c r="G20" s="16"/>
      <c r="H20" s="17"/>
      <c r="I20" s="7"/>
      <c r="J20" s="7"/>
      <c r="K20" s="18"/>
      <c r="L20" s="7"/>
      <c r="M20" s="26"/>
      <c r="N20" s="7"/>
      <c r="O20" s="7"/>
    </row>
    <row r="21" spans="1:19" ht="13.5" thickBot="1" x14ac:dyDescent="0.25">
      <c r="B21" s="7"/>
      <c r="C21" s="7"/>
      <c r="D21" s="7"/>
      <c r="E21" s="7"/>
      <c r="F21" s="7"/>
      <c r="G21" s="7"/>
      <c r="H21" s="7"/>
      <c r="I21" s="7"/>
      <c r="J21" s="7"/>
      <c r="K21" s="7"/>
      <c r="L21" s="7"/>
      <c r="M21" s="7"/>
      <c r="N21" s="7"/>
      <c r="O21" s="7"/>
    </row>
    <row r="22" spans="1:19" x14ac:dyDescent="0.2">
      <c r="B22" s="80"/>
      <c r="C22" s="81"/>
      <c r="D22" s="77" t="s">
        <v>39</v>
      </c>
      <c r="E22" s="78"/>
      <c r="F22" s="78"/>
      <c r="G22" s="79"/>
      <c r="H22" s="77" t="s">
        <v>40</v>
      </c>
      <c r="I22" s="78"/>
      <c r="J22" s="78"/>
      <c r="K22" s="78"/>
      <c r="L22" s="78"/>
      <c r="M22" s="78"/>
      <c r="N22" s="78"/>
      <c r="O22" s="79"/>
    </row>
    <row r="23" spans="1:19" x14ac:dyDescent="0.2">
      <c r="B23" s="82"/>
      <c r="C23" s="83"/>
      <c r="D23" s="38" t="s">
        <v>2</v>
      </c>
      <c r="E23" s="40" t="s">
        <v>3</v>
      </c>
      <c r="F23" s="40" t="s">
        <v>44</v>
      </c>
      <c r="G23" s="39" t="s">
        <v>41</v>
      </c>
      <c r="H23" s="38" t="s">
        <v>20</v>
      </c>
      <c r="I23" s="40" t="s">
        <v>34</v>
      </c>
      <c r="J23" s="41" t="s">
        <v>35</v>
      </c>
      <c r="K23" s="41" t="s">
        <v>36</v>
      </c>
      <c r="L23" s="40" t="s">
        <v>19</v>
      </c>
      <c r="M23" s="40" t="s">
        <v>37</v>
      </c>
      <c r="N23" s="40" t="s">
        <v>22</v>
      </c>
      <c r="O23" s="39" t="s">
        <v>23</v>
      </c>
    </row>
    <row r="24" spans="1:19" ht="76.5" x14ac:dyDescent="0.2">
      <c r="B24" s="42" t="s">
        <v>14</v>
      </c>
      <c r="C24" s="43" t="s">
        <v>28</v>
      </c>
      <c r="D24" s="42" t="s">
        <v>45</v>
      </c>
      <c r="E24" s="44" t="s">
        <v>15</v>
      </c>
      <c r="F24" s="44" t="s">
        <v>42</v>
      </c>
      <c r="G24" s="43" t="s">
        <v>43</v>
      </c>
      <c r="H24" s="42" t="s">
        <v>46</v>
      </c>
      <c r="I24" s="44" t="s">
        <v>31</v>
      </c>
      <c r="J24" s="45" t="s">
        <v>47</v>
      </c>
      <c r="K24" s="45" t="s">
        <v>17</v>
      </c>
      <c r="L24" s="44" t="s">
        <v>48</v>
      </c>
      <c r="M24" s="44" t="s">
        <v>32</v>
      </c>
      <c r="N24" s="44" t="s">
        <v>33</v>
      </c>
      <c r="O24" s="43" t="s">
        <v>24</v>
      </c>
    </row>
    <row r="25" spans="1:19" x14ac:dyDescent="0.2">
      <c r="B25" s="47"/>
      <c r="C25" s="48"/>
      <c r="D25" s="47">
        <v>2</v>
      </c>
      <c r="E25" s="19">
        <v>1</v>
      </c>
      <c r="F25" s="19">
        <f>MAX(D25-E25, 0)</f>
        <v>1</v>
      </c>
      <c r="G25" s="51">
        <f>IF(D25=0,0,ABS(E25/D25))</f>
        <v>0.5</v>
      </c>
      <c r="H25" s="47">
        <v>1</v>
      </c>
      <c r="I25" s="19">
        <v>44115.5</v>
      </c>
      <c r="J25" s="33">
        <f>IF(H25=0,"No plan at start",I25/H25)</f>
        <v>44115.5</v>
      </c>
      <c r="K25" s="20">
        <f>H25-I25</f>
        <v>-44114.5</v>
      </c>
      <c r="L25" s="19">
        <v>1</v>
      </c>
      <c r="M25" s="19">
        <f>I25+L25</f>
        <v>44116.5</v>
      </c>
      <c r="N25" s="19">
        <f>M25-H25</f>
        <v>44115.5</v>
      </c>
      <c r="O25" s="51">
        <f>IF(H25=0,"No plan at start",M25/H25)</f>
        <v>44116.5</v>
      </c>
    </row>
    <row r="26" spans="1:19" ht="13.5" thickBot="1" x14ac:dyDescent="0.25">
      <c r="B26" s="49"/>
      <c r="C26" s="50"/>
      <c r="D26" s="49">
        <v>1</v>
      </c>
      <c r="E26" s="52">
        <v>4</v>
      </c>
      <c r="F26" s="52">
        <f>MAX(D26-E26, 0)</f>
        <v>0</v>
      </c>
      <c r="G26" s="53">
        <f>IF(D26=0,0,ABS(E26/D26))</f>
        <v>4</v>
      </c>
      <c r="H26" s="49">
        <v>1</v>
      </c>
      <c r="I26" s="52">
        <v>5479.5</v>
      </c>
      <c r="J26" s="54">
        <f t="shared" ref="J26" si="1">IF(H26=0,"No plan at start",I26/H26)</f>
        <v>5479.5</v>
      </c>
      <c r="K26" s="55">
        <f>H26-I26</f>
        <v>-5478.5</v>
      </c>
      <c r="L26" s="52">
        <v>5</v>
      </c>
      <c r="M26" s="52">
        <f>I26+L26</f>
        <v>5484.5</v>
      </c>
      <c r="N26" s="52">
        <f>M26-H26</f>
        <v>5483.5</v>
      </c>
      <c r="O26" s="53">
        <f>IF(H26=0,"No plan at start",M26/H26)</f>
        <v>5484.5</v>
      </c>
    </row>
    <row r="27" spans="1:19" x14ac:dyDescent="0.2"/>
    <row r="28" spans="1:19" x14ac:dyDescent="0.2"/>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ht="15" customHeight="1"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sheetData>
  <mergeCells count="11">
    <mergeCell ref="D14:G14"/>
    <mergeCell ref="H14:O14"/>
    <mergeCell ref="D22:G22"/>
    <mergeCell ref="H22:O22"/>
    <mergeCell ref="B14:C15"/>
    <mergeCell ref="B22:C23"/>
    <mergeCell ref="B2:C2"/>
    <mergeCell ref="F2:G2"/>
    <mergeCell ref="F4:G4"/>
    <mergeCell ref="F5:O7"/>
    <mergeCell ref="F8:M9"/>
  </mergeCells>
  <conditionalFormatting sqref="U12">
    <cfRule type="iconSet" priority="71">
      <iconSet iconSet="3Symbols" showValue="0" reverse="1">
        <cfvo type="percent" val="0"/>
        <cfvo type="num" val="1"/>
        <cfvo type="num" val="1.05"/>
      </iconSet>
    </cfRule>
  </conditionalFormatting>
  <conditionalFormatting sqref="U16">
    <cfRule type="iconSet" priority="70">
      <iconSet iconSet="3Symbols" showValue="0" reverse="1">
        <cfvo type="percent" val="0"/>
        <cfvo type="num" val="1"/>
        <cfvo type="num" val="1.05"/>
      </iconSet>
    </cfRule>
  </conditionalFormatting>
  <conditionalFormatting sqref="Q17">
    <cfRule type="iconSet" priority="68">
      <iconSet iconSet="3Symbols" showValue="0" reverse="1">
        <cfvo type="percent" val="0"/>
        <cfvo type="num" val="1"/>
        <cfvo type="num" val="1.05"/>
      </iconSet>
    </cfRule>
  </conditionalFormatting>
  <conditionalFormatting sqref="P16">
    <cfRule type="iconSet" priority="60">
      <iconSet iconSet="3Symbols" showValue="0" reverse="1">
        <cfvo type="percent" val="0"/>
        <cfvo type="num" val="1"/>
        <cfvo type="num" val="1.05"/>
      </iconSet>
    </cfRule>
  </conditionalFormatting>
  <conditionalFormatting sqref="N17">
    <cfRule type="cellIs" dxfId="19" priority="52" operator="lessThan">
      <formula>0</formula>
    </cfRule>
    <cfRule type="cellIs" dxfId="18" priority="53" operator="greaterThan">
      <formula>0</formula>
    </cfRule>
  </conditionalFormatting>
  <conditionalFormatting sqref="F17">
    <cfRule type="cellIs" dxfId="17" priority="50" operator="greaterThan">
      <formula>0</formula>
    </cfRule>
    <cfRule type="cellIs" dxfId="16" priority="51" operator="lessThanOrEqual">
      <formula>0</formula>
    </cfRule>
  </conditionalFormatting>
  <conditionalFormatting sqref="U17">
    <cfRule type="iconSet" priority="73">
      <iconSet iconSet="3Symbols" showValue="0" reverse="1">
        <cfvo type="percent" val="0"/>
        <cfvo type="num" val="1"/>
        <cfvo type="num" val="1.05"/>
      </iconSet>
    </cfRule>
  </conditionalFormatting>
  <conditionalFormatting sqref="P17">
    <cfRule type="iconSet" priority="74">
      <iconSet iconSet="3Symbols" showValue="0" reverse="1">
        <cfvo type="percent" val="0"/>
        <cfvo type="num" val="1"/>
        <cfvo type="num" val="1.05"/>
      </iconSet>
    </cfRule>
  </conditionalFormatting>
  <conditionalFormatting sqref="Q18">
    <cfRule type="iconSet" priority="30">
      <iconSet iconSet="3Symbols" showValue="0" reverse="1">
        <cfvo type="percent" val="0"/>
        <cfvo type="num" val="1"/>
        <cfvo type="num" val="1.05"/>
      </iconSet>
    </cfRule>
  </conditionalFormatting>
  <conditionalFormatting sqref="N18">
    <cfRule type="cellIs" dxfId="15" priority="28" operator="lessThan">
      <formula>0</formula>
    </cfRule>
    <cfRule type="cellIs" dxfId="14" priority="29" operator="greaterThan">
      <formula>0</formula>
    </cfRule>
  </conditionalFormatting>
  <conditionalFormatting sqref="U18">
    <cfRule type="iconSet" priority="31">
      <iconSet iconSet="3Symbols" showValue="0" reverse="1">
        <cfvo type="percent" val="0"/>
        <cfvo type="num" val="1"/>
        <cfvo type="num" val="1.05"/>
      </iconSet>
    </cfRule>
  </conditionalFormatting>
  <conditionalFormatting sqref="P18">
    <cfRule type="iconSet" priority="32">
      <iconSet iconSet="3Symbols" showValue="0" reverse="1">
        <cfvo type="percent" val="0"/>
        <cfvo type="num" val="1"/>
        <cfvo type="num" val="1.05"/>
      </iconSet>
    </cfRule>
  </conditionalFormatting>
  <conditionalFormatting sqref="N25">
    <cfRule type="cellIs" dxfId="13" priority="24" operator="lessThan">
      <formula>0</formula>
    </cfRule>
    <cfRule type="cellIs" dxfId="12" priority="25" operator="greaterThan">
      <formula>0</formula>
    </cfRule>
  </conditionalFormatting>
  <conditionalFormatting sqref="N26">
    <cfRule type="cellIs" dxfId="11" priority="20" operator="lessThan">
      <formula>0</formula>
    </cfRule>
    <cfRule type="cellIs" dxfId="10" priority="21" operator="greaterThan">
      <formula>0</formula>
    </cfRule>
  </conditionalFormatting>
  <conditionalFormatting sqref="F18">
    <cfRule type="cellIs" dxfId="9" priority="10" operator="greaterThan">
      <formula>0</formula>
    </cfRule>
    <cfRule type="cellIs" dxfId="8" priority="11" operator="lessThanOrEqual">
      <formula>0</formula>
    </cfRule>
  </conditionalFormatting>
  <conditionalFormatting sqref="F25">
    <cfRule type="cellIs" dxfId="7" priority="8" operator="greaterThan">
      <formula>0</formula>
    </cfRule>
    <cfRule type="cellIs" dxfId="6" priority="9" operator="lessThanOrEqual">
      <formula>0</formula>
    </cfRule>
  </conditionalFormatting>
  <conditionalFormatting sqref="F26">
    <cfRule type="cellIs" dxfId="5" priority="6" operator="greaterThan">
      <formula>0</formula>
    </cfRule>
    <cfRule type="cellIs" dxfId="4" priority="7" operator="lessThanOrEqual">
      <formula>0</formula>
    </cfRule>
  </conditionalFormatting>
  <conditionalFormatting sqref="G17">
    <cfRule type="cellIs" dxfId="3" priority="4" operator="greaterThanOrEqual">
      <formula>1</formula>
    </cfRule>
  </conditionalFormatting>
  <conditionalFormatting sqref="G18">
    <cfRule type="cellIs" dxfId="2" priority="3" operator="greaterThanOrEqual">
      <formula>1</formula>
    </cfRule>
  </conditionalFormatting>
  <conditionalFormatting sqref="G25">
    <cfRule type="cellIs" dxfId="1" priority="2" operator="greaterThanOrEqual">
      <formula>1</formula>
    </cfRule>
  </conditionalFormatting>
  <conditionalFormatting sqref="G26">
    <cfRule type="cellIs" dxfId="0" priority="1" operator="greaterThan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2017-05-31T15:10:35Z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