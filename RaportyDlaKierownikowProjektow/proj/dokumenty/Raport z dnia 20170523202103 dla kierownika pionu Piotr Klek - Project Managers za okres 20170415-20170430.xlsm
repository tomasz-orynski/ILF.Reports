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workbookTemplate" defaultThemeVersion="124226"/>
  <mc:AlternateContent xmlns:mc="http://schemas.openxmlformats.org/markup-compatibility/2006">
    <mc:Choice Requires="x15">
      <x15ac:absPath xmlns:x15ac="http://schemas.microsoft.com/office/spreadsheetml/2010/11/ac" url="E:\TMP\ILF\dokumenty\"/>
    </mc:Choice>
  </mc:AlternateContent>
  <bookViews>
    <workbookView xWindow="23025" yWindow="-15" windowWidth="19440" windowHeight="7605"/>
  </bookViews>
  <sheets>
    <sheet name="Report" sheetId="1" r:id="rId1"/>
  </sheets>
  <calcPr calcId="162913"/>
</workbook>
</file>

<file path=xl/calcChain.xml><?xml version="1.0" encoding="utf-8"?>
<calcChain xmlns="http://schemas.openxmlformats.org/spreadsheetml/2006/main">
  <c r="G34" i="1" l="1"/>
  <c r="J25" i="1"/>
  <c r="G25" i="1"/>
  <c r="L58" i="1"/>
  <c r="I58" i="1"/>
  <c r="H58" i="1"/>
  <c r="O58" i="1" s="1"/>
  <c r="E58" i="1"/>
  <c r="D58" i="1"/>
  <c r="G58" i="1" s="1"/>
  <c r="L49" i="1"/>
  <c r="I49" i="1"/>
  <c r="H49" i="1"/>
  <c r="E49" i="1"/>
  <c r="D49" i="1"/>
  <c r="G49" i="1" s="1"/>
  <c r="M42" i="1"/>
  <c r="O42" i="1" s="1"/>
  <c r="K42" i="1"/>
  <c r="J42" i="1"/>
  <c r="G42" i="1"/>
  <c r="F42" i="1"/>
  <c r="M43" i="1"/>
  <c r="O43" i="1" s="1"/>
  <c r="K43" i="1"/>
  <c r="J43" i="1"/>
  <c r="G43" i="1"/>
  <c r="F43" i="1"/>
  <c r="M44" i="1"/>
  <c r="O44" i="1" s="1"/>
  <c r="K44" i="1"/>
  <c r="J44" i="1"/>
  <c r="G44" i="1"/>
  <c r="F44" i="1"/>
  <c r="M45" i="1"/>
  <c r="O45" i="1" s="1"/>
  <c r="K45" i="1"/>
  <c r="J45" i="1"/>
  <c r="G45" i="1"/>
  <c r="F45" i="1"/>
  <c r="M46" i="1"/>
  <c r="O46" i="1" s="1"/>
  <c r="K46" i="1"/>
  <c r="J46" i="1"/>
  <c r="G46" i="1"/>
  <c r="F46" i="1"/>
  <c r="M47" i="1"/>
  <c r="O47" i="1" s="1"/>
  <c r="K47" i="1"/>
  <c r="J47" i="1"/>
  <c r="G47" i="1"/>
  <c r="F47" i="1"/>
  <c r="M48" i="1"/>
  <c r="O48" i="1" s="1"/>
  <c r="K48" i="1"/>
  <c r="J48" i="1"/>
  <c r="G48" i="1"/>
  <c r="F48" i="1"/>
  <c r="M50" i="1"/>
  <c r="O50" i="1" s="1"/>
  <c r="K50" i="1"/>
  <c r="J50" i="1"/>
  <c r="G50" i="1"/>
  <c r="F50" i="1"/>
  <c r="M51" i="1"/>
  <c r="O51" i="1" s="1"/>
  <c r="K51" i="1"/>
  <c r="J51" i="1"/>
  <c r="G51" i="1"/>
  <c r="F51" i="1"/>
  <c r="M52" i="1"/>
  <c r="O52" i="1" s="1"/>
  <c r="K52" i="1"/>
  <c r="J52" i="1"/>
  <c r="G52" i="1"/>
  <c r="F52" i="1"/>
  <c r="M53" i="1"/>
  <c r="O53" i="1" s="1"/>
  <c r="K53" i="1"/>
  <c r="J53" i="1"/>
  <c r="G53" i="1"/>
  <c r="F53" i="1"/>
  <c r="M54" i="1"/>
  <c r="O54" i="1" s="1"/>
  <c r="K54" i="1"/>
  <c r="J54" i="1"/>
  <c r="G54" i="1"/>
  <c r="F54" i="1"/>
  <c r="M55" i="1"/>
  <c r="O55" i="1" s="1"/>
  <c r="K55" i="1"/>
  <c r="J55" i="1"/>
  <c r="G55" i="1"/>
  <c r="F55" i="1"/>
  <c r="M56" i="1"/>
  <c r="O56" i="1" s="1"/>
  <c r="K56" i="1"/>
  <c r="J56" i="1"/>
  <c r="G56" i="1"/>
  <c r="F56" i="1"/>
  <c r="M57" i="1"/>
  <c r="O57" i="1" s="1"/>
  <c r="K57" i="1"/>
  <c r="J57" i="1"/>
  <c r="G57" i="1"/>
  <c r="F57" i="1"/>
  <c r="L34" i="1"/>
  <c r="I34" i="1"/>
  <c r="H34" i="1"/>
  <c r="O34" i="1" s="1"/>
  <c r="E34" i="1"/>
  <c r="D34" i="1"/>
  <c r="L25" i="1"/>
  <c r="I25" i="1"/>
  <c r="H25" i="1"/>
  <c r="E25" i="1"/>
  <c r="D25" i="1"/>
  <c r="M18" i="1"/>
  <c r="O18" i="1" s="1"/>
  <c r="K18" i="1"/>
  <c r="J18" i="1"/>
  <c r="G18" i="1"/>
  <c r="F18" i="1"/>
  <c r="M19" i="1"/>
  <c r="O19" i="1" s="1"/>
  <c r="K19" i="1"/>
  <c r="J19" i="1"/>
  <c r="G19" i="1"/>
  <c r="F19" i="1"/>
  <c r="M20" i="1"/>
  <c r="N20" i="1" s="1"/>
  <c r="K20" i="1"/>
  <c r="J20" i="1"/>
  <c r="G20" i="1"/>
  <c r="F20" i="1"/>
  <c r="M21" i="1"/>
  <c r="O21" i="1" s="1"/>
  <c r="K21" i="1"/>
  <c r="J21" i="1"/>
  <c r="G21" i="1"/>
  <c r="F21" i="1"/>
  <c r="M22" i="1"/>
  <c r="N22" i="1" s="1"/>
  <c r="K22" i="1"/>
  <c r="J22" i="1"/>
  <c r="G22" i="1"/>
  <c r="F22" i="1"/>
  <c r="M23" i="1"/>
  <c r="N23" i="1" s="1"/>
  <c r="K23" i="1"/>
  <c r="J23" i="1"/>
  <c r="G23" i="1"/>
  <c r="F23" i="1"/>
  <c r="M24" i="1"/>
  <c r="O24" i="1" s="1"/>
  <c r="K24" i="1"/>
  <c r="J24" i="1"/>
  <c r="G24" i="1"/>
  <c r="F24" i="1"/>
  <c r="M26" i="1"/>
  <c r="O26" i="1" s="1"/>
  <c r="K26" i="1"/>
  <c r="J26" i="1"/>
  <c r="G26" i="1"/>
  <c r="F26" i="1"/>
  <c r="M27" i="1"/>
  <c r="N27" i="1" s="1"/>
  <c r="K27" i="1"/>
  <c r="J27" i="1"/>
  <c r="G27" i="1"/>
  <c r="F27" i="1"/>
  <c r="M28" i="1"/>
  <c r="O28" i="1" s="1"/>
  <c r="K28" i="1"/>
  <c r="J28" i="1"/>
  <c r="G28" i="1"/>
  <c r="F28" i="1"/>
  <c r="M29" i="1"/>
  <c r="N29" i="1" s="1"/>
  <c r="K29" i="1"/>
  <c r="J29" i="1"/>
  <c r="G29" i="1"/>
  <c r="F29" i="1"/>
  <c r="M30" i="1"/>
  <c r="O30" i="1" s="1"/>
  <c r="K30" i="1"/>
  <c r="J30" i="1"/>
  <c r="G30" i="1"/>
  <c r="F30" i="1"/>
  <c r="M31" i="1"/>
  <c r="O31" i="1" s="1"/>
  <c r="K31" i="1"/>
  <c r="J31" i="1"/>
  <c r="G31" i="1"/>
  <c r="F31" i="1"/>
  <c r="M32" i="1"/>
  <c r="O32" i="1" s="1"/>
  <c r="K32" i="1"/>
  <c r="J32" i="1"/>
  <c r="G32" i="1"/>
  <c r="F32" i="1"/>
  <c r="M33" i="1"/>
  <c r="O33" i="1" s="1"/>
  <c r="K33" i="1"/>
  <c r="J33" i="1"/>
  <c r="G33" i="1"/>
  <c r="F33" i="1"/>
  <c r="J34" i="1" l="1"/>
  <c r="J49" i="1"/>
  <c r="J58" i="1"/>
  <c r="K58" i="1"/>
  <c r="F58" i="1"/>
  <c r="M58" i="1"/>
  <c r="N42" i="1"/>
  <c r="N43" i="1"/>
  <c r="N44" i="1"/>
  <c r="N45" i="1"/>
  <c r="N46" i="1"/>
  <c r="N47" i="1"/>
  <c r="N48" i="1"/>
  <c r="N50" i="1"/>
  <c r="N51" i="1"/>
  <c r="N52" i="1"/>
  <c r="N53" i="1"/>
  <c r="N54" i="1"/>
  <c r="N55" i="1"/>
  <c r="N56" i="1"/>
  <c r="N57" i="1"/>
  <c r="K34" i="1"/>
  <c r="F34" i="1"/>
  <c r="M34" i="1"/>
  <c r="N18" i="1"/>
  <c r="N19" i="1"/>
  <c r="O20" i="1"/>
  <c r="N21" i="1"/>
  <c r="O22" i="1"/>
  <c r="O23" i="1"/>
  <c r="N24" i="1"/>
  <c r="N26" i="1"/>
  <c r="O27" i="1"/>
  <c r="N28" i="1"/>
  <c r="O29" i="1"/>
  <c r="N30" i="1"/>
  <c r="N31" i="1"/>
  <c r="N32" i="1"/>
  <c r="N33" i="1"/>
  <c r="F41" i="1"/>
  <c r="F49" i="1" s="1"/>
  <c r="F17" i="1"/>
  <c r="F25" i="1" s="1"/>
  <c r="N58" i="1" l="1"/>
  <c r="N34" i="1"/>
  <c r="G41" i="1"/>
  <c r="G17" i="1"/>
  <c r="J17" i="1"/>
  <c r="K17" i="1"/>
  <c r="K25" i="1" s="1"/>
  <c r="M17" i="1"/>
  <c r="O17" i="1"/>
  <c r="N17" i="1" l="1"/>
  <c r="N25" i="1" s="1"/>
  <c r="M25" i="1"/>
  <c r="O25" i="1" s="1"/>
  <c r="M41" i="1" l="1"/>
  <c r="O41" i="1" l="1"/>
  <c r="M49" i="1"/>
  <c r="O49" i="1" s="1"/>
  <c r="K41" i="1"/>
  <c r="K49" i="1" s="1"/>
  <c r="J41" i="1"/>
  <c r="N41" i="1" l="1"/>
  <c r="N49" i="1" s="1"/>
</calcChain>
</file>

<file path=xl/sharedStrings.xml><?xml version="1.0" encoding="utf-8"?>
<sst xmlns="http://schemas.openxmlformats.org/spreadsheetml/2006/main" count="143" uniqueCount="65">
  <si>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</si>
  <si>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</si>
  <si>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</si>
  <si>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</si>
  <si>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</si>
  <si>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</si>
  <si>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</si>
  <si>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</si>
  <si>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</si>
  <si>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</si>
  <si>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</si>
  <si>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</si>
  <si>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</si>
  <si>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</si>
  <si>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</si>
  <si>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</si>
  <si>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</si>
  <si>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</si>
  <si>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</si>
  <si>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</si>
  <si>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</si>
  <si>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</si>
  <si>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</si>
  <si>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</si>
  <si>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</si>
  <si>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</si>
  <si>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</si>
  <si>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</si>
  <si>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</si>
  <si>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</si>
  <si>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</si>
  <si>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</si>
  <si>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</si>
  <si>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</si>
  <si>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</si>
  <si>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</si>
  <si>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</si>
  <si>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</si>
  <si>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</si>
  <si>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</si>
  <si>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</si>
  <si>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</si>
  <si>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</si>
  <si>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</si>
  <si>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</si>
  <si>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</si>
  <si>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</si>
  <si>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</si>
  <si>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Project Management</t>
  </si>
  <si>
    <t xml:space="preserve">Project Organization </t>
  </si>
  <si>
    <t>Project Managers</t>
  </si>
  <si>
    <t>Piotr Klek</t>
  </si>
  <si>
    <t>Piotr Klek - Project Managers</t>
  </si>
  <si>
    <t>E872</t>
  </si>
  <si>
    <t>Bogucki, Michal</t>
  </si>
  <si>
    <t>Dobrut, Grzegorz</t>
  </si>
  <si>
    <t>Furtak, Dariusz</t>
  </si>
  <si>
    <t>Piecyk, Tomasz</t>
  </si>
  <si>
    <t>Altewegier, Pawel</t>
  </si>
  <si>
    <t>Frydrych, Mateusz</t>
  </si>
  <si>
    <t>Kotas, Magdalena</t>
  </si>
  <si>
    <t>Pawlowska, Agnieszka</t>
  </si>
  <si>
    <t>E556</t>
  </si>
  <si>
    <t>E872 Suma</t>
  </si>
  <si>
    <t>E556 Suma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</si>
</sst>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6">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s>
  <borders count="27">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88">
    <xf numFmtId="0" fontId="0" fillId="0" borderId="0" xfId="0"/>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2" fontId="3" fillId="0" borderId="2" xfId="0" applyNumberFormat="1" applyFont="1" applyBorder="1" applyAlignment="1" applyProtection="1">
      <alignment horizontal="center" vertical="center" wrapText="1"/>
    </xf>
    <xf numFmtId="2" fontId="3" fillId="0" borderId="3" xfId="0" applyNumberFormat="1" applyFont="1" applyBorder="1" applyAlignment="1" applyProtection="1">
      <alignment horizontal="center" vertical="center" wrapText="1"/>
    </xf>
    <xf numFmtId="0" fontId="0" fillId="0" borderId="3" xfId="0" applyBorder="1" applyProtection="1"/>
    <xf numFmtId="0" fontId="0" fillId="0" borderId="0" xfId="0" applyBorder="1" applyProtection="1"/>
    <xf numFmtId="0" fontId="0" fillId="0" borderId="5" xfId="0" applyBorder="1" applyProtection="1"/>
    <xf numFmtId="0" fontId="20" fillId="0" borderId="2" xfId="0" applyFont="1" applyBorder="1" applyAlignment="1" applyProtection="1">
      <alignment horizontal="center" vertical="center"/>
    </xf>
    <xf numFmtId="0" fontId="20" fillId="0" borderId="4" xfId="0" applyFont="1" applyBorder="1" applyAlignment="1" applyProtection="1">
      <alignment horizontal="center" vertical="center"/>
    </xf>
    <xf numFmtId="0" fontId="20" fillId="0" borderId="0" xfId="0" applyFont="1" applyBorder="1" applyAlignment="1" applyProtection="1">
      <alignment horizontal="center" vertical="center"/>
    </xf>
    <xf numFmtId="0" fontId="0" fillId="0" borderId="0" xfId="0" applyProtection="1"/>
    <xf numFmtId="14" fontId="4" fillId="0" borderId="6" xfId="0" applyNumberFormat="1" applyFont="1" applyBorder="1" applyAlignment="1" applyProtection="1">
      <alignment horizontal="center" vertical="center"/>
    </xf>
    <xf numFmtId="0" fontId="0" fillId="0" borderId="7" xfId="0" applyBorder="1" applyAlignment="1" applyProtection="1">
      <alignment horizontal="center" vertical="center"/>
    </xf>
    <xf numFmtId="167" fontId="4" fillId="0" borderId="7" xfId="0" applyNumberFormat="1" applyFont="1" applyBorder="1" applyAlignment="1" applyProtection="1">
      <alignment horizontal="center" vertical="center"/>
    </xf>
    <xf numFmtId="14" fontId="4" fillId="0" borderId="7" xfId="0" applyNumberFormat="1" applyFont="1" applyBorder="1" applyAlignment="1" applyProtection="1">
      <alignment horizontal="center" vertical="center"/>
    </xf>
    <xf numFmtId="167" fontId="4" fillId="0" borderId="8" xfId="0" applyNumberFormat="1" applyFont="1" applyBorder="1" applyAlignment="1" applyProtection="1">
      <alignment horizontal="center" vertical="center"/>
    </xf>
    <xf numFmtId="2" fontId="3" fillId="0" borderId="0" xfId="0" applyNumberFormat="1" applyFont="1" applyBorder="1" applyAlignment="1" applyProtection="1">
      <alignment horizontal="center" vertical="center" wrapText="1"/>
    </xf>
    <xf numFmtId="0" fontId="4" fillId="0" borderId="2" xfId="0" applyFont="1" applyBorder="1" applyAlignment="1" applyProtection="1">
      <alignment horizontal="center" vertical="center"/>
    </xf>
    <xf numFmtId="0" fontId="7" fillId="0" borderId="4" xfId="0" applyFont="1" applyBorder="1" applyAlignment="1" applyProtection="1">
      <alignment horizontal="center" vertical="center"/>
    </xf>
    <xf numFmtId="0" fontId="7" fillId="0" borderId="0" xfId="0" applyFont="1" applyBorder="1" applyAlignment="1" applyProtection="1">
      <alignment horizontal="center" vertical="center"/>
    </xf>
    <xf numFmtId="0" fontId="4" fillId="0" borderId="5" xfId="0" applyFont="1" applyBorder="1" applyAlignment="1" applyProtection="1">
      <alignment horizontal="center" vertical="center"/>
    </xf>
    <xf numFmtId="0" fontId="7" fillId="0" borderId="9" xfId="0" applyFont="1" applyBorder="1" applyAlignment="1" applyProtection="1">
      <alignment horizontal="center" vertical="center"/>
    </xf>
    <xf numFmtId="0" fontId="0" fillId="0" borderId="0" xfId="0" applyBorder="1" applyAlignment="1" applyProtection="1"/>
    <xf numFmtId="0" fontId="5" fillId="0" borderId="9" xfId="0" applyFont="1" applyBorder="1" applyAlignment="1" applyProtection="1">
      <alignment horizontal="center" vertical="center"/>
    </xf>
    <xf numFmtId="0" fontId="5" fillId="0" borderId="0" xfId="0" applyFont="1" applyBorder="1" applyAlignment="1" applyProtection="1">
      <alignment horizontal="center" vertical="center"/>
    </xf>
    <xf numFmtId="0" fontId="4" fillId="0" borderId="6" xfId="0" applyFont="1" applyBorder="1" applyAlignment="1" applyProtection="1">
      <alignment horizontal="center" vertical="center"/>
    </xf>
    <xf numFmtId="0" fontId="7" fillId="0" borderId="8" xfId="0" applyFont="1" applyBorder="1" applyAlignment="1" applyProtection="1">
      <alignment horizontal="center" vertical="center"/>
    </xf>
    <xf numFmtId="0" fontId="10" fillId="0" borderId="3" xfId="0" applyFont="1" applyBorder="1" applyAlignment="1" applyProtection="1">
      <alignment horizontal="left" vertical="distributed" wrapText="1"/>
    </xf>
    <xf numFmtId="0" fontId="0" fillId="0" borderId="3" xfId="0" applyBorder="1" applyAlignment="1" applyProtection="1">
      <alignment horizontal="left" vertical="distributed" wrapText="1"/>
    </xf>
    <xf numFmtId="0" fontId="4" fillId="0" borderId="10" xfId="0" applyFont="1" applyBorder="1" applyAlignment="1" applyProtection="1">
      <alignment horizontal="center" vertical="center"/>
    </xf>
    <xf numFmtId="0" fontId="18" fillId="0" borderId="11" xfId="16" applyBorder="1" applyAlignment="1" applyProtection="1">
      <alignment horizontal="center" vertical="center"/>
    </xf>
    <xf numFmtId="0" fontId="18" fillId="0" borderId="0" xfId="16" applyBorder="1" applyAlignment="1" applyProtection="1">
      <alignment horizontal="center" vertical="center"/>
    </xf>
    <xf numFmtId="0" fontId="0" fillId="0" borderId="0" xfId="0" applyAlignment="1" applyProtection="1">
      <alignment horizontal="left" vertical="distributed" wrapText="1"/>
    </xf>
    <xf numFmtId="0" fontId="4" fillId="0" borderId="0" xfId="0" applyFont="1" applyBorder="1" applyAlignment="1" applyProtection="1">
      <alignment horizontal="center" vertical="center"/>
    </xf>
    <xf numFmtId="0" fontId="6" fillId="0" borderId="0" xfId="0" applyFont="1" applyBorder="1" applyAlignment="1" applyProtection="1">
      <alignment horizontal="left"/>
    </xf>
    <xf numFmtId="0" fontId="6" fillId="0" borderId="0" xfId="0" applyFont="1" applyBorder="1" applyProtection="1"/>
    <xf numFmtId="0" fontId="7" fillId="0" borderId="0" xfId="0" applyFont="1" applyBorder="1" applyProtection="1"/>
    <xf numFmtId="165" fontId="0" fillId="0" borderId="0" xfId="0" applyNumberFormat="1" applyBorder="1" applyProtection="1"/>
    <xf numFmtId="10" fontId="0" fillId="0" borderId="0" xfId="0" applyNumberFormat="1" applyBorder="1" applyProtection="1"/>
    <xf numFmtId="3" fontId="0" fillId="0" borderId="0" xfId="0" applyNumberFormat="1" applyBorder="1" applyProtection="1"/>
    <xf numFmtId="0" fontId="0" fillId="0" borderId="19" xfId="0" applyBorder="1" applyAlignment="1" applyProtection="1">
      <alignment horizontal="center" vertical="center"/>
    </xf>
    <xf numFmtId="0" fontId="0" fillId="0" borderId="20" xfId="0" applyBorder="1" applyAlignment="1" applyProtection="1">
      <alignment horizontal="center" vertical="center"/>
    </xf>
    <xf numFmtId="0" fontId="0" fillId="0" borderId="0" xfId="0" applyBorder="1" applyAlignment="1" applyProtection="1">
      <alignment horizontal="center" vertical="center"/>
    </xf>
    <xf numFmtId="3" fontId="8" fillId="0" borderId="17" xfId="0" applyNumberFormat="1" applyFont="1" applyBorder="1" applyAlignment="1" applyProtection="1">
      <alignment horizontal="center" vertical="center"/>
    </xf>
    <xf numFmtId="3" fontId="8" fillId="0" borderId="18" xfId="0" applyNumberFormat="1" applyFont="1" applyBorder="1" applyAlignment="1" applyProtection="1">
      <alignment horizontal="center" vertical="center"/>
    </xf>
    <xf numFmtId="3" fontId="8" fillId="0" borderId="12" xfId="0" applyNumberFormat="1" applyFont="1" applyBorder="1" applyAlignment="1" applyProtection="1">
      <alignment horizontal="center" vertical="center"/>
    </xf>
    <xf numFmtId="166" fontId="8" fillId="0" borderId="18" xfId="0" applyNumberFormat="1" applyFont="1" applyBorder="1" applyAlignment="1" applyProtection="1">
      <alignment horizontal="center" vertical="center"/>
    </xf>
    <xf numFmtId="166" fontId="8" fillId="5" borderId="12" xfId="0" applyNumberFormat="1" applyFont="1" applyFill="1" applyBorder="1" applyAlignment="1" applyProtection="1">
      <alignment horizontal="center" vertical="center"/>
    </xf>
    <xf numFmtId="3" fontId="8" fillId="5" borderId="12" xfId="0" applyNumberFormat="1" applyFont="1" applyFill="1" applyBorder="1" applyAlignment="1" applyProtection="1">
      <alignment horizontal="center" vertical="center"/>
    </xf>
    <xf numFmtId="10" fontId="9" fillId="0" borderId="0" xfId="0" applyNumberFormat="1" applyFont="1" applyBorder="1" applyProtection="1"/>
    <xf numFmtId="10" fontId="0" fillId="0" borderId="0" xfId="1" applyNumberFormat="1" applyFont="1" applyBorder="1" applyAlignment="1" applyProtection="1">
      <alignment horizontal="right" vertical="center"/>
    </xf>
    <xf numFmtId="0" fontId="5" fillId="0" borderId="0" xfId="0" applyFont="1" applyBorder="1" applyAlignment="1" applyProtection="1">
      <alignment horizontal="left"/>
    </xf>
    <xf numFmtId="3" fontId="23" fillId="0" borderId="17" xfId="0" applyNumberFormat="1" applyFont="1" applyBorder="1" applyAlignment="1" applyProtection="1">
      <alignment horizontal="center" vertical="center"/>
    </xf>
    <xf numFmtId="3" fontId="8" fillId="0" borderId="24" xfId="0" applyNumberFormat="1" applyFont="1" applyBorder="1" applyAlignment="1" applyProtection="1">
      <alignment horizontal="center" vertical="center"/>
    </xf>
    <xf numFmtId="3" fontId="8" fillId="0" borderId="25" xfId="0" applyNumberFormat="1" applyFont="1" applyBorder="1" applyAlignment="1" applyProtection="1">
      <alignment horizontal="center" vertical="center"/>
    </xf>
    <xf numFmtId="3" fontId="8" fillId="0" borderId="26" xfId="0" applyNumberFormat="1" applyFont="1" applyBorder="1" applyAlignment="1" applyProtection="1">
      <alignment horizontal="center" vertical="center"/>
    </xf>
    <xf numFmtId="166" fontId="8" fillId="0" borderId="25" xfId="0" applyNumberFormat="1" applyFont="1" applyBorder="1" applyAlignment="1" applyProtection="1">
      <alignment horizontal="center" vertical="center"/>
    </xf>
    <xf numFmtId="166" fontId="8" fillId="5" borderId="26" xfId="0" applyNumberFormat="1" applyFont="1" applyFill="1" applyBorder="1" applyAlignment="1" applyProtection="1">
      <alignment horizontal="center" vertical="center"/>
    </xf>
    <xf numFmtId="3" fontId="8" fillId="5" borderId="26" xfId="0" applyNumberFormat="1" applyFont="1" applyFill="1" applyBorder="1" applyAlignment="1" applyProtection="1">
      <alignment horizontal="center" vertical="center"/>
    </xf>
    <xf numFmtId="3" fontId="23" fillId="0" borderId="21" xfId="0" applyNumberFormat="1" applyFont="1" applyBorder="1" applyAlignment="1" applyProtection="1">
      <alignment horizontal="center" vertical="center"/>
    </xf>
    <xf numFmtId="3" fontId="8" fillId="0" borderId="22" xfId="0" applyNumberFormat="1" applyFont="1" applyBorder="1" applyAlignment="1" applyProtection="1">
      <alignment horizontal="center" vertical="center"/>
    </xf>
    <xf numFmtId="3" fontId="8" fillId="0" borderId="21" xfId="0" applyNumberFormat="1" applyFont="1" applyBorder="1" applyAlignment="1" applyProtection="1">
      <alignment horizontal="center" vertical="center"/>
    </xf>
    <xf numFmtId="3" fontId="8" fillId="0" borderId="23" xfId="0" applyNumberFormat="1" applyFont="1" applyBorder="1" applyAlignment="1" applyProtection="1">
      <alignment horizontal="center" vertical="center"/>
    </xf>
    <xf numFmtId="166" fontId="8" fillId="0" borderId="22" xfId="0" applyNumberFormat="1" applyFont="1" applyBorder="1" applyAlignment="1" applyProtection="1">
      <alignment horizontal="center" vertical="center"/>
    </xf>
    <xf numFmtId="166" fontId="8" fillId="5" borderId="23" xfId="0" applyNumberFormat="1" applyFont="1" applyFill="1" applyBorder="1" applyAlignment="1" applyProtection="1">
      <alignment horizontal="center" vertical="center"/>
    </xf>
    <xf numFmtId="3" fontId="8" fillId="5" borderId="23" xfId="0" applyNumberFormat="1" applyFont="1" applyFill="1" applyBorder="1" applyAlignment="1" applyProtection="1">
      <alignment horizontal="center" vertical="center"/>
    </xf>
    <xf numFmtId="0" fontId="21" fillId="0" borderId="4" xfId="0" applyFont="1" applyBorder="1" applyAlignment="1" applyProtection="1">
      <alignment horizontal="left" vertical="top"/>
      <protection locked="0"/>
    </xf>
    <xf numFmtId="0" fontId="21" fillId="0" borderId="9" xfId="0" applyFont="1" applyBorder="1" applyAlignment="1" applyProtection="1">
      <alignment horizontal="left" vertical="top"/>
      <protection locked="0"/>
    </xf>
    <xf numFmtId="0" fontId="21" fillId="0" borderId="11" xfId="0" applyFont="1" applyBorder="1" applyAlignment="1" applyProtection="1">
      <alignment horizontal="left" vertical="top"/>
      <protection locked="0"/>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160">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237"/>
  <sheetViews>
    <sheetView showGridLines="0" tabSelected="1" zoomScale="70" zoomScaleNormal="70" workbookViewId="0"/>
  </sheetViews>
  <sheetFormatPr defaultColWidth="9.140625" defaultRowHeight="12.75" zeroHeight="1" outlineLevelRow="2" x14ac:dyDescent="0.2"/>
  <cols>
    <col min="1" max="1" width="5.7109375" style="29" customWidth="1"/>
    <col min="2" max="2" width="17.28515625" style="29" customWidth="1"/>
    <col min="3" max="3" width="36" style="29" customWidth="1"/>
    <col min="4" max="15" width="16.7109375" style="29" customWidth="1"/>
    <col min="16" max="16" width="5.7109375" style="29" customWidth="1"/>
    <col min="17" max="37" width="16.85546875" style="29" hidden="1" customWidth="1"/>
    <col min="38" max="38" width="18.85546875" style="29" hidden="1" customWidth="1"/>
    <col min="39" max="40" width="20.28515625" style="29" hidden="1" customWidth="1"/>
    <col min="41" max="42" width="26.42578125" style="29" hidden="1" customWidth="1"/>
    <col min="43" max="187" width="10.5703125" style="29" hidden="1" customWidth="1"/>
    <col min="188" max="189" width="15.42578125" style="29" hidden="1" customWidth="1"/>
    <col min="190" max="16383" width="9.140625" style="29"/>
    <col min="16384" max="16384" width="0.42578125" style="29" customWidth="1"/>
  </cols>
  <sheetData>
    <row r="1" spans="1:16" s="24" customFormat="1" ht="16.5" thickBot="1" x14ac:dyDescent="0.25">
      <c r="A1" s="21"/>
      <c r="B1" s="22"/>
      <c r="C1" s="22"/>
      <c r="D1" s="22"/>
      <c r="E1" s="22"/>
      <c r="F1" s="22"/>
      <c r="G1" s="22"/>
      <c r="H1" s="22"/>
      <c r="I1" s="22"/>
      <c r="J1" s="22"/>
      <c r="K1" s="22"/>
      <c r="L1" s="22"/>
      <c r="M1" s="22"/>
      <c r="N1" s="22"/>
      <c r="O1" s="23"/>
    </row>
    <row r="2" spans="1:16" s="24" customFormat="1" ht="33.75" customHeight="1" thickBot="1" x14ac:dyDescent="0.25">
      <c r="A2" s="25"/>
      <c r="B2" s="26" t="s">
        <v>5</v>
      </c>
      <c r="C2" s="27"/>
      <c r="D2" s="28"/>
      <c r="E2" s="29"/>
      <c r="F2" s="30" t="s">
        <v>12</v>
      </c>
      <c r="G2" s="31"/>
      <c r="H2" s="32">
        <v>42840</v>
      </c>
      <c r="I2" s="33" t="s">
        <v>11</v>
      </c>
      <c r="J2" s="34">
        <v>42855</v>
      </c>
      <c r="K2" s="35"/>
      <c r="L2" s="35"/>
      <c r="M2" s="35"/>
      <c r="N2" s="35"/>
    </row>
    <row r="3" spans="1:16" s="24" customFormat="1" ht="33.75" customHeight="1" x14ac:dyDescent="0.2">
      <c r="A3" s="25"/>
      <c r="B3" s="36" t="s">
        <v>6</v>
      </c>
      <c r="C3" s="37" t="s">
        <v>7</v>
      </c>
      <c r="D3" s="38"/>
      <c r="E3" s="35"/>
      <c r="F3" s="29"/>
      <c r="G3" s="29"/>
      <c r="H3" s="29"/>
      <c r="I3" s="29"/>
      <c r="J3" s="29"/>
      <c r="K3" s="35"/>
      <c r="L3" s="35"/>
      <c r="M3" s="35"/>
      <c r="N3" s="35"/>
    </row>
    <row r="4" spans="1:16" s="24" customFormat="1" ht="33.75" customHeight="1" thickBot="1" x14ac:dyDescent="0.25">
      <c r="A4" s="25"/>
      <c r="B4" s="39" t="s">
        <v>8</v>
      </c>
      <c r="C4" s="40" t="s">
        <v>48</v>
      </c>
      <c r="D4" s="38"/>
      <c r="E4" s="35"/>
      <c r="F4" s="41" t="s">
        <v>4</v>
      </c>
      <c r="G4" s="41"/>
      <c r="N4" s="35"/>
    </row>
    <row r="5" spans="1:16" s="24" customFormat="1" ht="33.75" customHeight="1" thickBot="1" x14ac:dyDescent="0.25">
      <c r="A5" s="25"/>
      <c r="B5" s="39" t="s">
        <v>0</v>
      </c>
      <c r="C5" s="42" t="s">
        <v>49</v>
      </c>
      <c r="D5" s="43"/>
      <c r="E5" s="35"/>
      <c r="F5" s="10"/>
      <c r="G5" s="11"/>
      <c r="H5" s="11"/>
      <c r="I5" s="11"/>
      <c r="J5" s="11"/>
      <c r="K5" s="11"/>
      <c r="L5" s="11"/>
      <c r="M5" s="11"/>
      <c r="N5" s="11"/>
      <c r="O5" s="85"/>
    </row>
    <row r="6" spans="1:16" s="24" customFormat="1" ht="33.75" customHeight="1" thickBot="1" x14ac:dyDescent="0.25">
      <c r="A6" s="25"/>
      <c r="B6" s="44" t="s">
        <v>9</v>
      </c>
      <c r="C6" s="45" t="s">
        <v>50</v>
      </c>
      <c r="D6" s="38"/>
      <c r="E6" s="35"/>
      <c r="F6" s="12"/>
      <c r="G6" s="13"/>
      <c r="H6" s="13"/>
      <c r="I6" s="13"/>
      <c r="J6" s="13"/>
      <c r="K6" s="13"/>
      <c r="L6" s="13"/>
      <c r="M6" s="13"/>
      <c r="N6" s="13"/>
      <c r="O6" s="86"/>
    </row>
    <row r="7" spans="1:16" s="24" customFormat="1" ht="33.75" customHeight="1" thickBot="1" x14ac:dyDescent="0.25">
      <c r="A7" s="25"/>
      <c r="B7" s="39" t="s">
        <v>10</v>
      </c>
      <c r="C7" s="40" t="s">
        <v>51</v>
      </c>
      <c r="D7" s="38"/>
      <c r="E7" s="35"/>
      <c r="F7" s="14"/>
      <c r="G7" s="15"/>
      <c r="H7" s="15"/>
      <c r="I7" s="15"/>
      <c r="J7" s="15"/>
      <c r="K7" s="15"/>
      <c r="L7" s="15"/>
      <c r="M7" s="15"/>
      <c r="N7" s="15"/>
      <c r="O7" s="87"/>
    </row>
    <row r="8" spans="1:16" s="24" customFormat="1" ht="33.75" customHeight="1" x14ac:dyDescent="0.2">
      <c r="A8" s="25"/>
      <c r="B8" s="39" t="s">
        <v>1</v>
      </c>
      <c r="C8" s="42" t="s">
        <v>52</v>
      </c>
      <c r="D8" s="43"/>
      <c r="E8" s="35"/>
      <c r="F8" s="46" t="s">
        <v>37</v>
      </c>
      <c r="G8" s="47"/>
      <c r="H8" s="47"/>
      <c r="I8" s="47"/>
      <c r="J8" s="47"/>
      <c r="K8" s="47"/>
      <c r="L8" s="47"/>
      <c r="M8" s="47"/>
      <c r="N8" s="35"/>
    </row>
    <row r="9" spans="1:16" s="24" customFormat="1" ht="33.75" customHeight="1" thickBot="1" x14ac:dyDescent="0.25">
      <c r="A9" s="25"/>
      <c r="B9" s="48"/>
      <c r="C9" s="49"/>
      <c r="D9" s="50"/>
      <c r="E9" s="35"/>
      <c r="F9" s="51"/>
      <c r="G9" s="51"/>
      <c r="H9" s="51"/>
      <c r="I9" s="51"/>
      <c r="J9" s="51"/>
      <c r="K9" s="51"/>
      <c r="L9" s="51"/>
      <c r="M9" s="51"/>
      <c r="N9" s="35"/>
    </row>
    <row r="10" spans="1:16" s="24" customFormat="1" ht="15.75" x14ac:dyDescent="0.2">
      <c r="A10" s="25"/>
      <c r="B10" s="52"/>
      <c r="C10" s="43"/>
      <c r="D10" s="43"/>
      <c r="E10" s="35"/>
      <c r="F10" s="35"/>
      <c r="G10" s="35"/>
      <c r="H10" s="35"/>
      <c r="I10" s="35"/>
      <c r="J10" s="35"/>
      <c r="K10" s="35"/>
      <c r="L10" s="35"/>
      <c r="M10" s="35"/>
      <c r="N10" s="35"/>
    </row>
    <row r="11" spans="1:16" s="24" customFormat="1" x14ac:dyDescent="0.2">
      <c r="A11" s="25"/>
    </row>
    <row r="12" spans="1:16" s="24" customFormat="1" x14ac:dyDescent="0.2">
      <c r="A12" s="25"/>
      <c r="B12" s="53" t="s">
        <v>13</v>
      </c>
      <c r="C12" s="54"/>
      <c r="D12" s="54"/>
      <c r="E12" s="54"/>
      <c r="F12" s="55"/>
      <c r="G12" s="55"/>
      <c r="H12" s="56"/>
      <c r="K12" s="57"/>
      <c r="M12" s="58"/>
    </row>
    <row r="13" spans="1:16" s="24" customFormat="1" ht="13.5" thickBot="1" x14ac:dyDescent="0.25">
      <c r="A13" s="25"/>
    </row>
    <row r="14" spans="1:16" s="24" customFormat="1" x14ac:dyDescent="0.2">
      <c r="A14" s="25"/>
      <c r="B14" s="19"/>
      <c r="C14" s="20"/>
      <c r="D14" s="16" t="s">
        <v>38</v>
      </c>
      <c r="E14" s="17"/>
      <c r="F14" s="17"/>
      <c r="G14" s="18"/>
      <c r="H14" s="16" t="s">
        <v>39</v>
      </c>
      <c r="I14" s="17"/>
      <c r="J14" s="17"/>
      <c r="K14" s="17"/>
      <c r="L14" s="17"/>
      <c r="M14" s="17"/>
      <c r="N14" s="17"/>
      <c r="O14" s="18"/>
    </row>
    <row r="15" spans="1:16" s="24" customFormat="1" x14ac:dyDescent="0.2">
      <c r="A15" s="25"/>
      <c r="B15" s="59"/>
      <c r="C15" s="60"/>
      <c r="D15" s="1" t="s">
        <v>2</v>
      </c>
      <c r="E15" s="3" t="s">
        <v>3</v>
      </c>
      <c r="F15" s="3" t="s">
        <v>43</v>
      </c>
      <c r="G15" s="2" t="s">
        <v>40</v>
      </c>
      <c r="H15" s="1" t="s">
        <v>20</v>
      </c>
      <c r="I15" s="3" t="s">
        <v>33</v>
      </c>
      <c r="J15" s="4" t="s">
        <v>34</v>
      </c>
      <c r="K15" s="4" t="s">
        <v>35</v>
      </c>
      <c r="L15" s="3" t="s">
        <v>19</v>
      </c>
      <c r="M15" s="3" t="s">
        <v>36</v>
      </c>
      <c r="N15" s="3" t="s">
        <v>22</v>
      </c>
      <c r="O15" s="2" t="s">
        <v>23</v>
      </c>
      <c r="P15" s="61"/>
    </row>
    <row r="16" spans="1:16" s="24" customFormat="1" ht="76.5" x14ac:dyDescent="0.2">
      <c r="A16" s="25"/>
      <c r="B16" s="5" t="s">
        <v>14</v>
      </c>
      <c r="C16" s="6" t="s">
        <v>28</v>
      </c>
      <c r="D16" s="5" t="s">
        <v>44</v>
      </c>
      <c r="E16" s="7" t="s">
        <v>15</v>
      </c>
      <c r="F16" s="7" t="s">
        <v>41</v>
      </c>
      <c r="G16" s="6" t="s">
        <v>42</v>
      </c>
      <c r="H16" s="5" t="s">
        <v>25</v>
      </c>
      <c r="I16" s="7" t="s">
        <v>16</v>
      </c>
      <c r="J16" s="8" t="s">
        <v>18</v>
      </c>
      <c r="K16" s="8" t="s">
        <v>17</v>
      </c>
      <c r="L16" s="7" t="s">
        <v>26</v>
      </c>
      <c r="M16" s="7" t="s">
        <v>21</v>
      </c>
      <c r="N16" s="9" t="s">
        <v>27</v>
      </c>
      <c r="O16" s="6" t="s">
        <v>24</v>
      </c>
    </row>
    <row r="17" spans="1:19" s="24" customFormat="1" hidden="1" outlineLevel="2" x14ac:dyDescent="0.2">
      <c r="A17" s="25"/>
      <c r="B17" s="62" t="s">
        <v>53</v>
      </c>
      <c r="C17" s="63" t="s">
        <v>54</v>
      </c>
      <c r="D17" s="62">
        <v>0</v>
      </c>
      <c r="E17" s="64">
        <v>0</v>
      </c>
      <c r="F17" s="64">
        <f>MAX(D17-E17, 0)</f>
        <v>0</v>
      </c>
      <c r="G17" s="65">
        <f>IF(D17=0,0,ABS(E17/D17))</f>
        <v>0</v>
      </c>
      <c r="H17" s="62">
        <v>0</v>
      </c>
      <c r="I17" s="64">
        <v>6.5</v>
      </c>
      <c r="J17" s="66" t="str">
        <f>IF(H17=0,"No plan at start",I17/H17)</f>
        <v>No plan at start</v>
      </c>
      <c r="K17" s="67">
        <f>H17-I17</f>
        <v>-6.5</v>
      </c>
      <c r="L17" s="64">
        <v>0</v>
      </c>
      <c r="M17" s="64">
        <f>I17+L17</f>
        <v>6.5</v>
      </c>
      <c r="N17" s="64">
        <f>M17-H17</f>
        <v>6.5</v>
      </c>
      <c r="O17" s="65" t="str">
        <f>IF(H17=0,"No plan at start",M17/H17)</f>
        <v>No plan at start</v>
      </c>
      <c r="P17" s="68"/>
      <c r="Q17" s="69"/>
      <c r="R17" s="70"/>
      <c r="S17" s="70"/>
    </row>
    <row r="18" spans="1:19" s="24" customFormat="1" hidden="1" outlineLevel="2" x14ac:dyDescent="0.2">
      <c r="A18" s="25"/>
      <c r="B18" s="62" t="s">
        <v>53</v>
      </c>
      <c r="C18" s="63" t="s">
        <v>55</v>
      </c>
      <c r="D18" s="62">
        <v>0</v>
      </c>
      <c r="E18" s="64">
        <v>0</v>
      </c>
      <c r="F18" s="64">
        <f>MAX(D18-E18, 0)</f>
        <v>0</v>
      </c>
      <c r="G18" s="65">
        <f>IF(D18=0,0,ABS(E18/D18))</f>
        <v>0</v>
      </c>
      <c r="H18" s="62">
        <v>0</v>
      </c>
      <c r="I18" s="64">
        <v>0</v>
      </c>
      <c r="J18" s="66" t="str">
        <f>IF(H18=0,"No plan at start",I18/H18)</f>
        <v>No plan at start</v>
      </c>
      <c r="K18" s="67">
        <f>H18-I18</f>
        <v>0</v>
      </c>
      <c r="L18" s="64">
        <v>0</v>
      </c>
      <c r="M18" s="64">
        <f>I18+L18</f>
        <v>0</v>
      </c>
      <c r="N18" s="64">
        <f>M18-H18</f>
        <v>0</v>
      </c>
      <c r="O18" s="65" t="str">
        <f>IF(H18=0,"No plan at start",M18/H18)</f>
        <v>No plan at start</v>
      </c>
      <c r="P18" s="68"/>
      <c r="Q18" s="69"/>
      <c r="R18" s="70"/>
      <c r="S18" s="70"/>
    </row>
    <row r="19" spans="1:19" s="24" customFormat="1" hidden="1" outlineLevel="2" x14ac:dyDescent="0.2">
      <c r="A19" s="25"/>
      <c r="B19" s="62" t="s">
        <v>53</v>
      </c>
      <c r="C19" s="63" t="s">
        <v>56</v>
      </c>
      <c r="D19" s="62">
        <v>76</v>
      </c>
      <c r="E19" s="64">
        <v>64</v>
      </c>
      <c r="F19" s="64">
        <f>MAX(D19-E19, 0)</f>
        <v>12</v>
      </c>
      <c r="G19" s="65">
        <f>IF(D19=0,0,ABS(E19/D19))</f>
        <v>0.84210526315789469</v>
      </c>
      <c r="H19" s="62">
        <v>6801.6</v>
      </c>
      <c r="I19" s="64">
        <v>3699.75</v>
      </c>
      <c r="J19" s="66">
        <f>IF(H19=0,"No plan at start",I19/H19)</f>
        <v>0.54395289343683839</v>
      </c>
      <c r="K19" s="67">
        <f>H19-I19</f>
        <v>3101.8500000000004</v>
      </c>
      <c r="L19" s="64">
        <v>2796.0000000000005</v>
      </c>
      <c r="M19" s="64">
        <f>I19+L19</f>
        <v>6495.75</v>
      </c>
      <c r="N19" s="64">
        <f>M19-H19</f>
        <v>-305.85000000000036</v>
      </c>
      <c r="O19" s="65">
        <f>IF(H19=0,"No plan at start",M19/H19)</f>
        <v>0.95503263937896965</v>
      </c>
      <c r="P19" s="68"/>
      <c r="Q19" s="69"/>
      <c r="R19" s="70"/>
      <c r="S19" s="70"/>
    </row>
    <row r="20" spans="1:19" s="24" customFormat="1" hidden="1" outlineLevel="2" x14ac:dyDescent="0.2">
      <c r="A20" s="25"/>
      <c r="B20" s="62" t="s">
        <v>53</v>
      </c>
      <c r="C20" s="63" t="s">
        <v>57</v>
      </c>
      <c r="D20" s="62">
        <v>0</v>
      </c>
      <c r="E20" s="64">
        <v>0</v>
      </c>
      <c r="F20" s="64">
        <f>MAX(D20-E20, 0)</f>
        <v>0</v>
      </c>
      <c r="G20" s="65">
        <f>IF(D20=0,0,ABS(E20/D20))</f>
        <v>0</v>
      </c>
      <c r="H20" s="62">
        <v>0</v>
      </c>
      <c r="I20" s="64">
        <v>0</v>
      </c>
      <c r="J20" s="66" t="str">
        <f>IF(H20=0,"No plan at start",I20/H20)</f>
        <v>No plan at start</v>
      </c>
      <c r="K20" s="67">
        <f>H20-I20</f>
        <v>0</v>
      </c>
      <c r="L20" s="64">
        <v>0</v>
      </c>
      <c r="M20" s="64">
        <f>I20+L20</f>
        <v>0</v>
      </c>
      <c r="N20" s="64">
        <f>M20-H20</f>
        <v>0</v>
      </c>
      <c r="O20" s="65" t="str">
        <f>IF(H20=0,"No plan at start",M20/H20)</f>
        <v>No plan at start</v>
      </c>
      <c r="P20" s="68"/>
      <c r="Q20" s="69"/>
      <c r="R20" s="70"/>
      <c r="S20" s="70"/>
    </row>
    <row r="21" spans="1:19" s="24" customFormat="1" hidden="1" outlineLevel="2" x14ac:dyDescent="0.2">
      <c r="A21" s="25"/>
      <c r="B21" s="62" t="s">
        <v>53</v>
      </c>
      <c r="C21" s="63" t="s">
        <v>58</v>
      </c>
      <c r="D21" s="62">
        <v>0</v>
      </c>
      <c r="E21" s="64">
        <v>0</v>
      </c>
      <c r="F21" s="64">
        <f>MAX(D21-E21, 0)</f>
        <v>0</v>
      </c>
      <c r="G21" s="65">
        <f>IF(D21=0,0,ABS(E21/D21))</f>
        <v>0</v>
      </c>
      <c r="H21" s="62">
        <v>0</v>
      </c>
      <c r="I21" s="64">
        <v>0</v>
      </c>
      <c r="J21" s="66" t="str">
        <f>IF(H21=0,"No plan at start",I21/H21)</f>
        <v>No plan at start</v>
      </c>
      <c r="K21" s="67">
        <f>H21-I21</f>
        <v>0</v>
      </c>
      <c r="L21" s="64">
        <v>0</v>
      </c>
      <c r="M21" s="64">
        <f>I21+L21</f>
        <v>0</v>
      </c>
      <c r="N21" s="64">
        <f>M21-H21</f>
        <v>0</v>
      </c>
      <c r="O21" s="65" t="str">
        <f>IF(H21=0,"No plan at start",M21/H21)</f>
        <v>No plan at start</v>
      </c>
      <c r="P21" s="68"/>
      <c r="Q21" s="69"/>
      <c r="R21" s="70"/>
      <c r="S21" s="70"/>
    </row>
    <row r="22" spans="1:19" s="24" customFormat="1" hidden="1" outlineLevel="2" x14ac:dyDescent="0.2">
      <c r="A22" s="25"/>
      <c r="B22" s="62" t="s">
        <v>53</v>
      </c>
      <c r="C22" s="63" t="s">
        <v>59</v>
      </c>
      <c r="D22" s="62">
        <v>0</v>
      </c>
      <c r="E22" s="64">
        <v>0</v>
      </c>
      <c r="F22" s="64">
        <f>MAX(D22-E22, 0)</f>
        <v>0</v>
      </c>
      <c r="G22" s="65">
        <f>IF(D22=0,0,ABS(E22/D22))</f>
        <v>0</v>
      </c>
      <c r="H22" s="62">
        <v>0</v>
      </c>
      <c r="I22" s="64">
        <v>0</v>
      </c>
      <c r="J22" s="66" t="str">
        <f>IF(H22=0,"No plan at start",I22/H22)</f>
        <v>No plan at start</v>
      </c>
      <c r="K22" s="67">
        <f>H22-I22</f>
        <v>0</v>
      </c>
      <c r="L22" s="64">
        <v>0</v>
      </c>
      <c r="M22" s="64">
        <f>I22+L22</f>
        <v>0</v>
      </c>
      <c r="N22" s="64">
        <f>M22-H22</f>
        <v>0</v>
      </c>
      <c r="O22" s="65" t="str">
        <f>IF(H22=0,"No plan at start",M22/H22)</f>
        <v>No plan at start</v>
      </c>
      <c r="P22" s="68"/>
      <c r="Q22" s="69"/>
      <c r="R22" s="70"/>
      <c r="S22" s="70"/>
    </row>
    <row r="23" spans="1:19" s="24" customFormat="1" hidden="1" outlineLevel="2" x14ac:dyDescent="0.2">
      <c r="A23" s="25"/>
      <c r="B23" s="62" t="s">
        <v>53</v>
      </c>
      <c r="C23" s="63" t="s">
        <v>60</v>
      </c>
      <c r="D23" s="62">
        <v>0</v>
      </c>
      <c r="E23" s="64">
        <v>0</v>
      </c>
      <c r="F23" s="64">
        <f>MAX(D23-E23, 0)</f>
        <v>0</v>
      </c>
      <c r="G23" s="65">
        <f>IF(D23=0,0,ABS(E23/D23))</f>
        <v>0</v>
      </c>
      <c r="H23" s="62">
        <v>0</v>
      </c>
      <c r="I23" s="64">
        <v>0</v>
      </c>
      <c r="J23" s="66" t="str">
        <f>IF(H23=0,"No plan at start",I23/H23)</f>
        <v>No plan at start</v>
      </c>
      <c r="K23" s="67">
        <f>H23-I23</f>
        <v>0</v>
      </c>
      <c r="L23" s="64">
        <v>0</v>
      </c>
      <c r="M23" s="64">
        <f>I23+L23</f>
        <v>0</v>
      </c>
      <c r="N23" s="64">
        <f>M23-H23</f>
        <v>0</v>
      </c>
      <c r="O23" s="65" t="str">
        <f>IF(H23=0,"No plan at start",M23/H23)</f>
        <v>No plan at start</v>
      </c>
      <c r="P23" s="68"/>
      <c r="Q23" s="69"/>
      <c r="R23" s="70"/>
      <c r="S23" s="70"/>
    </row>
    <row r="24" spans="1:19" s="24" customFormat="1" hidden="1" outlineLevel="2" x14ac:dyDescent="0.2">
      <c r="A24" s="25"/>
      <c r="B24" s="62" t="s">
        <v>53</v>
      </c>
      <c r="C24" s="63" t="s">
        <v>61</v>
      </c>
      <c r="D24" s="62">
        <v>0</v>
      </c>
      <c r="E24" s="64">
        <v>0</v>
      </c>
      <c r="F24" s="64">
        <f>MAX(D24-E24, 0)</f>
        <v>0</v>
      </c>
      <c r="G24" s="65">
        <f>IF(D24=0,0,ABS(E24/D24))</f>
        <v>0</v>
      </c>
      <c r="H24" s="62">
        <v>0</v>
      </c>
      <c r="I24" s="64">
        <v>0</v>
      </c>
      <c r="J24" s="66" t="str">
        <f>IF(H24=0,"No plan at start",I24/H24)</f>
        <v>No plan at start</v>
      </c>
      <c r="K24" s="67">
        <f>H24-I24</f>
        <v>0</v>
      </c>
      <c r="L24" s="64">
        <v>0</v>
      </c>
      <c r="M24" s="64">
        <f>I24+L24</f>
        <v>0</v>
      </c>
      <c r="N24" s="64">
        <f>M24-H24</f>
        <v>0</v>
      </c>
      <c r="O24" s="65" t="str">
        <f>IF(H24=0,"No plan at start",M24/H24)</f>
        <v>No plan at start</v>
      </c>
      <c r="P24" s="68"/>
      <c r="Q24" s="69"/>
      <c r="R24" s="70"/>
      <c r="S24" s="70"/>
    </row>
    <row r="25" spans="1:19" s="24" customFormat="1" outlineLevel="1" collapsed="1" x14ac:dyDescent="0.2">
      <c r="A25" s="25"/>
      <c r="B25" s="71" t="s">
        <v>63</v>
      </c>
      <c r="C25" s="63"/>
      <c r="D25" s="62">
        <f>SUBTOTAL(9,D17:D24)</f>
        <v>76</v>
      </c>
      <c r="E25" s="64">
        <f>SUBTOTAL(9,E17:E24)</f>
        <v>64</v>
      </c>
      <c r="F25" s="64">
        <f>SUBTOTAL(9,F17:F24)</f>
        <v>12</v>
      </c>
      <c r="G25" s="65">
        <f>IF(D25=0,0,ABS(E25/D25))</f>
        <v>0.84210526315789469</v>
      </c>
      <c r="H25" s="62">
        <f>SUBTOTAL(9,H17:H24)</f>
        <v>6801.6</v>
      </c>
      <c r="I25" s="64">
        <f>SUBTOTAL(9,I17:I24)</f>
        <v>3706.25</v>
      </c>
      <c r="J25" s="66">
        <f>IF(H25=0,"No plan at start",I25/H25)</f>
        <v>0.5449085509291931</v>
      </c>
      <c r="K25" s="67">
        <f>SUBTOTAL(9,K17:K24)</f>
        <v>3095.3500000000004</v>
      </c>
      <c r="L25" s="64">
        <f>SUBTOTAL(9,L17:L24)</f>
        <v>2796.0000000000005</v>
      </c>
      <c r="M25" s="64">
        <f>SUBTOTAL(9,M17:M24)</f>
        <v>6502.25</v>
      </c>
      <c r="N25" s="64">
        <f>SUBTOTAL(9,N17:N24)</f>
        <v>-299.35000000000036</v>
      </c>
      <c r="O25" s="65">
        <f>IF(H25=0,"No plan at start",M25/H25)</f>
        <v>0.95598829687132436</v>
      </c>
      <c r="P25" s="68"/>
      <c r="Q25" s="69"/>
      <c r="R25" s="70"/>
      <c r="S25" s="70"/>
    </row>
    <row r="26" spans="1:19" s="24" customFormat="1" hidden="1" outlineLevel="2" x14ac:dyDescent="0.2">
      <c r="A26" s="25"/>
      <c r="B26" s="62" t="s">
        <v>62</v>
      </c>
      <c r="C26" s="63" t="s">
        <v>54</v>
      </c>
      <c r="D26" s="62">
        <v>0</v>
      </c>
      <c r="E26" s="64">
        <v>0</v>
      </c>
      <c r="F26" s="64">
        <f>MAX(D26-E26, 0)</f>
        <v>0</v>
      </c>
      <c r="G26" s="65">
        <f>IF(D26=0,0,ABS(E26/D26))</f>
        <v>0</v>
      </c>
      <c r="H26" s="62">
        <v>0</v>
      </c>
      <c r="I26" s="64">
        <v>0</v>
      </c>
      <c r="J26" s="66" t="str">
        <f>IF(H26=0,"No plan at start",I26/H26)</f>
        <v>No plan at start</v>
      </c>
      <c r="K26" s="67">
        <f>H26-I26</f>
        <v>0</v>
      </c>
      <c r="L26" s="64">
        <v>0</v>
      </c>
      <c r="M26" s="64">
        <f>I26+L26</f>
        <v>0</v>
      </c>
      <c r="N26" s="64">
        <f>M26-H26</f>
        <v>0</v>
      </c>
      <c r="O26" s="65" t="str">
        <f>IF(H26=0,"No plan at start",M26/H26)</f>
        <v>No plan at start</v>
      </c>
      <c r="P26" s="68"/>
      <c r="Q26" s="69"/>
      <c r="R26" s="70"/>
      <c r="S26" s="70"/>
    </row>
    <row r="27" spans="1:19" s="24" customFormat="1" hidden="1" outlineLevel="2" x14ac:dyDescent="0.2">
      <c r="A27" s="25"/>
      <c r="B27" s="62" t="s">
        <v>62</v>
      </c>
      <c r="C27" s="63" t="s">
        <v>55</v>
      </c>
      <c r="D27" s="62">
        <v>0</v>
      </c>
      <c r="E27" s="64">
        <v>0</v>
      </c>
      <c r="F27" s="64">
        <f>MAX(D27-E27, 0)</f>
        <v>0</v>
      </c>
      <c r="G27" s="65">
        <f>IF(D27=0,0,ABS(E27/D27))</f>
        <v>0</v>
      </c>
      <c r="H27" s="62">
        <v>0</v>
      </c>
      <c r="I27" s="64">
        <v>0</v>
      </c>
      <c r="J27" s="66" t="str">
        <f>IF(H27=0,"No plan at start",I27/H27)</f>
        <v>No plan at start</v>
      </c>
      <c r="K27" s="67">
        <f>H27-I27</f>
        <v>0</v>
      </c>
      <c r="L27" s="64">
        <v>0</v>
      </c>
      <c r="M27" s="64">
        <f>I27+L27</f>
        <v>0</v>
      </c>
      <c r="N27" s="64">
        <f>M27-H27</f>
        <v>0</v>
      </c>
      <c r="O27" s="65" t="str">
        <f>IF(H27=0,"No plan at start",M27/H27)</f>
        <v>No plan at start</v>
      </c>
      <c r="P27" s="68"/>
      <c r="Q27" s="69"/>
      <c r="R27" s="70"/>
      <c r="S27" s="70"/>
    </row>
    <row r="28" spans="1:19" s="24" customFormat="1" hidden="1" outlineLevel="2" x14ac:dyDescent="0.2">
      <c r="A28" s="25"/>
      <c r="B28" s="62" t="s">
        <v>62</v>
      </c>
      <c r="C28" s="63" t="s">
        <v>56</v>
      </c>
      <c r="D28" s="62">
        <v>0</v>
      </c>
      <c r="E28" s="64">
        <v>0</v>
      </c>
      <c r="F28" s="64">
        <f>MAX(D28-E28, 0)</f>
        <v>0</v>
      </c>
      <c r="G28" s="65">
        <f>IF(D28=0,0,ABS(E28/D28))</f>
        <v>0</v>
      </c>
      <c r="H28" s="62">
        <v>0</v>
      </c>
      <c r="I28" s="64">
        <v>0</v>
      </c>
      <c r="J28" s="66" t="str">
        <f>IF(H28=0,"No plan at start",I28/H28)</f>
        <v>No plan at start</v>
      </c>
      <c r="K28" s="67">
        <f>H28-I28</f>
        <v>0</v>
      </c>
      <c r="L28" s="64">
        <v>0</v>
      </c>
      <c r="M28" s="64">
        <f>I28+L28</f>
        <v>0</v>
      </c>
      <c r="N28" s="64">
        <f>M28-H28</f>
        <v>0</v>
      </c>
      <c r="O28" s="65" t="str">
        <f>IF(H28=0,"No plan at start",M28/H28)</f>
        <v>No plan at start</v>
      </c>
      <c r="P28" s="68"/>
      <c r="Q28" s="69"/>
      <c r="R28" s="70"/>
      <c r="S28" s="70"/>
    </row>
    <row r="29" spans="1:19" s="24" customFormat="1" hidden="1" outlineLevel="2" x14ac:dyDescent="0.2">
      <c r="A29" s="25"/>
      <c r="B29" s="62" t="s">
        <v>62</v>
      </c>
      <c r="C29" s="63" t="s">
        <v>57</v>
      </c>
      <c r="D29" s="62">
        <v>0</v>
      </c>
      <c r="E29" s="64">
        <v>0</v>
      </c>
      <c r="F29" s="64">
        <f>MAX(D29-E29, 0)</f>
        <v>0</v>
      </c>
      <c r="G29" s="65">
        <f>IF(D29=0,0,ABS(E29/D29))</f>
        <v>0</v>
      </c>
      <c r="H29" s="62">
        <v>0</v>
      </c>
      <c r="I29" s="64">
        <v>0</v>
      </c>
      <c r="J29" s="66" t="str">
        <f>IF(H29=0,"No plan at start",I29/H29)</f>
        <v>No plan at start</v>
      </c>
      <c r="K29" s="67">
        <f>H29-I29</f>
        <v>0</v>
      </c>
      <c r="L29" s="64">
        <v>0</v>
      </c>
      <c r="M29" s="64">
        <f>I29+L29</f>
        <v>0</v>
      </c>
      <c r="N29" s="64">
        <f>M29-H29</f>
        <v>0</v>
      </c>
      <c r="O29" s="65" t="str">
        <f>IF(H29=0,"No plan at start",M29/H29)</f>
        <v>No plan at start</v>
      </c>
      <c r="P29" s="68"/>
      <c r="Q29" s="69"/>
      <c r="R29" s="70"/>
      <c r="S29" s="70"/>
    </row>
    <row r="30" spans="1:19" s="24" customFormat="1" hidden="1" outlineLevel="2" x14ac:dyDescent="0.2">
      <c r="A30" s="25"/>
      <c r="B30" s="62" t="s">
        <v>62</v>
      </c>
      <c r="C30" s="63" t="s">
        <v>58</v>
      </c>
      <c r="D30" s="62">
        <v>0</v>
      </c>
      <c r="E30" s="64">
        <v>0</v>
      </c>
      <c r="F30" s="64">
        <f>MAX(D30-E30, 0)</f>
        <v>0</v>
      </c>
      <c r="G30" s="65">
        <f>IF(D30=0,0,ABS(E30/D30))</f>
        <v>0</v>
      </c>
      <c r="H30" s="62">
        <v>0</v>
      </c>
      <c r="I30" s="64">
        <v>0</v>
      </c>
      <c r="J30" s="66" t="str">
        <f>IF(H30=0,"No plan at start",I30/H30)</f>
        <v>No plan at start</v>
      </c>
      <c r="K30" s="67">
        <f>H30-I30</f>
        <v>0</v>
      </c>
      <c r="L30" s="64">
        <v>0</v>
      </c>
      <c r="M30" s="64">
        <f>I30+L30</f>
        <v>0</v>
      </c>
      <c r="N30" s="64">
        <f>M30-H30</f>
        <v>0</v>
      </c>
      <c r="O30" s="65" t="str">
        <f>IF(H30=0,"No plan at start",M30/H30)</f>
        <v>No plan at start</v>
      </c>
      <c r="P30" s="68"/>
      <c r="Q30" s="69"/>
      <c r="R30" s="70"/>
      <c r="S30" s="70"/>
    </row>
    <row r="31" spans="1:19" s="24" customFormat="1" hidden="1" outlineLevel="2" x14ac:dyDescent="0.2">
      <c r="A31" s="25"/>
      <c r="B31" s="62" t="s">
        <v>62</v>
      </c>
      <c r="C31" s="63" t="s">
        <v>59</v>
      </c>
      <c r="D31" s="62">
        <v>0</v>
      </c>
      <c r="E31" s="64">
        <v>0</v>
      </c>
      <c r="F31" s="64">
        <f>MAX(D31-E31, 0)</f>
        <v>0</v>
      </c>
      <c r="G31" s="65">
        <f>IF(D31=0,0,ABS(E31/D31))</f>
        <v>0</v>
      </c>
      <c r="H31" s="62">
        <v>0</v>
      </c>
      <c r="I31" s="64">
        <v>0</v>
      </c>
      <c r="J31" s="66" t="str">
        <f>IF(H31=0,"No plan at start",I31/H31)</f>
        <v>No plan at start</v>
      </c>
      <c r="K31" s="67">
        <f>H31-I31</f>
        <v>0</v>
      </c>
      <c r="L31" s="64">
        <v>0</v>
      </c>
      <c r="M31" s="64">
        <f>I31+L31</f>
        <v>0</v>
      </c>
      <c r="N31" s="64">
        <f>M31-H31</f>
        <v>0</v>
      </c>
      <c r="O31" s="65" t="str">
        <f>IF(H31=0,"No plan at start",M31/H31)</f>
        <v>No plan at start</v>
      </c>
      <c r="P31" s="68"/>
      <c r="Q31" s="69"/>
      <c r="R31" s="70"/>
      <c r="S31" s="70"/>
    </row>
    <row r="32" spans="1:19" s="24" customFormat="1" hidden="1" outlineLevel="2" x14ac:dyDescent="0.2">
      <c r="A32" s="25"/>
      <c r="B32" s="62" t="s">
        <v>62</v>
      </c>
      <c r="C32" s="63" t="s">
        <v>60</v>
      </c>
      <c r="D32" s="62">
        <v>0</v>
      </c>
      <c r="E32" s="64">
        <v>0</v>
      </c>
      <c r="F32" s="64">
        <f>MAX(D32-E32, 0)</f>
        <v>0</v>
      </c>
      <c r="G32" s="65">
        <f>IF(D32=0,0,ABS(E32/D32))</f>
        <v>0</v>
      </c>
      <c r="H32" s="62">
        <v>0</v>
      </c>
      <c r="I32" s="64">
        <v>217.5</v>
      </c>
      <c r="J32" s="66" t="str">
        <f>IF(H32=0,"No plan at start",I32/H32)</f>
        <v>No plan at start</v>
      </c>
      <c r="K32" s="67">
        <f>H32-I32</f>
        <v>-217.5</v>
      </c>
      <c r="L32" s="64">
        <v>0</v>
      </c>
      <c r="M32" s="64">
        <f>I32+L32</f>
        <v>217.5</v>
      </c>
      <c r="N32" s="64">
        <f>M32-H32</f>
        <v>217.5</v>
      </c>
      <c r="O32" s="65" t="str">
        <f>IF(H32=0,"No plan at start",M32/H32)</f>
        <v>No plan at start</v>
      </c>
      <c r="P32" s="68"/>
      <c r="Q32" s="69"/>
      <c r="R32" s="70"/>
      <c r="S32" s="70"/>
    </row>
    <row r="33" spans="1:19" s="24" customFormat="1" hidden="1" outlineLevel="2" x14ac:dyDescent="0.2">
      <c r="A33" s="25"/>
      <c r="B33" s="72" t="s">
        <v>62</v>
      </c>
      <c r="C33" s="73" t="s">
        <v>61</v>
      </c>
      <c r="D33" s="72">
        <v>0</v>
      </c>
      <c r="E33" s="74">
        <v>0</v>
      </c>
      <c r="F33" s="74">
        <f>MAX(D33-E33, 0)</f>
        <v>0</v>
      </c>
      <c r="G33" s="75">
        <f>IF(D33=0,0,ABS(E33/D33))</f>
        <v>0</v>
      </c>
      <c r="H33" s="72">
        <v>0</v>
      </c>
      <c r="I33" s="74">
        <v>0</v>
      </c>
      <c r="J33" s="76" t="str">
        <f>IF(H33=0,"No plan at start",I33/H33)</f>
        <v>No plan at start</v>
      </c>
      <c r="K33" s="77">
        <f>H33-I33</f>
        <v>0</v>
      </c>
      <c r="L33" s="74">
        <v>0</v>
      </c>
      <c r="M33" s="74">
        <f>I33+L33</f>
        <v>0</v>
      </c>
      <c r="N33" s="74">
        <f>M33-H33</f>
        <v>0</v>
      </c>
      <c r="O33" s="75" t="str">
        <f>IF(H33=0,"No plan at start",M33/H33)</f>
        <v>No plan at start</v>
      </c>
      <c r="P33" s="68"/>
      <c r="Q33" s="69"/>
      <c r="R33" s="70"/>
      <c r="S33" s="70"/>
    </row>
    <row r="34" spans="1:19" s="24" customFormat="1" ht="13.5" outlineLevel="1" collapsed="1" thickBot="1" x14ac:dyDescent="0.25">
      <c r="A34" s="25"/>
      <c r="B34" s="78" t="s">
        <v>64</v>
      </c>
      <c r="C34" s="79"/>
      <c r="D34" s="80">
        <f>SUBTOTAL(9,D26:D33)</f>
        <v>0</v>
      </c>
      <c r="E34" s="81">
        <f>SUBTOTAL(9,E26:E33)</f>
        <v>0</v>
      </c>
      <c r="F34" s="81">
        <f>SUBTOTAL(9,F26:F33)</f>
        <v>0</v>
      </c>
      <c r="G34" s="82">
        <f>IF(D34=0,0,ABS(E34/D34))</f>
        <v>0</v>
      </c>
      <c r="H34" s="80">
        <f>SUBTOTAL(9,H26:H33)</f>
        <v>0</v>
      </c>
      <c r="I34" s="81">
        <f>SUBTOTAL(9,I26:I33)</f>
        <v>217.5</v>
      </c>
      <c r="J34" s="83" t="str">
        <f>IF(H34=0,"No plan at start",I34/H34)</f>
        <v>No plan at start</v>
      </c>
      <c r="K34" s="84">
        <f>SUBTOTAL(9,K26:K33)</f>
        <v>-217.5</v>
      </c>
      <c r="L34" s="81">
        <f>SUBTOTAL(9,L26:L33)</f>
        <v>0</v>
      </c>
      <c r="M34" s="81">
        <f>SUBTOTAL(9,M26:M33)</f>
        <v>217.5</v>
      </c>
      <c r="N34" s="81">
        <f>SUBTOTAL(9,N26:N33)</f>
        <v>217.5</v>
      </c>
      <c r="O34" s="82" t="str">
        <f>IF(H34=0,"No plan at start",M34/H34)</f>
        <v>No plan at start</v>
      </c>
      <c r="P34" s="68"/>
      <c r="Q34" s="69"/>
      <c r="R34" s="70"/>
      <c r="S34" s="70"/>
    </row>
    <row r="35" spans="1:19" s="24" customFormat="1" ht="28.5" customHeight="1" x14ac:dyDescent="0.2">
      <c r="A35" s="25"/>
      <c r="B35" s="61"/>
      <c r="C35" s="61"/>
      <c r="D35" s="61"/>
      <c r="E35" s="61"/>
      <c r="F35" s="61"/>
      <c r="G35" s="61"/>
      <c r="H35" s="61"/>
      <c r="I35" s="61"/>
      <c r="J35" s="61"/>
      <c r="K35" s="61"/>
      <c r="L35" s="61"/>
      <c r="M35" s="61"/>
      <c r="N35" s="61"/>
      <c r="O35" s="61"/>
    </row>
    <row r="36" spans="1:19" x14ac:dyDescent="0.2">
      <c r="B36" s="53" t="s">
        <v>29</v>
      </c>
      <c r="C36" s="54"/>
      <c r="D36" s="54"/>
      <c r="E36" s="54"/>
      <c r="F36" s="55"/>
      <c r="G36" s="55"/>
      <c r="H36" s="56"/>
      <c r="I36" s="24"/>
      <c r="J36" s="24"/>
      <c r="K36" s="57"/>
      <c r="L36" s="24"/>
      <c r="M36" s="58"/>
      <c r="N36" s="24"/>
      <c r="O36" s="24"/>
    </row>
    <row r="37" spans="1:19" ht="13.5" thickBot="1" x14ac:dyDescent="0.25">
      <c r="B37" s="24"/>
      <c r="C37" s="24"/>
      <c r="D37" s="24"/>
      <c r="E37" s="24"/>
      <c r="F37" s="24"/>
      <c r="G37" s="24"/>
      <c r="H37" s="24"/>
      <c r="I37" s="24"/>
      <c r="J37" s="24"/>
      <c r="K37" s="24"/>
      <c r="L37" s="24"/>
      <c r="M37" s="24"/>
      <c r="N37" s="24"/>
      <c r="O37" s="24"/>
    </row>
    <row r="38" spans="1:19" x14ac:dyDescent="0.2">
      <c r="B38" s="19"/>
      <c r="C38" s="20"/>
      <c r="D38" s="16" t="s">
        <v>38</v>
      </c>
      <c r="E38" s="17"/>
      <c r="F38" s="17"/>
      <c r="G38" s="18"/>
      <c r="H38" s="16" t="s">
        <v>39</v>
      </c>
      <c r="I38" s="17"/>
      <c r="J38" s="17"/>
      <c r="K38" s="17"/>
      <c r="L38" s="17"/>
      <c r="M38" s="17"/>
      <c r="N38" s="17"/>
      <c r="O38" s="18"/>
    </row>
    <row r="39" spans="1:19" x14ac:dyDescent="0.2">
      <c r="B39" s="59"/>
      <c r="C39" s="60"/>
      <c r="D39" s="1" t="s">
        <v>2</v>
      </c>
      <c r="E39" s="3" t="s">
        <v>3</v>
      </c>
      <c r="F39" s="3" t="s">
        <v>43</v>
      </c>
      <c r="G39" s="2" t="s">
        <v>40</v>
      </c>
      <c r="H39" s="1" t="s">
        <v>20</v>
      </c>
      <c r="I39" s="3" t="s">
        <v>33</v>
      </c>
      <c r="J39" s="4" t="s">
        <v>34</v>
      </c>
      <c r="K39" s="4" t="s">
        <v>35</v>
      </c>
      <c r="L39" s="3" t="s">
        <v>19</v>
      </c>
      <c r="M39" s="3" t="s">
        <v>36</v>
      </c>
      <c r="N39" s="3" t="s">
        <v>22</v>
      </c>
      <c r="O39" s="2" t="s">
        <v>23</v>
      </c>
    </row>
    <row r="40" spans="1:19" ht="76.5" x14ac:dyDescent="0.2">
      <c r="B40" s="5" t="s">
        <v>14</v>
      </c>
      <c r="C40" s="6" t="s">
        <v>28</v>
      </c>
      <c r="D40" s="5" t="s">
        <v>44</v>
      </c>
      <c r="E40" s="7" t="s">
        <v>15</v>
      </c>
      <c r="F40" s="7" t="s">
        <v>41</v>
      </c>
      <c r="G40" s="6" t="s">
        <v>42</v>
      </c>
      <c r="H40" s="5" t="s">
        <v>45</v>
      </c>
      <c r="I40" s="7" t="s">
        <v>30</v>
      </c>
      <c r="J40" s="8" t="s">
        <v>46</v>
      </c>
      <c r="K40" s="8" t="s">
        <v>17</v>
      </c>
      <c r="L40" s="7" t="s">
        <v>47</v>
      </c>
      <c r="M40" s="7" t="s">
        <v>31</v>
      </c>
      <c r="N40" s="7" t="s">
        <v>32</v>
      </c>
      <c r="O40" s="6" t="s">
        <v>24</v>
      </c>
    </row>
    <row r="41" spans="1:19" hidden="1" outlineLevel="2" x14ac:dyDescent="0.2">
      <c r="B41" s="62" t="s">
        <v>53</v>
      </c>
      <c r="C41" s="63" t="s">
        <v>54</v>
      </c>
      <c r="D41" s="62">
        <v>0</v>
      </c>
      <c r="E41" s="64">
        <v>0</v>
      </c>
      <c r="F41" s="64">
        <f>MAX(D41-E41, 0)</f>
        <v>0</v>
      </c>
      <c r="G41" s="65">
        <f>IF(D41=0,0,ABS(E41/D41))</f>
        <v>0</v>
      </c>
      <c r="H41" s="62">
        <v>0</v>
      </c>
      <c r="I41" s="64">
        <v>290.68</v>
      </c>
      <c r="J41" s="66" t="str">
        <f>IF(H41=0,"No plan at start",I41/H41)</f>
        <v>No plan at start</v>
      </c>
      <c r="K41" s="67">
        <f>H41-I41</f>
        <v>-290.68</v>
      </c>
      <c r="L41" s="64">
        <v>0</v>
      </c>
      <c r="M41" s="64">
        <f>I41+L41</f>
        <v>290.68</v>
      </c>
      <c r="N41" s="64">
        <f>M41-H41</f>
        <v>290.68</v>
      </c>
      <c r="O41" s="65" t="str">
        <f>IF(H41=0,"No plan at start",M41/H41)</f>
        <v>No plan at start</v>
      </c>
    </row>
    <row r="42" spans="1:19" hidden="1" outlineLevel="2" x14ac:dyDescent="0.2">
      <c r="B42" s="62" t="s">
        <v>53</v>
      </c>
      <c r="C42" s="63" t="s">
        <v>55</v>
      </c>
      <c r="D42" s="62">
        <v>0</v>
      </c>
      <c r="E42" s="64">
        <v>0</v>
      </c>
      <c r="F42" s="64">
        <f>MAX(D42-E42, 0)</f>
        <v>0</v>
      </c>
      <c r="G42" s="65">
        <f>IF(D42=0,0,ABS(E42/D42))</f>
        <v>0</v>
      </c>
      <c r="H42" s="62">
        <v>0</v>
      </c>
      <c r="I42" s="64">
        <v>0</v>
      </c>
      <c r="J42" s="66" t="str">
        <f>IF(H42=0,"No plan at start",I42/H42)</f>
        <v>No plan at start</v>
      </c>
      <c r="K42" s="67">
        <f>H42-I42</f>
        <v>0</v>
      </c>
      <c r="L42" s="64">
        <v>0</v>
      </c>
      <c r="M42" s="64">
        <f>I42+L42</f>
        <v>0</v>
      </c>
      <c r="N42" s="64">
        <f>M42-H42</f>
        <v>0</v>
      </c>
      <c r="O42" s="65" t="str">
        <f>IF(H42=0,"No plan at start",M42/H42)</f>
        <v>No plan at start</v>
      </c>
    </row>
    <row r="43" spans="1:19" hidden="1" outlineLevel="2" x14ac:dyDescent="0.2">
      <c r="B43" s="62" t="s">
        <v>53</v>
      </c>
      <c r="C43" s="63" t="s">
        <v>56</v>
      </c>
      <c r="D43" s="62">
        <v>0</v>
      </c>
      <c r="E43" s="64">
        <v>3993.5999999999995</v>
      </c>
      <c r="F43" s="64">
        <f>MAX(D43-E43, 0)</f>
        <v>0</v>
      </c>
      <c r="G43" s="65">
        <f>IF(D43=0,0,ABS(E43/D43))</f>
        <v>0</v>
      </c>
      <c r="H43" s="62">
        <v>417504.25599999994</v>
      </c>
      <c r="I43" s="64">
        <v>227762.34000000195</v>
      </c>
      <c r="J43" s="66">
        <f>IF(H43=0,"No plan at start",I43/H43)</f>
        <v>0.54553297775245191</v>
      </c>
      <c r="K43" s="67">
        <f>H43-I43</f>
        <v>189741.91599999799</v>
      </c>
      <c r="L43" s="64">
        <v>174470.40000000002</v>
      </c>
      <c r="M43" s="64">
        <f>I43+L43</f>
        <v>402232.74000000197</v>
      </c>
      <c r="N43" s="64">
        <f>M43-H43</f>
        <v>-15271.515999997966</v>
      </c>
      <c r="O43" s="65">
        <f>IF(H43=0,"No plan at start",M43/H43)</f>
        <v>0.96342189144055579</v>
      </c>
    </row>
    <row r="44" spans="1:19" hidden="1" outlineLevel="2" x14ac:dyDescent="0.2">
      <c r="B44" s="62" t="s">
        <v>53</v>
      </c>
      <c r="C44" s="63" t="s">
        <v>57</v>
      </c>
      <c r="D44" s="62">
        <v>0</v>
      </c>
      <c r="E44" s="64">
        <v>0</v>
      </c>
      <c r="F44" s="64">
        <f>MAX(D44-E44, 0)</f>
        <v>0</v>
      </c>
      <c r="G44" s="65">
        <f>IF(D44=0,0,ABS(E44/D44))</f>
        <v>0</v>
      </c>
      <c r="H44" s="62">
        <v>0</v>
      </c>
      <c r="I44" s="64">
        <v>0</v>
      </c>
      <c r="J44" s="66" t="str">
        <f>IF(H44=0,"No plan at start",I44/H44)</f>
        <v>No plan at start</v>
      </c>
      <c r="K44" s="67">
        <f>H44-I44</f>
        <v>0</v>
      </c>
      <c r="L44" s="64">
        <v>0</v>
      </c>
      <c r="M44" s="64">
        <f>I44+L44</f>
        <v>0</v>
      </c>
      <c r="N44" s="64">
        <f>M44-H44</f>
        <v>0</v>
      </c>
      <c r="O44" s="65" t="str">
        <f>IF(H44=0,"No plan at start",M44/H44)</f>
        <v>No plan at start</v>
      </c>
    </row>
    <row r="45" spans="1:19" hidden="1" outlineLevel="2" x14ac:dyDescent="0.2">
      <c r="B45" s="62" t="s">
        <v>53</v>
      </c>
      <c r="C45" s="63" t="s">
        <v>58</v>
      </c>
      <c r="D45" s="62">
        <v>0</v>
      </c>
      <c r="E45" s="64">
        <v>0</v>
      </c>
      <c r="F45" s="64">
        <f>MAX(D45-E45, 0)</f>
        <v>0</v>
      </c>
      <c r="G45" s="65">
        <f>IF(D45=0,0,ABS(E45/D45))</f>
        <v>0</v>
      </c>
      <c r="H45" s="62">
        <v>0</v>
      </c>
      <c r="I45" s="64">
        <v>0</v>
      </c>
      <c r="J45" s="66" t="str">
        <f>IF(H45=0,"No plan at start",I45/H45)</f>
        <v>No plan at start</v>
      </c>
      <c r="K45" s="67">
        <f>H45-I45</f>
        <v>0</v>
      </c>
      <c r="L45" s="64">
        <v>0</v>
      </c>
      <c r="M45" s="64">
        <f>I45+L45</f>
        <v>0</v>
      </c>
      <c r="N45" s="64">
        <f>M45-H45</f>
        <v>0</v>
      </c>
      <c r="O45" s="65" t="str">
        <f>IF(H45=0,"No plan at start",M45/H45)</f>
        <v>No plan at start</v>
      </c>
    </row>
    <row r="46" spans="1:19" hidden="1" outlineLevel="2" x14ac:dyDescent="0.2">
      <c r="B46" s="62" t="s">
        <v>53</v>
      </c>
      <c r="C46" s="63" t="s">
        <v>59</v>
      </c>
      <c r="D46" s="62">
        <v>0</v>
      </c>
      <c r="E46" s="64">
        <v>0</v>
      </c>
      <c r="F46" s="64">
        <f>MAX(D46-E46, 0)</f>
        <v>0</v>
      </c>
      <c r="G46" s="65">
        <f>IF(D46=0,0,ABS(E46/D46))</f>
        <v>0</v>
      </c>
      <c r="H46" s="62">
        <v>0</v>
      </c>
      <c r="I46" s="64">
        <v>0</v>
      </c>
      <c r="J46" s="66" t="str">
        <f>IF(H46=0,"No plan at start",I46/H46)</f>
        <v>No plan at start</v>
      </c>
      <c r="K46" s="67">
        <f>H46-I46</f>
        <v>0</v>
      </c>
      <c r="L46" s="64">
        <v>0</v>
      </c>
      <c r="M46" s="64">
        <f>I46+L46</f>
        <v>0</v>
      </c>
      <c r="N46" s="64">
        <f>M46-H46</f>
        <v>0</v>
      </c>
      <c r="O46" s="65" t="str">
        <f>IF(H46=0,"No plan at start",M46/H46)</f>
        <v>No plan at start</v>
      </c>
    </row>
    <row r="47" spans="1:19" hidden="1" outlineLevel="2" x14ac:dyDescent="0.2">
      <c r="B47" s="62" t="s">
        <v>53</v>
      </c>
      <c r="C47" s="63" t="s">
        <v>60</v>
      </c>
      <c r="D47" s="62">
        <v>0</v>
      </c>
      <c r="E47" s="64">
        <v>0</v>
      </c>
      <c r="F47" s="64">
        <f>MAX(D47-E47, 0)</f>
        <v>0</v>
      </c>
      <c r="G47" s="65">
        <f>IF(D47=0,0,ABS(E47/D47))</f>
        <v>0</v>
      </c>
      <c r="H47" s="62">
        <v>0</v>
      </c>
      <c r="I47" s="64">
        <v>0</v>
      </c>
      <c r="J47" s="66" t="str">
        <f>IF(H47=0,"No plan at start",I47/H47)</f>
        <v>No plan at start</v>
      </c>
      <c r="K47" s="67">
        <f>H47-I47</f>
        <v>0</v>
      </c>
      <c r="L47" s="64">
        <v>0</v>
      </c>
      <c r="M47" s="64">
        <f>I47+L47</f>
        <v>0</v>
      </c>
      <c r="N47" s="64">
        <f>M47-H47</f>
        <v>0</v>
      </c>
      <c r="O47" s="65" t="str">
        <f>IF(H47=0,"No plan at start",M47/H47)</f>
        <v>No plan at start</v>
      </c>
    </row>
    <row r="48" spans="1:19" hidden="1" outlineLevel="2" x14ac:dyDescent="0.2">
      <c r="B48" s="62" t="s">
        <v>53</v>
      </c>
      <c r="C48" s="63" t="s">
        <v>61</v>
      </c>
      <c r="D48" s="62">
        <v>0</v>
      </c>
      <c r="E48" s="64">
        <v>0</v>
      </c>
      <c r="F48" s="64">
        <f>MAX(D48-E48, 0)</f>
        <v>0</v>
      </c>
      <c r="G48" s="65">
        <f>IF(D48=0,0,ABS(E48/D48))</f>
        <v>0</v>
      </c>
      <c r="H48" s="62">
        <v>0</v>
      </c>
      <c r="I48" s="64">
        <v>0</v>
      </c>
      <c r="J48" s="66" t="str">
        <f>IF(H48=0,"No plan at start",I48/H48)</f>
        <v>No plan at start</v>
      </c>
      <c r="K48" s="67">
        <f>H48-I48</f>
        <v>0</v>
      </c>
      <c r="L48" s="64">
        <v>0</v>
      </c>
      <c r="M48" s="64">
        <f>I48+L48</f>
        <v>0</v>
      </c>
      <c r="N48" s="64">
        <f>M48-H48</f>
        <v>0</v>
      </c>
      <c r="O48" s="65" t="str">
        <f>IF(H48=0,"No plan at start",M48/H48)</f>
        <v>No plan at start</v>
      </c>
    </row>
    <row r="49" spans="2:15" outlineLevel="1" collapsed="1" x14ac:dyDescent="0.2">
      <c r="B49" s="71" t="s">
        <v>63</v>
      </c>
      <c r="C49" s="63"/>
      <c r="D49" s="62">
        <f>SUBTOTAL(9,D41:D48)</f>
        <v>0</v>
      </c>
      <c r="E49" s="64">
        <f>SUBTOTAL(9,E41:E48)</f>
        <v>3993.5999999999995</v>
      </c>
      <c r="F49" s="64">
        <f>SUBTOTAL(9,F41:F48)</f>
        <v>0</v>
      </c>
      <c r="G49" s="65">
        <f>IF(D49=0,0,ABS(E49/D49))</f>
        <v>0</v>
      </c>
      <c r="H49" s="62">
        <f>SUBTOTAL(9,H41:H48)</f>
        <v>417504.25599999994</v>
      </c>
      <c r="I49" s="64">
        <f>SUBTOTAL(9,I41:I48)</f>
        <v>228053.02000000194</v>
      </c>
      <c r="J49" s="66">
        <f>IF(H49=0,"No plan at start",I49/H49)</f>
        <v>0.54622921017600834</v>
      </c>
      <c r="K49" s="67">
        <f>SUBTOTAL(9,K41:K48)</f>
        <v>189451.235999998</v>
      </c>
      <c r="L49" s="64">
        <f>SUBTOTAL(9,L41:L48)</f>
        <v>174470.40000000002</v>
      </c>
      <c r="M49" s="64">
        <f>SUBTOTAL(9,M41:M48)</f>
        <v>402523.42000000196</v>
      </c>
      <c r="N49" s="64">
        <f>SUBTOTAL(9,N41:N48)</f>
        <v>-14980.835999997966</v>
      </c>
      <c r="O49" s="65">
        <f>IF(H49=0,"No plan at start",M49/H49)</f>
        <v>0.96411812386411222</v>
      </c>
    </row>
    <row r="50" spans="2:15" hidden="1" outlineLevel="2" x14ac:dyDescent="0.2">
      <c r="B50" s="62" t="s">
        <v>62</v>
      </c>
      <c r="C50" s="63" t="s">
        <v>54</v>
      </c>
      <c r="D50" s="62">
        <v>0</v>
      </c>
      <c r="E50" s="64">
        <v>0</v>
      </c>
      <c r="F50" s="64">
        <f>MAX(D50-E50, 0)</f>
        <v>0</v>
      </c>
      <c r="G50" s="65">
        <f>IF(D50=0,0,ABS(E50/D50))</f>
        <v>0</v>
      </c>
      <c r="H50" s="62">
        <v>0</v>
      </c>
      <c r="I50" s="64">
        <v>0</v>
      </c>
      <c r="J50" s="66" t="str">
        <f>IF(H50=0,"No plan at start",I50/H50)</f>
        <v>No plan at start</v>
      </c>
      <c r="K50" s="67">
        <f>H50-I50</f>
        <v>0</v>
      </c>
      <c r="L50" s="64">
        <v>0</v>
      </c>
      <c r="M50" s="64">
        <f>I50+L50</f>
        <v>0</v>
      </c>
      <c r="N50" s="64">
        <f>M50-H50</f>
        <v>0</v>
      </c>
      <c r="O50" s="65" t="str">
        <f>IF(H50=0,"No plan at start",M50/H50)</f>
        <v>No plan at start</v>
      </c>
    </row>
    <row r="51" spans="2:15" hidden="1" outlineLevel="2" x14ac:dyDescent="0.2">
      <c r="B51" s="62" t="s">
        <v>62</v>
      </c>
      <c r="C51" s="63" t="s">
        <v>55</v>
      </c>
      <c r="D51" s="62">
        <v>0</v>
      </c>
      <c r="E51" s="64">
        <v>0</v>
      </c>
      <c r="F51" s="64">
        <f>MAX(D51-E51, 0)</f>
        <v>0</v>
      </c>
      <c r="G51" s="65">
        <f>IF(D51=0,0,ABS(E51/D51))</f>
        <v>0</v>
      </c>
      <c r="H51" s="62">
        <v>0</v>
      </c>
      <c r="I51" s="64">
        <v>0</v>
      </c>
      <c r="J51" s="66" t="str">
        <f>IF(H51=0,"No plan at start",I51/H51)</f>
        <v>No plan at start</v>
      </c>
      <c r="K51" s="67">
        <f>H51-I51</f>
        <v>0</v>
      </c>
      <c r="L51" s="64">
        <v>0</v>
      </c>
      <c r="M51" s="64">
        <f>I51+L51</f>
        <v>0</v>
      </c>
      <c r="N51" s="64">
        <f>M51-H51</f>
        <v>0</v>
      </c>
      <c r="O51" s="65" t="str">
        <f>IF(H51=0,"No plan at start",M51/H51)</f>
        <v>No plan at start</v>
      </c>
    </row>
    <row r="52" spans="2:15" hidden="1" outlineLevel="2" x14ac:dyDescent="0.2">
      <c r="B52" s="62" t="s">
        <v>62</v>
      </c>
      <c r="C52" s="63" t="s">
        <v>56</v>
      </c>
      <c r="D52" s="62">
        <v>0</v>
      </c>
      <c r="E52" s="64">
        <v>0</v>
      </c>
      <c r="F52" s="64">
        <f>MAX(D52-E52, 0)</f>
        <v>0</v>
      </c>
      <c r="G52" s="65">
        <f>IF(D52=0,0,ABS(E52/D52))</f>
        <v>0</v>
      </c>
      <c r="H52" s="62">
        <v>0</v>
      </c>
      <c r="I52" s="64">
        <v>0</v>
      </c>
      <c r="J52" s="66" t="str">
        <f>IF(H52=0,"No plan at start",I52/H52)</f>
        <v>No plan at start</v>
      </c>
      <c r="K52" s="67">
        <f>H52-I52</f>
        <v>0</v>
      </c>
      <c r="L52" s="64">
        <v>0</v>
      </c>
      <c r="M52" s="64">
        <f>I52+L52</f>
        <v>0</v>
      </c>
      <c r="N52" s="64">
        <f>M52-H52</f>
        <v>0</v>
      </c>
      <c r="O52" s="65" t="str">
        <f>IF(H52=0,"No plan at start",M52/H52)</f>
        <v>No plan at start</v>
      </c>
    </row>
    <row r="53" spans="2:15" hidden="1" outlineLevel="2" x14ac:dyDescent="0.2">
      <c r="B53" s="62" t="s">
        <v>62</v>
      </c>
      <c r="C53" s="63" t="s">
        <v>57</v>
      </c>
      <c r="D53" s="62">
        <v>0</v>
      </c>
      <c r="E53" s="64">
        <v>0</v>
      </c>
      <c r="F53" s="64">
        <f>MAX(D53-E53, 0)</f>
        <v>0</v>
      </c>
      <c r="G53" s="65">
        <f>IF(D53=0,0,ABS(E53/D53))</f>
        <v>0</v>
      </c>
      <c r="H53" s="62">
        <v>0</v>
      </c>
      <c r="I53" s="64">
        <v>0</v>
      </c>
      <c r="J53" s="66" t="str">
        <f>IF(H53=0,"No plan at start",I53/H53)</f>
        <v>No plan at start</v>
      </c>
      <c r="K53" s="67">
        <f>H53-I53</f>
        <v>0</v>
      </c>
      <c r="L53" s="64">
        <v>0</v>
      </c>
      <c r="M53" s="64">
        <f>I53+L53</f>
        <v>0</v>
      </c>
      <c r="N53" s="64">
        <f>M53-H53</f>
        <v>0</v>
      </c>
      <c r="O53" s="65" t="str">
        <f>IF(H53=0,"No plan at start",M53/H53)</f>
        <v>No plan at start</v>
      </c>
    </row>
    <row r="54" spans="2:15" hidden="1" outlineLevel="2" x14ac:dyDescent="0.2">
      <c r="B54" s="62" t="s">
        <v>62</v>
      </c>
      <c r="C54" s="63" t="s">
        <v>58</v>
      </c>
      <c r="D54" s="62">
        <v>0</v>
      </c>
      <c r="E54" s="64">
        <v>0</v>
      </c>
      <c r="F54" s="64">
        <f>MAX(D54-E54, 0)</f>
        <v>0</v>
      </c>
      <c r="G54" s="65">
        <f>IF(D54=0,0,ABS(E54/D54))</f>
        <v>0</v>
      </c>
      <c r="H54" s="62">
        <v>0</v>
      </c>
      <c r="I54" s="64">
        <v>0</v>
      </c>
      <c r="J54" s="66" t="str">
        <f>IF(H54=0,"No plan at start",I54/H54)</f>
        <v>No plan at start</v>
      </c>
      <c r="K54" s="67">
        <f>H54-I54</f>
        <v>0</v>
      </c>
      <c r="L54" s="64">
        <v>0</v>
      </c>
      <c r="M54" s="64">
        <f>I54+L54</f>
        <v>0</v>
      </c>
      <c r="N54" s="64">
        <f>M54-H54</f>
        <v>0</v>
      </c>
      <c r="O54" s="65" t="str">
        <f>IF(H54=0,"No plan at start",M54/H54)</f>
        <v>No plan at start</v>
      </c>
    </row>
    <row r="55" spans="2:15" hidden="1" outlineLevel="2" x14ac:dyDescent="0.2">
      <c r="B55" s="62" t="s">
        <v>62</v>
      </c>
      <c r="C55" s="63" t="s">
        <v>59</v>
      </c>
      <c r="D55" s="62">
        <v>0</v>
      </c>
      <c r="E55" s="64">
        <v>0</v>
      </c>
      <c r="F55" s="64">
        <f>MAX(D55-E55, 0)</f>
        <v>0</v>
      </c>
      <c r="G55" s="65">
        <f>IF(D55=0,0,ABS(E55/D55))</f>
        <v>0</v>
      </c>
      <c r="H55" s="62">
        <v>0</v>
      </c>
      <c r="I55" s="64">
        <v>0</v>
      </c>
      <c r="J55" s="66" t="str">
        <f>IF(H55=0,"No plan at start",I55/H55)</f>
        <v>No plan at start</v>
      </c>
      <c r="K55" s="67">
        <f>H55-I55</f>
        <v>0</v>
      </c>
      <c r="L55" s="64">
        <v>0</v>
      </c>
      <c r="M55" s="64">
        <f>I55+L55</f>
        <v>0</v>
      </c>
      <c r="N55" s="64">
        <f>M55-H55</f>
        <v>0</v>
      </c>
      <c r="O55" s="65" t="str">
        <f>IF(H55=0,"No plan at start",M55/H55)</f>
        <v>No plan at start</v>
      </c>
    </row>
    <row r="56" spans="2:15" hidden="1" outlineLevel="2" x14ac:dyDescent="0.2">
      <c r="B56" s="62" t="s">
        <v>62</v>
      </c>
      <c r="C56" s="63" t="s">
        <v>60</v>
      </c>
      <c r="D56" s="62">
        <v>0</v>
      </c>
      <c r="E56" s="64">
        <v>0</v>
      </c>
      <c r="F56" s="64">
        <f>MAX(D56-E56, 0)</f>
        <v>0</v>
      </c>
      <c r="G56" s="65">
        <f>IF(D56=0,0,ABS(E56/D56))</f>
        <v>0</v>
      </c>
      <c r="H56" s="62">
        <v>0</v>
      </c>
      <c r="I56" s="64">
        <v>9726.5999999999967</v>
      </c>
      <c r="J56" s="66" t="str">
        <f>IF(H56=0,"No plan at start",I56/H56)</f>
        <v>No plan at start</v>
      </c>
      <c r="K56" s="67">
        <f>H56-I56</f>
        <v>-9726.5999999999967</v>
      </c>
      <c r="L56" s="64">
        <v>0</v>
      </c>
      <c r="M56" s="64">
        <f>I56+L56</f>
        <v>9726.5999999999967</v>
      </c>
      <c r="N56" s="64">
        <f>M56-H56</f>
        <v>9726.5999999999967</v>
      </c>
      <c r="O56" s="65" t="str">
        <f>IF(H56=0,"No plan at start",M56/H56)</f>
        <v>No plan at start</v>
      </c>
    </row>
    <row r="57" spans="2:15" hidden="1" outlineLevel="2" x14ac:dyDescent="0.2">
      <c r="B57" s="72" t="s">
        <v>62</v>
      </c>
      <c r="C57" s="73" t="s">
        <v>61</v>
      </c>
      <c r="D57" s="72">
        <v>0</v>
      </c>
      <c r="E57" s="74">
        <v>0</v>
      </c>
      <c r="F57" s="74">
        <f>MAX(D57-E57, 0)</f>
        <v>0</v>
      </c>
      <c r="G57" s="75">
        <f>IF(D57=0,0,ABS(E57/D57))</f>
        <v>0</v>
      </c>
      <c r="H57" s="72">
        <v>0</v>
      </c>
      <c r="I57" s="74">
        <v>0</v>
      </c>
      <c r="J57" s="76" t="str">
        <f>IF(H57=0,"No plan at start",I57/H57)</f>
        <v>No plan at start</v>
      </c>
      <c r="K57" s="77">
        <f>H57-I57</f>
        <v>0</v>
      </c>
      <c r="L57" s="74">
        <v>0</v>
      </c>
      <c r="M57" s="74">
        <f>I57+L57</f>
        <v>0</v>
      </c>
      <c r="N57" s="74">
        <f>M57-H57</f>
        <v>0</v>
      </c>
      <c r="O57" s="75" t="str">
        <f>IF(H57=0,"No plan at start",M57/H57)</f>
        <v>No plan at start</v>
      </c>
    </row>
    <row r="58" spans="2:15" ht="13.5" outlineLevel="1" collapsed="1" thickBot="1" x14ac:dyDescent="0.25">
      <c r="B58" s="78" t="s">
        <v>64</v>
      </c>
      <c r="C58" s="79"/>
      <c r="D58" s="80">
        <f>SUBTOTAL(9,D50:D57)</f>
        <v>0</v>
      </c>
      <c r="E58" s="81">
        <f>SUBTOTAL(9,E50:E57)</f>
        <v>0</v>
      </c>
      <c r="F58" s="81">
        <f>SUBTOTAL(9,F50:F57)</f>
        <v>0</v>
      </c>
      <c r="G58" s="82">
        <f>IF(D58=0,0,ABS(E58/D58))</f>
        <v>0</v>
      </c>
      <c r="H58" s="80">
        <f>SUBTOTAL(9,H50:H57)</f>
        <v>0</v>
      </c>
      <c r="I58" s="81">
        <f>SUBTOTAL(9,I50:I57)</f>
        <v>9726.5999999999967</v>
      </c>
      <c r="J58" s="83" t="str">
        <f>IF(H58=0,"No plan at start",I58/H58)</f>
        <v>No plan at start</v>
      </c>
      <c r="K58" s="84">
        <f>SUBTOTAL(9,K50:K57)</f>
        <v>-9726.5999999999967</v>
      </c>
      <c r="L58" s="81">
        <f>SUBTOTAL(9,L50:L57)</f>
        <v>0</v>
      </c>
      <c r="M58" s="81">
        <f>SUBTOTAL(9,M50:M57)</f>
        <v>9726.5999999999967</v>
      </c>
      <c r="N58" s="81">
        <f>SUBTOTAL(9,N50:N57)</f>
        <v>9726.5999999999967</v>
      </c>
      <c r="O58" s="82" t="str">
        <f>IF(H58=0,"No plan at start",M58/H58)</f>
        <v>No plan at start</v>
      </c>
    </row>
    <row r="59" spans="2:15" x14ac:dyDescent="0.2"/>
    <row r="60" spans="2:15" x14ac:dyDescent="0.2"/>
    <row r="61" spans="2:15" x14ac:dyDescent="0.2"/>
    <row r="62" spans="2:15" x14ac:dyDescent="0.2"/>
    <row r="63" spans="2:15" x14ac:dyDescent="0.2"/>
    <row r="64" spans="2:15"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row r="159"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ht="15" customHeight="1"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row r="202" x14ac:dyDescent="0.2"/>
    <row r="203" x14ac:dyDescent="0.2"/>
    <row r="204" x14ac:dyDescent="0.2"/>
    <row r="205" x14ac:dyDescent="0.2"/>
    <row r="206" x14ac:dyDescent="0.2"/>
    <row r="207" x14ac:dyDescent="0.2"/>
    <row r="208" x14ac:dyDescent="0.2"/>
    <row r="209" x14ac:dyDescent="0.2"/>
    <row r="210" x14ac:dyDescent="0.2"/>
    <row r="211" x14ac:dyDescent="0.2"/>
    <row r="212" x14ac:dyDescent="0.2"/>
    <row r="213" x14ac:dyDescent="0.2"/>
    <row r="214" x14ac:dyDescent="0.2"/>
    <row r="215" x14ac:dyDescent="0.2"/>
    <row r="216" x14ac:dyDescent="0.2"/>
    <row r="217" x14ac:dyDescent="0.2"/>
    <row r="218" x14ac:dyDescent="0.2"/>
    <row r="219" x14ac:dyDescent="0.2"/>
    <row r="220" x14ac:dyDescent="0.2"/>
    <row r="221" x14ac:dyDescent="0.2"/>
    <row r="222" x14ac:dyDescent="0.2"/>
    <row r="223" x14ac:dyDescent="0.2"/>
    <row r="224" x14ac:dyDescent="0.2"/>
    <row r="225" x14ac:dyDescent="0.2"/>
    <row r="226" x14ac:dyDescent="0.2"/>
    <row r="227" x14ac:dyDescent="0.2"/>
    <row r="228" x14ac:dyDescent="0.2"/>
    <row r="229" x14ac:dyDescent="0.2"/>
    <row r="230" x14ac:dyDescent="0.2"/>
    <row r="231" x14ac:dyDescent="0.2"/>
    <row r="232" x14ac:dyDescent="0.2"/>
    <row r="233" x14ac:dyDescent="0.2"/>
    <row r="234" x14ac:dyDescent="0.2"/>
    <row r="235" x14ac:dyDescent="0.2"/>
    <row r="236" x14ac:dyDescent="0.2"/>
    <row r="237" x14ac:dyDescent="0.2"/>
  </sheetData>
  <mergeCells count="11">
    <mergeCell ref="D14:G14"/>
    <mergeCell ref="H14:O14"/>
    <mergeCell ref="D38:G38"/>
    <mergeCell ref="H38:O38"/>
    <mergeCell ref="B14:C15"/>
    <mergeCell ref="B38:C39"/>
    <mergeCell ref="B2:C2"/>
    <mergeCell ref="F2:G2"/>
    <mergeCell ref="F4:G4"/>
    <mergeCell ref="F5:O7"/>
    <mergeCell ref="F8:M9"/>
  </mergeCells>
  <conditionalFormatting sqref="U12">
    <cfRule type="iconSet" priority="266">
      <iconSet iconSet="3Symbols" showValue="0" reverse="1">
        <cfvo type="percent" val="0"/>
        <cfvo type="num" val="1"/>
        <cfvo type="num" val="1.05"/>
      </iconSet>
    </cfRule>
  </conditionalFormatting>
  <conditionalFormatting sqref="U16">
    <cfRule type="iconSet" priority="265">
      <iconSet iconSet="3Symbols" showValue="0" reverse="1">
        <cfvo type="percent" val="0"/>
        <cfvo type="num" val="1"/>
        <cfvo type="num" val="1.05"/>
      </iconSet>
    </cfRule>
  </conditionalFormatting>
  <conditionalFormatting sqref="Q17">
    <cfRule type="iconSet" priority="263">
      <iconSet iconSet="3Symbols" showValue="0" reverse="1">
        <cfvo type="percent" val="0"/>
        <cfvo type="num" val="1"/>
        <cfvo type="num" val="1.05"/>
      </iconSet>
    </cfRule>
  </conditionalFormatting>
  <conditionalFormatting sqref="P16">
    <cfRule type="iconSet" priority="255">
      <iconSet iconSet="3Symbols" showValue="0" reverse="1">
        <cfvo type="percent" val="0"/>
        <cfvo type="num" val="1"/>
        <cfvo type="num" val="1.05"/>
      </iconSet>
    </cfRule>
  </conditionalFormatting>
  <conditionalFormatting sqref="N17">
    <cfRule type="cellIs" dxfId="159" priority="247" operator="lessThan">
      <formula>0</formula>
    </cfRule>
    <cfRule type="cellIs" dxfId="158" priority="248" operator="greaterThan">
      <formula>0</formula>
    </cfRule>
  </conditionalFormatting>
  <conditionalFormatting sqref="F17">
    <cfRule type="cellIs" dxfId="157" priority="245" operator="greaterThan">
      <formula>0</formula>
    </cfRule>
    <cfRule type="cellIs" dxfId="156" priority="246" operator="lessThanOrEqual">
      <formula>0</formula>
    </cfRule>
  </conditionalFormatting>
  <conditionalFormatting sqref="U17">
    <cfRule type="iconSet" priority="268">
      <iconSet iconSet="3Symbols" showValue="0" reverse="1">
        <cfvo type="percent" val="0"/>
        <cfvo type="num" val="1"/>
        <cfvo type="num" val="1.05"/>
      </iconSet>
    </cfRule>
  </conditionalFormatting>
  <conditionalFormatting sqref="P17">
    <cfRule type="iconSet" priority="269">
      <iconSet iconSet="3Symbols" showValue="0" reverse="1">
        <cfvo type="percent" val="0"/>
        <cfvo type="num" val="1"/>
        <cfvo type="num" val="1.05"/>
      </iconSet>
    </cfRule>
  </conditionalFormatting>
  <conditionalFormatting sqref="N32">
    <cfRule type="cellIs" dxfId="155" priority="183" operator="lessThan">
      <formula>0</formula>
    </cfRule>
    <cfRule type="cellIs" dxfId="154" priority="184" operator="greaterThan">
      <formula>0</formula>
    </cfRule>
  </conditionalFormatting>
  <conditionalFormatting sqref="N41">
    <cfRule type="cellIs" dxfId="153" priority="219" operator="lessThan">
      <formula>0</formula>
    </cfRule>
    <cfRule type="cellIs" dxfId="152" priority="220" operator="greaterThan">
      <formula>0</formula>
    </cfRule>
  </conditionalFormatting>
  <conditionalFormatting sqref="F30">
    <cfRule type="cellIs" dxfId="151" priority="165" operator="greaterThan">
      <formula>0</formula>
    </cfRule>
    <cfRule type="cellIs" dxfId="150" priority="166" operator="lessThanOrEqual">
      <formula>0</formula>
    </cfRule>
  </conditionalFormatting>
  <conditionalFormatting sqref="F41">
    <cfRule type="cellIs" dxfId="149" priority="203" operator="greaterThan">
      <formula>0</formula>
    </cfRule>
    <cfRule type="cellIs" dxfId="148" priority="204" operator="lessThanOrEqual">
      <formula>0</formula>
    </cfRule>
  </conditionalFormatting>
  <conditionalFormatting sqref="G17">
    <cfRule type="cellIs" dxfId="147" priority="199" operator="greaterThanOrEqual">
      <formula>1</formula>
    </cfRule>
  </conditionalFormatting>
  <conditionalFormatting sqref="G33:G34">
    <cfRule type="cellIs" dxfId="146" priority="188" operator="greaterThanOrEqual">
      <formula>1</formula>
    </cfRule>
  </conditionalFormatting>
  <conditionalFormatting sqref="G41">
    <cfRule type="cellIs" dxfId="145" priority="197" operator="greaterThanOrEqual">
      <formula>1</formula>
    </cfRule>
  </conditionalFormatting>
  <conditionalFormatting sqref="N33:N34">
    <cfRule type="cellIs" dxfId="144" priority="191" operator="lessThan">
      <formula>0</formula>
    </cfRule>
    <cfRule type="cellIs" dxfId="143" priority="192" operator="greaterThan">
      <formula>0</formula>
    </cfRule>
  </conditionalFormatting>
  <conditionalFormatting sqref="F33:F34">
    <cfRule type="cellIs" dxfId="142" priority="189" operator="greaterThan">
      <formula>0</formula>
    </cfRule>
    <cfRule type="cellIs" dxfId="141" priority="190" operator="lessThanOrEqual">
      <formula>0</formula>
    </cfRule>
  </conditionalFormatting>
  <conditionalFormatting sqref="G28">
    <cfRule type="cellIs" dxfId="140" priority="148" operator="greaterThanOrEqual">
      <formula>1</formula>
    </cfRule>
  </conditionalFormatting>
  <conditionalFormatting sqref="Q32">
    <cfRule type="iconSet" priority="185">
      <iconSet iconSet="3Symbols" showValue="0" reverse="1">
        <cfvo type="percent" val="0"/>
        <cfvo type="num" val="1"/>
        <cfvo type="num" val="1.05"/>
      </iconSet>
    </cfRule>
  </conditionalFormatting>
  <conditionalFormatting sqref="F32">
    <cfRule type="cellIs" dxfId="139" priority="181" operator="greaterThan">
      <formula>0</formula>
    </cfRule>
    <cfRule type="cellIs" dxfId="138" priority="182" operator="lessThanOrEqual">
      <formula>0</formula>
    </cfRule>
  </conditionalFormatting>
  <conditionalFormatting sqref="U32">
    <cfRule type="iconSet" priority="186">
      <iconSet iconSet="3Symbols" showValue="0" reverse="1">
        <cfvo type="percent" val="0"/>
        <cfvo type="num" val="1"/>
        <cfvo type="num" val="1.05"/>
      </iconSet>
    </cfRule>
  </conditionalFormatting>
  <conditionalFormatting sqref="P32">
    <cfRule type="iconSet" priority="187">
      <iconSet iconSet="3Symbols" showValue="0" reverse="1">
        <cfvo type="percent" val="0"/>
        <cfvo type="num" val="1"/>
        <cfvo type="num" val="1.05"/>
      </iconSet>
    </cfRule>
  </conditionalFormatting>
  <conditionalFormatting sqref="G32">
    <cfRule type="cellIs" dxfId="137" priority="180" operator="greaterThanOrEqual">
      <formula>1</formula>
    </cfRule>
  </conditionalFormatting>
  <conditionalFormatting sqref="Q31">
    <cfRule type="iconSet" priority="177">
      <iconSet iconSet="3Symbols" showValue="0" reverse="1">
        <cfvo type="percent" val="0"/>
        <cfvo type="num" val="1"/>
        <cfvo type="num" val="1.05"/>
      </iconSet>
    </cfRule>
  </conditionalFormatting>
  <conditionalFormatting sqref="N31">
    <cfRule type="cellIs" dxfId="136" priority="175" operator="lessThan">
      <formula>0</formula>
    </cfRule>
    <cfRule type="cellIs" dxfId="135" priority="176" operator="greaterThan">
      <formula>0</formula>
    </cfRule>
  </conditionalFormatting>
  <conditionalFormatting sqref="F31">
    <cfRule type="cellIs" dxfId="134" priority="173" operator="greaterThan">
      <formula>0</formula>
    </cfRule>
    <cfRule type="cellIs" dxfId="133" priority="174" operator="lessThanOrEqual">
      <formula>0</formula>
    </cfRule>
  </conditionalFormatting>
  <conditionalFormatting sqref="U31">
    <cfRule type="iconSet" priority="178">
      <iconSet iconSet="3Symbols" showValue="0" reverse="1">
        <cfvo type="percent" val="0"/>
        <cfvo type="num" val="1"/>
        <cfvo type="num" val="1.05"/>
      </iconSet>
    </cfRule>
  </conditionalFormatting>
  <conditionalFormatting sqref="P31">
    <cfRule type="iconSet" priority="179">
      <iconSet iconSet="3Symbols" showValue="0" reverse="1">
        <cfvo type="percent" val="0"/>
        <cfvo type="num" val="1"/>
        <cfvo type="num" val="1.05"/>
      </iconSet>
    </cfRule>
  </conditionalFormatting>
  <conditionalFormatting sqref="G31">
    <cfRule type="cellIs" dxfId="132" priority="172" operator="greaterThanOrEqual">
      <formula>1</formula>
    </cfRule>
  </conditionalFormatting>
  <conditionalFormatting sqref="Q30">
    <cfRule type="iconSet" priority="169">
      <iconSet iconSet="3Symbols" showValue="0" reverse="1">
        <cfvo type="percent" val="0"/>
        <cfvo type="num" val="1"/>
        <cfvo type="num" val="1.05"/>
      </iconSet>
    </cfRule>
  </conditionalFormatting>
  <conditionalFormatting sqref="N30">
    <cfRule type="cellIs" dxfId="131" priority="167" operator="lessThan">
      <formula>0</formula>
    </cfRule>
    <cfRule type="cellIs" dxfId="130" priority="168" operator="greaterThan">
      <formula>0</formula>
    </cfRule>
  </conditionalFormatting>
  <conditionalFormatting sqref="U30">
    <cfRule type="iconSet" priority="170">
      <iconSet iconSet="3Symbols" showValue="0" reverse="1">
        <cfvo type="percent" val="0"/>
        <cfvo type="num" val="1"/>
        <cfvo type="num" val="1.05"/>
      </iconSet>
    </cfRule>
  </conditionalFormatting>
  <conditionalFormatting sqref="P30">
    <cfRule type="iconSet" priority="171">
      <iconSet iconSet="3Symbols" showValue="0" reverse="1">
        <cfvo type="percent" val="0"/>
        <cfvo type="num" val="1"/>
        <cfvo type="num" val="1.05"/>
      </iconSet>
    </cfRule>
  </conditionalFormatting>
  <conditionalFormatting sqref="G30">
    <cfRule type="cellIs" dxfId="129" priority="164" operator="greaterThanOrEqual">
      <formula>1</formula>
    </cfRule>
  </conditionalFormatting>
  <conditionalFormatting sqref="Q29">
    <cfRule type="iconSet" priority="161">
      <iconSet iconSet="3Symbols" showValue="0" reverse="1">
        <cfvo type="percent" val="0"/>
        <cfvo type="num" val="1"/>
        <cfvo type="num" val="1.05"/>
      </iconSet>
    </cfRule>
  </conditionalFormatting>
  <conditionalFormatting sqref="N29">
    <cfRule type="cellIs" dxfId="128" priority="159" operator="lessThan">
      <formula>0</formula>
    </cfRule>
    <cfRule type="cellIs" dxfId="127" priority="160" operator="greaterThan">
      <formula>0</formula>
    </cfRule>
  </conditionalFormatting>
  <conditionalFormatting sqref="F29">
    <cfRule type="cellIs" dxfId="126" priority="157" operator="greaterThan">
      <formula>0</formula>
    </cfRule>
    <cfRule type="cellIs" dxfId="125" priority="158" operator="lessThanOrEqual">
      <formula>0</formula>
    </cfRule>
  </conditionalFormatting>
  <conditionalFormatting sqref="U29">
    <cfRule type="iconSet" priority="162">
      <iconSet iconSet="3Symbols" showValue="0" reverse="1">
        <cfvo type="percent" val="0"/>
        <cfvo type="num" val="1"/>
        <cfvo type="num" val="1.05"/>
      </iconSet>
    </cfRule>
  </conditionalFormatting>
  <conditionalFormatting sqref="P29">
    <cfRule type="iconSet" priority="163">
      <iconSet iconSet="3Symbols" showValue="0" reverse="1">
        <cfvo type="percent" val="0"/>
        <cfvo type="num" val="1"/>
        <cfvo type="num" val="1.05"/>
      </iconSet>
    </cfRule>
  </conditionalFormatting>
  <conditionalFormatting sqref="G29">
    <cfRule type="cellIs" dxfId="124" priority="156" operator="greaterThanOrEqual">
      <formula>1</formula>
    </cfRule>
  </conditionalFormatting>
  <conditionalFormatting sqref="Q28">
    <cfRule type="iconSet" priority="153">
      <iconSet iconSet="3Symbols" showValue="0" reverse="1">
        <cfvo type="percent" val="0"/>
        <cfvo type="num" val="1"/>
        <cfvo type="num" val="1.05"/>
      </iconSet>
    </cfRule>
  </conditionalFormatting>
  <conditionalFormatting sqref="N28">
    <cfRule type="cellIs" dxfId="123" priority="151" operator="lessThan">
      <formula>0</formula>
    </cfRule>
    <cfRule type="cellIs" dxfId="122" priority="152" operator="greaterThan">
      <formula>0</formula>
    </cfRule>
  </conditionalFormatting>
  <conditionalFormatting sqref="F28">
    <cfRule type="cellIs" dxfId="121" priority="149" operator="greaterThan">
      <formula>0</formula>
    </cfRule>
    <cfRule type="cellIs" dxfId="120" priority="150" operator="lessThanOrEqual">
      <formula>0</formula>
    </cfRule>
  </conditionalFormatting>
  <conditionalFormatting sqref="U28">
    <cfRule type="iconSet" priority="154">
      <iconSet iconSet="3Symbols" showValue="0" reverse="1">
        <cfvo type="percent" val="0"/>
        <cfvo type="num" val="1"/>
        <cfvo type="num" val="1.05"/>
      </iconSet>
    </cfRule>
  </conditionalFormatting>
  <conditionalFormatting sqref="P28">
    <cfRule type="iconSet" priority="155">
      <iconSet iconSet="3Symbols" showValue="0" reverse="1">
        <cfvo type="percent" val="0"/>
        <cfvo type="num" val="1"/>
        <cfvo type="num" val="1.05"/>
      </iconSet>
    </cfRule>
  </conditionalFormatting>
  <conditionalFormatting sqref="Q27">
    <cfRule type="iconSet" priority="145">
      <iconSet iconSet="3Symbols" showValue="0" reverse="1">
        <cfvo type="percent" val="0"/>
        <cfvo type="num" val="1"/>
        <cfvo type="num" val="1.05"/>
      </iconSet>
    </cfRule>
  </conditionalFormatting>
  <conditionalFormatting sqref="N27">
    <cfRule type="cellIs" dxfId="119" priority="143" operator="lessThan">
      <formula>0</formula>
    </cfRule>
    <cfRule type="cellIs" dxfId="118" priority="144" operator="greaterThan">
      <formula>0</formula>
    </cfRule>
  </conditionalFormatting>
  <conditionalFormatting sqref="F27">
    <cfRule type="cellIs" dxfId="117" priority="141" operator="greaterThan">
      <formula>0</formula>
    </cfRule>
    <cfRule type="cellIs" dxfId="116" priority="142" operator="lessThanOrEqual">
      <formula>0</formula>
    </cfRule>
  </conditionalFormatting>
  <conditionalFormatting sqref="U27">
    <cfRule type="iconSet" priority="146">
      <iconSet iconSet="3Symbols" showValue="0" reverse="1">
        <cfvo type="percent" val="0"/>
        <cfvo type="num" val="1"/>
        <cfvo type="num" val="1.05"/>
      </iconSet>
    </cfRule>
  </conditionalFormatting>
  <conditionalFormatting sqref="P27">
    <cfRule type="iconSet" priority="147">
      <iconSet iconSet="3Symbols" showValue="0" reverse="1">
        <cfvo type="percent" val="0"/>
        <cfvo type="num" val="1"/>
        <cfvo type="num" val="1.05"/>
      </iconSet>
    </cfRule>
  </conditionalFormatting>
  <conditionalFormatting sqref="G27">
    <cfRule type="cellIs" dxfId="115" priority="140" operator="greaterThanOrEqual">
      <formula>1</formula>
    </cfRule>
  </conditionalFormatting>
  <conditionalFormatting sqref="Q26">
    <cfRule type="iconSet" priority="137">
      <iconSet iconSet="3Symbols" showValue="0" reverse="1">
        <cfvo type="percent" val="0"/>
        <cfvo type="num" val="1"/>
        <cfvo type="num" val="1.05"/>
      </iconSet>
    </cfRule>
  </conditionalFormatting>
  <conditionalFormatting sqref="N26">
    <cfRule type="cellIs" dxfId="114" priority="135" operator="lessThan">
      <formula>0</formula>
    </cfRule>
    <cfRule type="cellIs" dxfId="113" priority="136" operator="greaterThan">
      <formula>0</formula>
    </cfRule>
  </conditionalFormatting>
  <conditionalFormatting sqref="F26">
    <cfRule type="cellIs" dxfId="112" priority="133" operator="greaterThan">
      <formula>0</formula>
    </cfRule>
    <cfRule type="cellIs" dxfId="111" priority="134" operator="lessThanOrEqual">
      <formula>0</formula>
    </cfRule>
  </conditionalFormatting>
  <conditionalFormatting sqref="U26">
    <cfRule type="iconSet" priority="138">
      <iconSet iconSet="3Symbols" showValue="0" reverse="1">
        <cfvo type="percent" val="0"/>
        <cfvo type="num" val="1"/>
        <cfvo type="num" val="1.05"/>
      </iconSet>
    </cfRule>
  </conditionalFormatting>
  <conditionalFormatting sqref="P26">
    <cfRule type="iconSet" priority="139">
      <iconSet iconSet="3Symbols" showValue="0" reverse="1">
        <cfvo type="percent" val="0"/>
        <cfvo type="num" val="1"/>
        <cfvo type="num" val="1.05"/>
      </iconSet>
    </cfRule>
  </conditionalFormatting>
  <conditionalFormatting sqref="G26">
    <cfRule type="cellIs" dxfId="110" priority="132" operator="greaterThanOrEqual">
      <formula>1</formula>
    </cfRule>
  </conditionalFormatting>
  <conditionalFormatting sqref="Q24:Q25">
    <cfRule type="iconSet" priority="129">
      <iconSet iconSet="3Symbols" showValue="0" reverse="1">
        <cfvo type="percent" val="0"/>
        <cfvo type="num" val="1"/>
        <cfvo type="num" val="1.05"/>
      </iconSet>
    </cfRule>
  </conditionalFormatting>
  <conditionalFormatting sqref="N24:N25">
    <cfRule type="cellIs" dxfId="109" priority="127" operator="lessThan">
      <formula>0</formula>
    </cfRule>
    <cfRule type="cellIs" dxfId="108" priority="128" operator="greaterThan">
      <formula>0</formula>
    </cfRule>
  </conditionalFormatting>
  <conditionalFormatting sqref="F24:F25">
    <cfRule type="cellIs" dxfId="107" priority="125" operator="greaterThan">
      <formula>0</formula>
    </cfRule>
    <cfRule type="cellIs" dxfId="106" priority="126" operator="lessThanOrEqual">
      <formula>0</formula>
    </cfRule>
  </conditionalFormatting>
  <conditionalFormatting sqref="U24:U25">
    <cfRule type="iconSet" priority="130">
      <iconSet iconSet="3Symbols" showValue="0" reverse="1">
        <cfvo type="percent" val="0"/>
        <cfvo type="num" val="1"/>
        <cfvo type="num" val="1.05"/>
      </iconSet>
    </cfRule>
  </conditionalFormatting>
  <conditionalFormatting sqref="P24:P25">
    <cfRule type="iconSet" priority="131">
      <iconSet iconSet="3Symbols" showValue="0" reverse="1">
        <cfvo type="percent" val="0"/>
        <cfvo type="num" val="1"/>
        <cfvo type="num" val="1.05"/>
      </iconSet>
    </cfRule>
  </conditionalFormatting>
  <conditionalFormatting sqref="G24:G25">
    <cfRule type="cellIs" dxfId="105" priority="124" operator="greaterThanOrEqual">
      <formula>1</formula>
    </cfRule>
  </conditionalFormatting>
  <conditionalFormatting sqref="Q23">
    <cfRule type="iconSet" priority="121">
      <iconSet iconSet="3Symbols" showValue="0" reverse="1">
        <cfvo type="percent" val="0"/>
        <cfvo type="num" val="1"/>
        <cfvo type="num" val="1.05"/>
      </iconSet>
    </cfRule>
  </conditionalFormatting>
  <conditionalFormatting sqref="N23">
    <cfRule type="cellIs" dxfId="104" priority="119" operator="lessThan">
      <formula>0</formula>
    </cfRule>
    <cfRule type="cellIs" dxfId="103" priority="120" operator="greaterThan">
      <formula>0</formula>
    </cfRule>
  </conditionalFormatting>
  <conditionalFormatting sqref="F23">
    <cfRule type="cellIs" dxfId="102" priority="117" operator="greaterThan">
      <formula>0</formula>
    </cfRule>
    <cfRule type="cellIs" dxfId="101" priority="118" operator="lessThanOrEqual">
      <formula>0</formula>
    </cfRule>
  </conditionalFormatting>
  <conditionalFormatting sqref="U23">
    <cfRule type="iconSet" priority="122">
      <iconSet iconSet="3Symbols" showValue="0" reverse="1">
        <cfvo type="percent" val="0"/>
        <cfvo type="num" val="1"/>
        <cfvo type="num" val="1.05"/>
      </iconSet>
    </cfRule>
  </conditionalFormatting>
  <conditionalFormatting sqref="P23">
    <cfRule type="iconSet" priority="123">
      <iconSet iconSet="3Symbols" showValue="0" reverse="1">
        <cfvo type="percent" val="0"/>
        <cfvo type="num" val="1"/>
        <cfvo type="num" val="1.05"/>
      </iconSet>
    </cfRule>
  </conditionalFormatting>
  <conditionalFormatting sqref="G23">
    <cfRule type="cellIs" dxfId="100" priority="116" operator="greaterThanOrEqual">
      <formula>1</formula>
    </cfRule>
  </conditionalFormatting>
  <conditionalFormatting sqref="Q22">
    <cfRule type="iconSet" priority="113">
      <iconSet iconSet="3Symbols" showValue="0" reverse="1">
        <cfvo type="percent" val="0"/>
        <cfvo type="num" val="1"/>
        <cfvo type="num" val="1.05"/>
      </iconSet>
    </cfRule>
  </conditionalFormatting>
  <conditionalFormatting sqref="N22">
    <cfRule type="cellIs" dxfId="99" priority="111" operator="lessThan">
      <formula>0</formula>
    </cfRule>
    <cfRule type="cellIs" dxfId="98" priority="112" operator="greaterThan">
      <formula>0</formula>
    </cfRule>
  </conditionalFormatting>
  <conditionalFormatting sqref="F22">
    <cfRule type="cellIs" dxfId="97" priority="109" operator="greaterThan">
      <formula>0</formula>
    </cfRule>
    <cfRule type="cellIs" dxfId="96" priority="110" operator="lessThanOrEqual">
      <formula>0</formula>
    </cfRule>
  </conditionalFormatting>
  <conditionalFormatting sqref="U22">
    <cfRule type="iconSet" priority="114">
      <iconSet iconSet="3Symbols" showValue="0" reverse="1">
        <cfvo type="percent" val="0"/>
        <cfvo type="num" val="1"/>
        <cfvo type="num" val="1.05"/>
      </iconSet>
    </cfRule>
  </conditionalFormatting>
  <conditionalFormatting sqref="P22">
    <cfRule type="iconSet" priority="115">
      <iconSet iconSet="3Symbols" showValue="0" reverse="1">
        <cfvo type="percent" val="0"/>
        <cfvo type="num" val="1"/>
        <cfvo type="num" val="1.05"/>
      </iconSet>
    </cfRule>
  </conditionalFormatting>
  <conditionalFormatting sqref="G22">
    <cfRule type="cellIs" dxfId="95" priority="108" operator="greaterThanOrEqual">
      <formula>1</formula>
    </cfRule>
  </conditionalFormatting>
  <conditionalFormatting sqref="Q21">
    <cfRule type="iconSet" priority="105">
      <iconSet iconSet="3Symbols" showValue="0" reverse="1">
        <cfvo type="percent" val="0"/>
        <cfvo type="num" val="1"/>
        <cfvo type="num" val="1.05"/>
      </iconSet>
    </cfRule>
  </conditionalFormatting>
  <conditionalFormatting sqref="N21">
    <cfRule type="cellIs" dxfId="94" priority="103" operator="lessThan">
      <formula>0</formula>
    </cfRule>
    <cfRule type="cellIs" dxfId="93" priority="104" operator="greaterThan">
      <formula>0</formula>
    </cfRule>
  </conditionalFormatting>
  <conditionalFormatting sqref="F21">
    <cfRule type="cellIs" dxfId="92" priority="101" operator="greaterThan">
      <formula>0</formula>
    </cfRule>
    <cfRule type="cellIs" dxfId="91" priority="102" operator="lessThanOrEqual">
      <formula>0</formula>
    </cfRule>
  </conditionalFormatting>
  <conditionalFormatting sqref="U21">
    <cfRule type="iconSet" priority="106">
      <iconSet iconSet="3Symbols" showValue="0" reverse="1">
        <cfvo type="percent" val="0"/>
        <cfvo type="num" val="1"/>
        <cfvo type="num" val="1.05"/>
      </iconSet>
    </cfRule>
  </conditionalFormatting>
  <conditionalFormatting sqref="P21">
    <cfRule type="iconSet" priority="107">
      <iconSet iconSet="3Symbols" showValue="0" reverse="1">
        <cfvo type="percent" val="0"/>
        <cfvo type="num" val="1"/>
        <cfvo type="num" val="1.05"/>
      </iconSet>
    </cfRule>
  </conditionalFormatting>
  <conditionalFormatting sqref="G21">
    <cfRule type="cellIs" dxfId="90" priority="100" operator="greaterThanOrEqual">
      <formula>1</formula>
    </cfRule>
  </conditionalFormatting>
  <conditionalFormatting sqref="Q20">
    <cfRule type="iconSet" priority="97">
      <iconSet iconSet="3Symbols" showValue="0" reverse="1">
        <cfvo type="percent" val="0"/>
        <cfvo type="num" val="1"/>
        <cfvo type="num" val="1.05"/>
      </iconSet>
    </cfRule>
  </conditionalFormatting>
  <conditionalFormatting sqref="N20">
    <cfRule type="cellIs" dxfId="89" priority="95" operator="lessThan">
      <formula>0</formula>
    </cfRule>
    <cfRule type="cellIs" dxfId="88" priority="96" operator="greaterThan">
      <formula>0</formula>
    </cfRule>
  </conditionalFormatting>
  <conditionalFormatting sqref="F20">
    <cfRule type="cellIs" dxfId="87" priority="93" operator="greaterThan">
      <formula>0</formula>
    </cfRule>
    <cfRule type="cellIs" dxfId="86" priority="94" operator="lessThanOrEqual">
      <formula>0</formula>
    </cfRule>
  </conditionalFormatting>
  <conditionalFormatting sqref="U20">
    <cfRule type="iconSet" priority="98">
      <iconSet iconSet="3Symbols" showValue="0" reverse="1">
        <cfvo type="percent" val="0"/>
        <cfvo type="num" val="1"/>
        <cfvo type="num" val="1.05"/>
      </iconSet>
    </cfRule>
  </conditionalFormatting>
  <conditionalFormatting sqref="P20">
    <cfRule type="iconSet" priority="99">
      <iconSet iconSet="3Symbols" showValue="0" reverse="1">
        <cfvo type="percent" val="0"/>
        <cfvo type="num" val="1"/>
        <cfvo type="num" val="1.05"/>
      </iconSet>
    </cfRule>
  </conditionalFormatting>
  <conditionalFormatting sqref="G20">
    <cfRule type="cellIs" dxfId="85" priority="92" operator="greaterThanOrEqual">
      <formula>1</formula>
    </cfRule>
  </conditionalFormatting>
  <conditionalFormatting sqref="Q19">
    <cfRule type="iconSet" priority="89">
      <iconSet iconSet="3Symbols" showValue="0" reverse="1">
        <cfvo type="percent" val="0"/>
        <cfvo type="num" val="1"/>
        <cfvo type="num" val="1.05"/>
      </iconSet>
    </cfRule>
  </conditionalFormatting>
  <conditionalFormatting sqref="N19">
    <cfRule type="cellIs" dxfId="84" priority="87" operator="lessThan">
      <formula>0</formula>
    </cfRule>
    <cfRule type="cellIs" dxfId="83" priority="88" operator="greaterThan">
      <formula>0</formula>
    </cfRule>
  </conditionalFormatting>
  <conditionalFormatting sqref="F19">
    <cfRule type="cellIs" dxfId="82" priority="85" operator="greaterThan">
      <formula>0</formula>
    </cfRule>
    <cfRule type="cellIs" dxfId="81" priority="86" operator="lessThanOrEqual">
      <formula>0</formula>
    </cfRule>
  </conditionalFormatting>
  <conditionalFormatting sqref="U19">
    <cfRule type="iconSet" priority="90">
      <iconSet iconSet="3Symbols" showValue="0" reverse="1">
        <cfvo type="percent" val="0"/>
        <cfvo type="num" val="1"/>
        <cfvo type="num" val="1.05"/>
      </iconSet>
    </cfRule>
  </conditionalFormatting>
  <conditionalFormatting sqref="P19">
    <cfRule type="iconSet" priority="91">
      <iconSet iconSet="3Symbols" showValue="0" reverse="1">
        <cfvo type="percent" val="0"/>
        <cfvo type="num" val="1"/>
        <cfvo type="num" val="1.05"/>
      </iconSet>
    </cfRule>
  </conditionalFormatting>
  <conditionalFormatting sqref="G19">
    <cfRule type="cellIs" dxfId="80" priority="84" operator="greaterThanOrEqual">
      <formula>1</formula>
    </cfRule>
  </conditionalFormatting>
  <conditionalFormatting sqref="Q18">
    <cfRule type="iconSet" priority="81">
      <iconSet iconSet="3Symbols" showValue="0" reverse="1">
        <cfvo type="percent" val="0"/>
        <cfvo type="num" val="1"/>
        <cfvo type="num" val="1.05"/>
      </iconSet>
    </cfRule>
  </conditionalFormatting>
  <conditionalFormatting sqref="N18">
    <cfRule type="cellIs" dxfId="79" priority="79" operator="lessThan">
      <formula>0</formula>
    </cfRule>
    <cfRule type="cellIs" dxfId="78" priority="80" operator="greaterThan">
      <formula>0</formula>
    </cfRule>
  </conditionalFormatting>
  <conditionalFormatting sqref="F18">
    <cfRule type="cellIs" dxfId="77" priority="77" operator="greaterThan">
      <formula>0</formula>
    </cfRule>
    <cfRule type="cellIs" dxfId="76" priority="78" operator="lessThanOrEqual">
      <formula>0</formula>
    </cfRule>
  </conditionalFormatting>
  <conditionalFormatting sqref="U18">
    <cfRule type="iconSet" priority="82">
      <iconSet iconSet="3Symbols" showValue="0" reverse="1">
        <cfvo type="percent" val="0"/>
        <cfvo type="num" val="1"/>
        <cfvo type="num" val="1.05"/>
      </iconSet>
    </cfRule>
  </conditionalFormatting>
  <conditionalFormatting sqref="P18">
    <cfRule type="iconSet" priority="83">
      <iconSet iconSet="3Symbols" showValue="0" reverse="1">
        <cfvo type="percent" val="0"/>
        <cfvo type="num" val="1"/>
        <cfvo type="num" val="1.05"/>
      </iconSet>
    </cfRule>
  </conditionalFormatting>
  <conditionalFormatting sqref="G18">
    <cfRule type="cellIs" dxfId="75" priority="76" operator="greaterThanOrEqual">
      <formula>1</formula>
    </cfRule>
  </conditionalFormatting>
  <conditionalFormatting sqref="Q33:Q34">
    <cfRule type="iconSet" priority="270">
      <iconSet iconSet="3Symbols" showValue="0" reverse="1">
        <cfvo type="percent" val="0"/>
        <cfvo type="num" val="1"/>
        <cfvo type="num" val="1.05"/>
      </iconSet>
    </cfRule>
  </conditionalFormatting>
  <conditionalFormatting sqref="U33:U34">
    <cfRule type="iconSet" priority="271">
      <iconSet iconSet="3Symbols" showValue="0" reverse="1">
        <cfvo type="percent" val="0"/>
        <cfvo type="num" val="1"/>
        <cfvo type="num" val="1.05"/>
      </iconSet>
    </cfRule>
  </conditionalFormatting>
  <conditionalFormatting sqref="P33:P34">
    <cfRule type="iconSet" priority="272">
      <iconSet iconSet="3Symbols" showValue="0" reverse="1">
        <cfvo type="percent" val="0"/>
        <cfvo type="num" val="1"/>
        <cfvo type="num" val="1.05"/>
      </iconSet>
    </cfRule>
  </conditionalFormatting>
  <conditionalFormatting sqref="N57:N58">
    <cfRule type="cellIs" dxfId="74" priority="74" operator="lessThan">
      <formula>0</formula>
    </cfRule>
    <cfRule type="cellIs" dxfId="73" priority="75" operator="greaterThan">
      <formula>0</formula>
    </cfRule>
  </conditionalFormatting>
  <conditionalFormatting sqref="F57:F58">
    <cfRule type="cellIs" dxfId="72" priority="72" operator="greaterThan">
      <formula>0</formula>
    </cfRule>
    <cfRule type="cellIs" dxfId="71" priority="73" operator="lessThanOrEqual">
      <formula>0</formula>
    </cfRule>
  </conditionalFormatting>
  <conditionalFormatting sqref="G57:G58">
    <cfRule type="cellIs" dxfId="70" priority="71" operator="greaterThanOrEqual">
      <formula>1</formula>
    </cfRule>
  </conditionalFormatting>
  <conditionalFormatting sqref="N56">
    <cfRule type="cellIs" dxfId="69" priority="69" operator="lessThan">
      <formula>0</formula>
    </cfRule>
    <cfRule type="cellIs" dxfId="68" priority="70" operator="greaterThan">
      <formula>0</formula>
    </cfRule>
  </conditionalFormatting>
  <conditionalFormatting sqref="F56">
    <cfRule type="cellIs" dxfId="67" priority="67" operator="greaterThan">
      <formula>0</formula>
    </cfRule>
    <cfRule type="cellIs" dxfId="66" priority="68" operator="lessThanOrEqual">
      <formula>0</formula>
    </cfRule>
  </conditionalFormatting>
  <conditionalFormatting sqref="G56">
    <cfRule type="cellIs" dxfId="65" priority="66" operator="greaterThanOrEqual">
      <formula>1</formula>
    </cfRule>
  </conditionalFormatting>
  <conditionalFormatting sqref="N55">
    <cfRule type="cellIs" dxfId="64" priority="64" operator="lessThan">
      <formula>0</formula>
    </cfRule>
    <cfRule type="cellIs" dxfId="63" priority="65" operator="greaterThan">
      <formula>0</formula>
    </cfRule>
  </conditionalFormatting>
  <conditionalFormatting sqref="F55">
    <cfRule type="cellIs" dxfId="62" priority="62" operator="greaterThan">
      <formula>0</formula>
    </cfRule>
    <cfRule type="cellIs" dxfId="61" priority="63" operator="lessThanOrEqual">
      <formula>0</formula>
    </cfRule>
  </conditionalFormatting>
  <conditionalFormatting sqref="G55">
    <cfRule type="cellIs" dxfId="60" priority="61" operator="greaterThanOrEqual">
      <formula>1</formula>
    </cfRule>
  </conditionalFormatting>
  <conditionalFormatting sqref="N54">
    <cfRule type="cellIs" dxfId="59" priority="59" operator="lessThan">
      <formula>0</formula>
    </cfRule>
    <cfRule type="cellIs" dxfId="58" priority="60" operator="greaterThan">
      <formula>0</formula>
    </cfRule>
  </conditionalFormatting>
  <conditionalFormatting sqref="F54">
    <cfRule type="cellIs" dxfId="57" priority="57" operator="greaterThan">
      <formula>0</formula>
    </cfRule>
    <cfRule type="cellIs" dxfId="56" priority="58" operator="lessThanOrEqual">
      <formula>0</formula>
    </cfRule>
  </conditionalFormatting>
  <conditionalFormatting sqref="G54">
    <cfRule type="cellIs" dxfId="55" priority="56" operator="greaterThanOrEqual">
      <formula>1</formula>
    </cfRule>
  </conditionalFormatting>
  <conditionalFormatting sqref="N53">
    <cfRule type="cellIs" dxfId="54" priority="54" operator="lessThan">
      <formula>0</formula>
    </cfRule>
    <cfRule type="cellIs" dxfId="53" priority="55" operator="greaterThan">
      <formula>0</formula>
    </cfRule>
  </conditionalFormatting>
  <conditionalFormatting sqref="F53">
    <cfRule type="cellIs" dxfId="52" priority="52" operator="greaterThan">
      <formula>0</formula>
    </cfRule>
    <cfRule type="cellIs" dxfId="51" priority="53" operator="lessThanOrEqual">
      <formula>0</formula>
    </cfRule>
  </conditionalFormatting>
  <conditionalFormatting sqref="G53">
    <cfRule type="cellIs" dxfId="50" priority="51" operator="greaterThanOrEqual">
      <formula>1</formula>
    </cfRule>
  </conditionalFormatting>
  <conditionalFormatting sqref="N52">
    <cfRule type="cellIs" dxfId="49" priority="49" operator="lessThan">
      <formula>0</formula>
    </cfRule>
    <cfRule type="cellIs" dxfId="48" priority="50" operator="greaterThan">
      <formula>0</formula>
    </cfRule>
  </conditionalFormatting>
  <conditionalFormatting sqref="F52">
    <cfRule type="cellIs" dxfId="47" priority="47" operator="greaterThan">
      <formula>0</formula>
    </cfRule>
    <cfRule type="cellIs" dxfId="46" priority="48" operator="lessThanOrEqual">
      <formula>0</formula>
    </cfRule>
  </conditionalFormatting>
  <conditionalFormatting sqref="G52">
    <cfRule type="cellIs" dxfId="45" priority="46" operator="greaterThanOrEqual">
      <formula>1</formula>
    </cfRule>
  </conditionalFormatting>
  <conditionalFormatting sqref="N51">
    <cfRule type="cellIs" dxfId="44" priority="44" operator="lessThan">
      <formula>0</formula>
    </cfRule>
    <cfRule type="cellIs" dxfId="43" priority="45" operator="greaterThan">
      <formula>0</formula>
    </cfRule>
  </conditionalFormatting>
  <conditionalFormatting sqref="F51">
    <cfRule type="cellIs" dxfId="42" priority="42" operator="greaterThan">
      <formula>0</formula>
    </cfRule>
    <cfRule type="cellIs" dxfId="41" priority="43" operator="lessThanOrEqual">
      <formula>0</formula>
    </cfRule>
  </conditionalFormatting>
  <conditionalFormatting sqref="G51">
    <cfRule type="cellIs" dxfId="40" priority="41" operator="greaterThanOrEqual">
      <formula>1</formula>
    </cfRule>
  </conditionalFormatting>
  <conditionalFormatting sqref="N50">
    <cfRule type="cellIs" dxfId="39" priority="39" operator="lessThan">
      <formula>0</formula>
    </cfRule>
    <cfRule type="cellIs" dxfId="38" priority="40" operator="greaterThan">
      <formula>0</formula>
    </cfRule>
  </conditionalFormatting>
  <conditionalFormatting sqref="F50">
    <cfRule type="cellIs" dxfId="37" priority="37" operator="greaterThan">
      <formula>0</formula>
    </cfRule>
    <cfRule type="cellIs" dxfId="36" priority="38" operator="lessThanOrEqual">
      <formula>0</formula>
    </cfRule>
  </conditionalFormatting>
  <conditionalFormatting sqref="G50">
    <cfRule type="cellIs" dxfId="35" priority="36" operator="greaterThanOrEqual">
      <formula>1</formula>
    </cfRule>
  </conditionalFormatting>
  <conditionalFormatting sqref="N48:N49">
    <cfRule type="cellIs" dxfId="34" priority="34" operator="lessThan">
      <formula>0</formula>
    </cfRule>
    <cfRule type="cellIs" dxfId="33" priority="35" operator="greaterThan">
      <formula>0</formula>
    </cfRule>
  </conditionalFormatting>
  <conditionalFormatting sqref="F48:F49">
    <cfRule type="cellIs" dxfId="32" priority="32" operator="greaterThan">
      <formula>0</formula>
    </cfRule>
    <cfRule type="cellIs" dxfId="31" priority="33" operator="lessThanOrEqual">
      <formula>0</formula>
    </cfRule>
  </conditionalFormatting>
  <conditionalFormatting sqref="G48:G49">
    <cfRule type="cellIs" dxfId="30" priority="31" operator="greaterThanOrEqual">
      <formula>1</formula>
    </cfRule>
  </conditionalFormatting>
  <conditionalFormatting sqref="N47">
    <cfRule type="cellIs" dxfId="29" priority="29" operator="lessThan">
      <formula>0</formula>
    </cfRule>
    <cfRule type="cellIs" dxfId="28" priority="30" operator="greaterThan">
      <formula>0</formula>
    </cfRule>
  </conditionalFormatting>
  <conditionalFormatting sqref="F47">
    <cfRule type="cellIs" dxfId="27" priority="27" operator="greaterThan">
      <formula>0</formula>
    </cfRule>
    <cfRule type="cellIs" dxfId="26" priority="28" operator="lessThanOrEqual">
      <formula>0</formula>
    </cfRule>
  </conditionalFormatting>
  <conditionalFormatting sqref="G47">
    <cfRule type="cellIs" dxfId="25" priority="26" operator="greaterThanOrEqual">
      <formula>1</formula>
    </cfRule>
  </conditionalFormatting>
  <conditionalFormatting sqref="N46">
    <cfRule type="cellIs" dxfId="24" priority="24" operator="lessThan">
      <formula>0</formula>
    </cfRule>
    <cfRule type="cellIs" dxfId="23" priority="25" operator="greaterThan">
      <formula>0</formula>
    </cfRule>
  </conditionalFormatting>
  <conditionalFormatting sqref="F46">
    <cfRule type="cellIs" dxfId="22" priority="22" operator="greaterThan">
      <formula>0</formula>
    </cfRule>
    <cfRule type="cellIs" dxfId="21" priority="23" operator="lessThanOrEqual">
      <formula>0</formula>
    </cfRule>
  </conditionalFormatting>
  <conditionalFormatting sqref="G46">
    <cfRule type="cellIs" dxfId="20" priority="21" operator="greaterThanOrEqual">
      <formula>1</formula>
    </cfRule>
  </conditionalFormatting>
  <conditionalFormatting sqref="N45">
    <cfRule type="cellIs" dxfId="19" priority="19" operator="lessThan">
      <formula>0</formula>
    </cfRule>
    <cfRule type="cellIs" dxfId="18" priority="20" operator="greaterThan">
      <formula>0</formula>
    </cfRule>
  </conditionalFormatting>
  <conditionalFormatting sqref="F45">
    <cfRule type="cellIs" dxfId="17" priority="17" operator="greaterThan">
      <formula>0</formula>
    </cfRule>
    <cfRule type="cellIs" dxfId="16" priority="18" operator="lessThanOrEqual">
      <formula>0</formula>
    </cfRule>
  </conditionalFormatting>
  <conditionalFormatting sqref="G45">
    <cfRule type="cellIs" dxfId="15" priority="16" operator="greaterThanOrEqual">
      <formula>1</formula>
    </cfRule>
  </conditionalFormatting>
  <conditionalFormatting sqref="N44">
    <cfRule type="cellIs" dxfId="14" priority="14" operator="lessThan">
      <formula>0</formula>
    </cfRule>
    <cfRule type="cellIs" dxfId="13" priority="15" operator="greaterThan">
      <formula>0</formula>
    </cfRule>
  </conditionalFormatting>
  <conditionalFormatting sqref="F44">
    <cfRule type="cellIs" dxfId="12" priority="12" operator="greaterThan">
      <formula>0</formula>
    </cfRule>
    <cfRule type="cellIs" dxfId="11" priority="13" operator="lessThanOrEqual">
      <formula>0</formula>
    </cfRule>
  </conditionalFormatting>
  <conditionalFormatting sqref="G44">
    <cfRule type="cellIs" dxfId="10" priority="11" operator="greaterThanOrEqual">
      <formula>1</formula>
    </cfRule>
  </conditionalFormatting>
  <conditionalFormatting sqref="N43">
    <cfRule type="cellIs" dxfId="9" priority="9" operator="lessThan">
      <formula>0</formula>
    </cfRule>
    <cfRule type="cellIs" dxfId="8" priority="10" operator="greaterThan">
      <formula>0</formula>
    </cfRule>
  </conditionalFormatting>
  <conditionalFormatting sqref="F43">
    <cfRule type="cellIs" dxfId="7" priority="7" operator="greaterThan">
      <formula>0</formula>
    </cfRule>
    <cfRule type="cellIs" dxfId="6" priority="8" operator="lessThanOrEqual">
      <formula>0</formula>
    </cfRule>
  </conditionalFormatting>
  <conditionalFormatting sqref="G43">
    <cfRule type="cellIs" dxfId="5" priority="6" operator="greaterThanOrEqual">
      <formula>1</formula>
    </cfRule>
  </conditionalFormatting>
  <conditionalFormatting sqref="N42">
    <cfRule type="cellIs" dxfId="4" priority="4" operator="lessThan">
      <formula>0</formula>
    </cfRule>
    <cfRule type="cellIs" dxfId="3" priority="5" operator="greaterThan">
      <formula>0</formula>
    </cfRule>
  </conditionalFormatting>
  <conditionalFormatting sqref="F42">
    <cfRule type="cellIs" dxfId="2" priority="2" operator="greaterThan">
      <formula>0</formula>
    </cfRule>
    <cfRule type="cellIs" dxfId="1" priority="3" operator="lessThanOrEqual">
      <formula>0</formula>
    </cfRule>
  </conditionalFormatting>
  <conditionalFormatting sqref="G42">
    <cfRule type="cellIs" dxfId="0" priority="1" operator="greaterThanOrEqual">
      <formula>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2017-05-23T18:27:49Z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K:\XX02\Monitoring PMT\Raporty kierownicy pionow</vt:lpwstr>
  </property>
</Properties>
</file>