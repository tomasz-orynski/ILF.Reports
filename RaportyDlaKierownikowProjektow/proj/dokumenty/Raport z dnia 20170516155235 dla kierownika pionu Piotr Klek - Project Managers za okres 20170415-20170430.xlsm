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orkbookTemplate" defaultThemeVersion="124226"/>
  <bookViews>
    <workbookView xWindow="20145" yWindow="-15" windowWidth="19440" windowHeight="7605"/>
  </bookViews>
  <sheets>
    <sheet name="Report" sheetId="1" r:id="rId1"/>
  </sheets>
  <calcPr calcId="145621"/>
</workbook>
</file>

<file path=xl/calcChain.xml><?xml version="1.0" encoding="utf-8"?>
<calcChain xmlns="http://schemas.openxmlformats.org/spreadsheetml/2006/main">
  <c r="L38" i="1" l="1"/>
  <c r="I38" i="1"/>
  <c r="H38" i="1"/>
  <c r="E38" i="1"/>
  <c r="D38" i="1"/>
  <c r="G38" i="1" s="1"/>
  <c r="M31" i="1"/>
  <c r="N31" i="1" s="1"/>
  <c r="K31" i="1"/>
  <c r="J31" i="1"/>
  <c r="F31" i="1"/>
  <c r="G31" i="1" s="1"/>
  <c r="N32" i="1"/>
  <c r="M32" i="1"/>
  <c r="O32" i="1" s="1"/>
  <c r="K32" i="1"/>
  <c r="J32" i="1"/>
  <c r="G32" i="1"/>
  <c r="F32" i="1"/>
  <c r="M33" i="1"/>
  <c r="O33" i="1" s="1"/>
  <c r="K33" i="1"/>
  <c r="J33" i="1"/>
  <c r="F33" i="1"/>
  <c r="G33" i="1" s="1"/>
  <c r="M34" i="1"/>
  <c r="O34" i="1" s="1"/>
  <c r="K34" i="1"/>
  <c r="J34" i="1"/>
  <c r="F34" i="1"/>
  <c r="G34" i="1" s="1"/>
  <c r="M35" i="1"/>
  <c r="O35" i="1" s="1"/>
  <c r="K35" i="1"/>
  <c r="J35" i="1"/>
  <c r="G35" i="1"/>
  <c r="F35" i="1"/>
  <c r="M36" i="1"/>
  <c r="O36" i="1" s="1"/>
  <c r="K36" i="1"/>
  <c r="J36" i="1"/>
  <c r="F36" i="1"/>
  <c r="G36" i="1" s="1"/>
  <c r="L24" i="1"/>
  <c r="I24" i="1"/>
  <c r="H24" i="1"/>
  <c r="J24" i="1" s="1"/>
  <c r="E24" i="1"/>
  <c r="D24" i="1"/>
  <c r="M17" i="1"/>
  <c r="O17" i="1" s="1"/>
  <c r="K17" i="1"/>
  <c r="J17" i="1"/>
  <c r="F17" i="1"/>
  <c r="G17" i="1" s="1"/>
  <c r="M18" i="1"/>
  <c r="O18" i="1" s="1"/>
  <c r="K18" i="1"/>
  <c r="J18" i="1"/>
  <c r="F18" i="1"/>
  <c r="G18" i="1" s="1"/>
  <c r="M19" i="1"/>
  <c r="O19" i="1" s="1"/>
  <c r="K19" i="1"/>
  <c r="J19" i="1"/>
  <c r="F19" i="1"/>
  <c r="G19" i="1" s="1"/>
  <c r="M20" i="1"/>
  <c r="O20" i="1" s="1"/>
  <c r="K20" i="1"/>
  <c r="J20" i="1"/>
  <c r="G20" i="1"/>
  <c r="F20" i="1"/>
  <c r="M21" i="1"/>
  <c r="O21" i="1" s="1"/>
  <c r="K21" i="1"/>
  <c r="J21" i="1"/>
  <c r="F21" i="1"/>
  <c r="G21" i="1" s="1"/>
  <c r="M22" i="1"/>
  <c r="O22" i="1" s="1"/>
  <c r="K22" i="1"/>
  <c r="J22" i="1"/>
  <c r="F22" i="1"/>
  <c r="G22" i="1" s="1"/>
  <c r="J38" i="1" l="1"/>
  <c r="N35" i="1"/>
  <c r="O31" i="1"/>
  <c r="N33" i="1"/>
  <c r="N34" i="1"/>
  <c r="N36" i="1"/>
  <c r="N20" i="1"/>
  <c r="N18" i="1"/>
  <c r="N17" i="1"/>
  <c r="N19" i="1"/>
  <c r="N21" i="1"/>
  <c r="N22" i="1"/>
  <c r="O23" i="1"/>
  <c r="O16" i="1"/>
  <c r="M37" i="1" l="1"/>
  <c r="O37" i="1" s="1"/>
  <c r="M30" i="1"/>
  <c r="M23" i="1"/>
  <c r="M16" i="1"/>
  <c r="M24" i="1" s="1"/>
  <c r="O24" i="1" s="1"/>
  <c r="O30" i="1" l="1"/>
  <c r="M38" i="1"/>
  <c r="O38" i="1" s="1"/>
  <c r="K37" i="1"/>
  <c r="J37" i="1"/>
  <c r="K30" i="1"/>
  <c r="K38" i="1" s="1"/>
  <c r="J30" i="1"/>
  <c r="K16" i="1"/>
  <c r="G37" i="1" l="1"/>
  <c r="G23" i="1"/>
  <c r="G16" i="1"/>
  <c r="J16" i="1" l="1"/>
  <c r="K23" i="1"/>
  <c r="K24" i="1" s="1"/>
  <c r="J23" i="1"/>
  <c r="F37" i="1" l="1"/>
  <c r="F30" i="1"/>
  <c r="G30" i="1" l="1"/>
  <c r="F38" i="1"/>
  <c r="N30" i="1"/>
  <c r="N38" i="1" s="1"/>
  <c r="N37" i="1"/>
  <c r="F23" i="1"/>
  <c r="F16" i="1" l="1"/>
  <c r="F24" i="1" s="1"/>
  <c r="G24" i="1" s="1"/>
  <c r="N16" i="1" l="1"/>
  <c r="N23" i="1"/>
  <c r="N24" i="1" l="1"/>
</calcChain>
</file>

<file path=xl/sharedStrings.xml><?xml version="1.0" encoding="utf-8"?>
<sst xmlns="http://schemas.openxmlformats.org/spreadsheetml/2006/main" count="105" uniqueCount="61">
  <si>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</si>
  <si>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</si>
  <si>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</si>
  <si>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</si>
  <si>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</si>
  <si>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</si>
  <si>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</si>
  <si>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</si>
  <si>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</si>
  <si>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</si>
  <si>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</si>
  <si>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</si>
  <si>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</si>
  <si>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</si>
  <si>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</si>
  <si>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</si>
  <si>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</si>
  <si>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</si>
  <si>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</si>
  <si>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</si>
  <si>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</si>
  <si>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</si>
  <si>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</si>
  <si>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</si>
  <si>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</si>
  <si>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</si>
  <si>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</si>
  <si>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</si>
  <si>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</si>
  <si>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</si>
  <si>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</si>
  <si>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</si>
  <si>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</si>
  <si>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</si>
  <si>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</si>
  <si>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</si>
  <si>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</si>
  <si>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</si>
  <si>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</si>
  <si>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</si>
  <si>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</si>
  <si>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</si>
  <si>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</si>
  <si>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</si>
  <si>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</si>
  <si>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</si>
  <si>
    <t>Project Management</t>
  </si>
  <si>
    <t xml:space="preserve">Project Organization </t>
  </si>
  <si>
    <t>Project Managers</t>
  </si>
  <si>
    <t>Piotr Klek</t>
  </si>
  <si>
    <t>Piotr Klek - Project Managers</t>
  </si>
  <si>
    <t>E872</t>
  </si>
  <si>
    <t>Bogucki, Michal</t>
  </si>
  <si>
    <t>Dobrut, Grzegorz</t>
  </si>
  <si>
    <t>Furtak, Dariusz</t>
  </si>
  <si>
    <t>Piecyk, Tomasz</t>
  </si>
  <si>
    <t>Altewegier, Pawel</t>
  </si>
  <si>
    <t>Frydrych, Mateusz</t>
  </si>
  <si>
    <t>Kotas, Magdalena</t>
  </si>
  <si>
    <t>Pawlowska, Agnieszka</t>
  </si>
  <si>
    <t>E872 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</si>
</sst>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\ &quot;€&quot;_-;\-* #,##0.00\ &quot;€&quot;_-;_-* &quot;-&quot;??\ &quot;€&quot;_-;_-@_-"/>
    <numFmt numFmtId="165" formatCode="#,##0\ &quot;€&quot;"/>
    <numFmt numFmtId="166" formatCode="0.0%"/>
  </numFmts>
  <fonts count="25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2">
    <xf numFmtId="0" fontId="0" fillId="0" borderId="0" xfId="0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2" fontId="3" fillId="0" borderId="2" xfId="0" applyNumberFormat="1" applyFont="1" applyBorder="1" applyAlignment="1" applyProtection="1">
      <alignment horizontal="center" vertical="center" wrapText="1"/>
    </xf>
    <xf numFmtId="2" fontId="3" fillId="0" borderId="3" xfId="0" applyNumberFormat="1" applyFont="1" applyBorder="1" applyAlignment="1" applyProtection="1">
      <alignment horizontal="center" vertical="center" wrapText="1"/>
    </xf>
    <xf numFmtId="0" fontId="0" fillId="0" borderId="3" xfId="0" applyBorder="1" applyProtection="1"/>
    <xf numFmtId="0" fontId="0" fillId="0" borderId="0" xfId="0" applyBorder="1" applyProtection="1"/>
    <xf numFmtId="0" fontId="0" fillId="0" borderId="5" xfId="0" applyBorder="1" applyProtection="1"/>
    <xf numFmtId="0" fontId="20" fillId="0" borderId="2" xfId="0" applyFont="1" applyBorder="1" applyAlignment="1" applyProtection="1">
      <alignment horizontal="center" vertical="center"/>
    </xf>
    <xf numFmtId="0" fontId="20" fillId="0" borderId="4" xfId="0" applyFont="1" applyBorder="1" applyAlignment="1" applyProtection="1">
      <alignment horizontal="center" vertical="center"/>
    </xf>
    <xf numFmtId="0" fontId="20" fillId="0" borderId="0" xfId="0" applyFont="1" applyBorder="1" applyAlignment="1" applyProtection="1">
      <alignment horizontal="center" vertical="center"/>
    </xf>
    <xf numFmtId="0" fontId="0" fillId="0" borderId="0" xfId="0" applyProtection="1"/>
    <xf numFmtId="14" fontId="4" fillId="0" borderId="6" xfId="0" applyNumberFormat="1" applyFon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4" fontId="4" fillId="0" borderId="7" xfId="0" applyNumberFormat="1" applyFont="1" applyBorder="1" applyAlignment="1" applyProtection="1">
      <alignment horizontal="center" vertical="center"/>
    </xf>
    <xf numFmtId="14" fontId="4" fillId="0" borderId="8" xfId="0" applyNumberFormat="1" applyFont="1" applyBorder="1" applyAlignment="1" applyProtection="1">
      <alignment horizontal="center" vertical="center"/>
    </xf>
    <xf numFmtId="2" fontId="3" fillId="0" borderId="0" xfId="0" applyNumberFormat="1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5" fillId="0" borderId="4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horizontal="left" vertical="distributed" wrapText="1"/>
    </xf>
    <xf numFmtId="0" fontId="0" fillId="0" borderId="3" xfId="0" applyBorder="1" applyAlignment="1" applyProtection="1">
      <alignment horizontal="left" vertical="distributed" wrapText="1"/>
    </xf>
    <xf numFmtId="0" fontId="4" fillId="0" borderId="10" xfId="0" applyFont="1" applyBorder="1" applyAlignment="1" applyProtection="1">
      <alignment horizontal="center" vertical="center"/>
    </xf>
    <xf numFmtId="0" fontId="18" fillId="0" borderId="11" xfId="16" applyBorder="1" applyAlignment="1" applyProtection="1">
      <alignment horizontal="center" vertical="center"/>
    </xf>
    <xf numFmtId="0" fontId="18" fillId="0" borderId="0" xfId="16" applyBorder="1" applyAlignment="1" applyProtection="1">
      <alignment horizontal="center" vertical="center"/>
    </xf>
    <xf numFmtId="0" fontId="0" fillId="0" borderId="0" xfId="0" applyAlignment="1" applyProtection="1">
      <alignment horizontal="left" vertical="distributed" wrapText="1"/>
    </xf>
    <xf numFmtId="0" fontId="4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left"/>
    </xf>
    <xf numFmtId="0" fontId="6" fillId="0" borderId="0" xfId="0" applyFont="1" applyBorder="1" applyProtection="1"/>
    <xf numFmtId="0" fontId="7" fillId="0" borderId="0" xfId="0" applyFont="1" applyBorder="1" applyProtection="1"/>
    <xf numFmtId="165" fontId="0" fillId="0" borderId="0" xfId="0" applyNumberFormat="1" applyBorder="1" applyProtection="1"/>
    <xf numFmtId="10" fontId="0" fillId="0" borderId="0" xfId="0" applyNumberFormat="1" applyBorder="1" applyProtection="1"/>
    <xf numFmtId="3" fontId="0" fillId="0" borderId="0" xfId="0" applyNumberFormat="1" applyBorder="1" applyProtection="1"/>
    <xf numFmtId="0" fontId="6" fillId="4" borderId="12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7" fillId="4" borderId="12" xfId="0" applyFont="1" applyFill="1" applyBorder="1" applyAlignment="1" applyProtection="1">
      <alignment horizontal="center" vertical="center" wrapText="1"/>
    </xf>
    <xf numFmtId="3" fontId="8" fillId="0" borderId="12" xfId="0" applyNumberFormat="1" applyFont="1" applyBorder="1" applyAlignment="1" applyProtection="1">
      <alignment horizontal="center" vertical="center"/>
    </xf>
    <xf numFmtId="166" fontId="8" fillId="0" borderId="12" xfId="0" applyNumberFormat="1" applyFont="1" applyBorder="1" applyAlignment="1" applyProtection="1">
      <alignment horizontal="center" vertical="center"/>
    </xf>
    <xf numFmtId="166" fontId="8" fillId="5" borderId="12" xfId="0" applyNumberFormat="1" applyFont="1" applyFill="1" applyBorder="1" applyAlignment="1" applyProtection="1">
      <alignment horizontal="center" vertical="center"/>
    </xf>
    <xf numFmtId="3" fontId="8" fillId="5" borderId="12" xfId="0" applyNumberFormat="1" applyFont="1" applyFill="1" applyBorder="1" applyAlignment="1" applyProtection="1">
      <alignment horizontal="center" vertical="center"/>
    </xf>
    <xf numFmtId="10" fontId="9" fillId="0" borderId="0" xfId="0" applyNumberFormat="1" applyFont="1" applyBorder="1" applyProtection="1"/>
    <xf numFmtId="10" fontId="0" fillId="0" borderId="0" xfId="1" applyNumberFormat="1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left"/>
    </xf>
    <xf numFmtId="3" fontId="24" fillId="0" borderId="12" xfId="0" applyNumberFormat="1" applyFont="1" applyBorder="1" applyAlignment="1" applyProtection="1">
      <alignment horizontal="center" vertical="center"/>
    </xf>
    <xf numFmtId="0" fontId="4" fillId="4" borderId="12" xfId="0" applyFont="1" applyFill="1" applyBorder="1" applyAlignment="1" applyProtection="1">
      <alignment horizontal="center" vertical="center" wrapText="1"/>
    </xf>
    <xf numFmtId="0" fontId="4" fillId="5" borderId="12" xfId="0" applyFont="1" applyFill="1" applyBorder="1" applyAlignment="1" applyProtection="1">
      <alignment horizontal="center" vertical="center" wrapText="1"/>
    </xf>
    <xf numFmtId="0" fontId="21" fillId="0" borderId="4" xfId="0" applyFont="1" applyBorder="1" applyAlignment="1" applyProtection="1">
      <alignment horizontal="left" vertical="top"/>
      <protection locked="0"/>
    </xf>
    <xf numFmtId="0" fontId="21" fillId="0" borderId="9" xfId="0" applyFont="1" applyBorder="1" applyAlignment="1" applyProtection="1">
      <alignment horizontal="left" vertical="top"/>
      <protection locked="0"/>
    </xf>
    <xf numFmtId="0" fontId="21" fillId="0" borderId="11" xfId="0" applyFont="1" applyBorder="1" applyAlignment="1" applyProtection="1">
      <alignment horizontal="left" vertical="top"/>
      <protection locked="0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6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XFC215"/>
  <sheetViews>
    <sheetView showGridLines="0" tabSelected="1" zoomScale="70" zoomScaleNormal="70" workbookViewId="0">
      <selection activeCell="A39" sqref="A39:XFD39"/>
    </sheetView>
  </sheetViews>
  <sheetFormatPr defaultColWidth="9.140625" defaultRowHeight="12.75" zeroHeight="1" outlineLevelRow="2" x14ac:dyDescent="0.2"/>
  <cols>
    <col min="1" max="1" width="5.7109375" style="15" customWidth="1"/>
    <col min="2" max="2" width="17.28515625" style="15" customWidth="1"/>
    <col min="3" max="3" width="36" style="15" customWidth="1"/>
    <col min="4" max="15" width="16.7109375" style="15" customWidth="1"/>
    <col min="16" max="16" width="5.7109375" style="15" customWidth="1"/>
    <col min="17" max="37" width="16.85546875" style="15" hidden="1" customWidth="1"/>
    <col min="38" max="38" width="18.85546875" style="15" hidden="1" customWidth="1"/>
    <col min="39" max="40" width="20.28515625" style="15" hidden="1" customWidth="1"/>
    <col min="41" max="42" width="26.42578125" style="15" hidden="1" customWidth="1"/>
    <col min="43" max="187" width="10.5703125" style="15" hidden="1" customWidth="1"/>
    <col min="188" max="189" width="15.42578125" style="15" hidden="1" customWidth="1"/>
    <col min="190" max="16383" width="9.140625" style="15"/>
    <col min="16384" max="16384" width="0.42578125" style="15" customWidth="1"/>
  </cols>
  <sheetData>
    <row r="1" spans="1:19" s="10" customFormat="1" ht="16.5" thickBot="1" x14ac:dyDescent="0.25">
      <c r="A1" s="7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9"/>
    </row>
    <row r="2" spans="1:19" s="10" customFormat="1" ht="33.75" customHeight="1" thickBot="1" x14ac:dyDescent="0.25">
      <c r="A2" s="11"/>
      <c r="B2" s="12" t="s">
        <v>6</v>
      </c>
      <c r="C2" s="13"/>
      <c r="D2" s="14"/>
      <c r="E2" s="15"/>
      <c r="F2" s="16" t="s">
        <v>15</v>
      </c>
      <c r="G2" s="17"/>
      <c r="H2" s="18">
        <v>42840</v>
      </c>
      <c r="I2" s="18" t="s">
        <v>14</v>
      </c>
      <c r="J2" s="19">
        <v>42855</v>
      </c>
      <c r="K2" s="20"/>
      <c r="L2" s="20"/>
      <c r="M2" s="20"/>
      <c r="N2" s="20"/>
    </row>
    <row r="3" spans="1:19" s="10" customFormat="1" ht="33.75" customHeight="1" thickBot="1" x14ac:dyDescent="0.25">
      <c r="A3" s="11"/>
      <c r="B3" s="21" t="s">
        <v>7</v>
      </c>
      <c r="C3" s="22" t="s">
        <v>8</v>
      </c>
      <c r="D3" s="23"/>
      <c r="E3" s="20"/>
      <c r="F3" s="15"/>
      <c r="G3" s="15"/>
      <c r="H3" s="15"/>
      <c r="I3" s="15"/>
      <c r="J3" s="15"/>
      <c r="K3" s="20"/>
      <c r="L3" s="20"/>
      <c r="M3" s="20"/>
      <c r="N3" s="20"/>
    </row>
    <row r="4" spans="1:19" s="10" customFormat="1" ht="33.75" customHeight="1" thickBot="1" x14ac:dyDescent="0.25">
      <c r="A4" s="11"/>
      <c r="B4" s="21" t="s">
        <v>9</v>
      </c>
      <c r="C4" s="22" t="s">
        <v>46</v>
      </c>
      <c r="D4" s="23"/>
      <c r="E4" s="20"/>
      <c r="F4" s="24" t="s">
        <v>5</v>
      </c>
      <c r="G4" s="24"/>
      <c r="N4" s="20"/>
    </row>
    <row r="5" spans="1:19" s="10" customFormat="1" ht="33.75" customHeight="1" x14ac:dyDescent="0.2">
      <c r="A5" s="11"/>
      <c r="B5" s="21" t="s">
        <v>0</v>
      </c>
      <c r="C5" s="25" t="s">
        <v>47</v>
      </c>
      <c r="D5" s="26"/>
      <c r="E5" s="20"/>
      <c r="F5" s="1"/>
      <c r="G5" s="2"/>
      <c r="H5" s="2"/>
      <c r="I5" s="2"/>
      <c r="J5" s="2"/>
      <c r="K5" s="2"/>
      <c r="L5" s="2"/>
      <c r="M5" s="2"/>
      <c r="N5" s="2"/>
      <c r="O5" s="59"/>
    </row>
    <row r="6" spans="1:19" s="10" customFormat="1" ht="33.75" customHeight="1" x14ac:dyDescent="0.2">
      <c r="A6" s="11"/>
      <c r="B6" s="27" t="s">
        <v>10</v>
      </c>
      <c r="C6" s="28" t="s">
        <v>48</v>
      </c>
      <c r="D6" s="23"/>
      <c r="E6" s="20"/>
      <c r="F6" s="3"/>
      <c r="G6" s="4"/>
      <c r="H6" s="4"/>
      <c r="I6" s="4"/>
      <c r="J6" s="4"/>
      <c r="K6" s="4"/>
      <c r="L6" s="4"/>
      <c r="M6" s="4"/>
      <c r="N6" s="4"/>
      <c r="O6" s="60"/>
    </row>
    <row r="7" spans="1:19" s="10" customFormat="1" ht="33.75" customHeight="1" thickBot="1" x14ac:dyDescent="0.25">
      <c r="A7" s="11"/>
      <c r="B7" s="27" t="s">
        <v>11</v>
      </c>
      <c r="C7" s="28" t="s">
        <v>49</v>
      </c>
      <c r="D7" s="23"/>
      <c r="E7" s="20"/>
      <c r="F7" s="5"/>
      <c r="G7" s="6"/>
      <c r="H7" s="6"/>
      <c r="I7" s="6"/>
      <c r="J7" s="6"/>
      <c r="K7" s="6"/>
      <c r="L7" s="6"/>
      <c r="M7" s="6"/>
      <c r="N7" s="6"/>
      <c r="O7" s="61"/>
    </row>
    <row r="8" spans="1:19" s="10" customFormat="1" ht="33.75" customHeight="1" x14ac:dyDescent="0.2">
      <c r="A8" s="11"/>
      <c r="B8" s="27" t="s">
        <v>1</v>
      </c>
      <c r="C8" s="29" t="s">
        <v>50</v>
      </c>
      <c r="D8" s="26"/>
      <c r="E8" s="20"/>
      <c r="F8" s="30" t="s">
        <v>34</v>
      </c>
      <c r="G8" s="31"/>
      <c r="H8" s="31"/>
      <c r="I8" s="31"/>
      <c r="J8" s="31"/>
      <c r="K8" s="31"/>
      <c r="L8" s="31"/>
      <c r="M8" s="31"/>
      <c r="N8" s="20"/>
    </row>
    <row r="9" spans="1:19" s="10" customFormat="1" ht="33.75" customHeight="1" thickBot="1" x14ac:dyDescent="0.25">
      <c r="A9" s="11"/>
      <c r="B9" s="32"/>
      <c r="C9" s="33"/>
      <c r="D9" s="34"/>
      <c r="E9" s="20"/>
      <c r="F9" s="35"/>
      <c r="G9" s="35"/>
      <c r="H9" s="35"/>
      <c r="I9" s="35"/>
      <c r="J9" s="35"/>
      <c r="K9" s="35"/>
      <c r="L9" s="35"/>
      <c r="M9" s="35"/>
      <c r="N9" s="20"/>
    </row>
    <row r="10" spans="1:19" s="10" customFormat="1" ht="15.75" x14ac:dyDescent="0.2">
      <c r="A10" s="11"/>
      <c r="B10" s="36"/>
      <c r="C10" s="26"/>
      <c r="D10" s="26"/>
      <c r="E10" s="20"/>
      <c r="F10" s="20"/>
      <c r="G10" s="20"/>
      <c r="H10" s="20"/>
      <c r="I10" s="20"/>
      <c r="J10" s="20"/>
      <c r="K10" s="20"/>
      <c r="L10" s="20"/>
      <c r="M10" s="20"/>
      <c r="N10" s="20"/>
    </row>
    <row r="11" spans="1:19" s="10" customFormat="1" x14ac:dyDescent="0.2">
      <c r="A11" s="11"/>
    </row>
    <row r="12" spans="1:19" s="10" customFormat="1" x14ac:dyDescent="0.2">
      <c r="A12" s="11"/>
      <c r="B12" s="37" t="s">
        <v>16</v>
      </c>
      <c r="C12" s="38"/>
      <c r="D12" s="38"/>
      <c r="E12" s="38"/>
      <c r="F12" s="39"/>
      <c r="G12" s="39"/>
      <c r="H12" s="40"/>
      <c r="K12" s="41"/>
      <c r="M12" s="42"/>
    </row>
    <row r="13" spans="1:19" s="10" customFormat="1" x14ac:dyDescent="0.2">
      <c r="A13" s="11"/>
    </row>
    <row r="14" spans="1:19" s="10" customFormat="1" x14ac:dyDescent="0.2">
      <c r="A14" s="11"/>
      <c r="B14" s="43"/>
      <c r="C14" s="43"/>
      <c r="D14" s="43" t="s">
        <v>2</v>
      </c>
      <c r="E14" s="43" t="s">
        <v>3</v>
      </c>
      <c r="F14" s="43" t="s">
        <v>13</v>
      </c>
      <c r="G14" s="43" t="s">
        <v>4</v>
      </c>
      <c r="H14" s="43" t="s">
        <v>25</v>
      </c>
      <c r="I14" s="43" t="s">
        <v>42</v>
      </c>
      <c r="J14" s="44" t="s">
        <v>43</v>
      </c>
      <c r="K14" s="44" t="s">
        <v>44</v>
      </c>
      <c r="L14" s="43" t="s">
        <v>24</v>
      </c>
      <c r="M14" s="43" t="s">
        <v>45</v>
      </c>
      <c r="N14" s="43" t="s">
        <v>27</v>
      </c>
      <c r="O14" s="43" t="s">
        <v>28</v>
      </c>
      <c r="P14" s="45"/>
    </row>
    <row r="15" spans="1:19" s="10" customFormat="1" ht="76.5" x14ac:dyDescent="0.2">
      <c r="A15" s="11"/>
      <c r="B15" s="46" t="s">
        <v>17</v>
      </c>
      <c r="C15" s="46" t="s">
        <v>33</v>
      </c>
      <c r="D15" s="46" t="s">
        <v>18</v>
      </c>
      <c r="E15" s="46" t="s">
        <v>19</v>
      </c>
      <c r="F15" s="46" t="s">
        <v>20</v>
      </c>
      <c r="G15" s="46" t="s">
        <v>12</v>
      </c>
      <c r="H15" s="46" t="s">
        <v>30</v>
      </c>
      <c r="I15" s="46" t="s">
        <v>21</v>
      </c>
      <c r="J15" s="47" t="s">
        <v>23</v>
      </c>
      <c r="K15" s="47" t="s">
        <v>22</v>
      </c>
      <c r="L15" s="46" t="s">
        <v>31</v>
      </c>
      <c r="M15" s="46" t="s">
        <v>26</v>
      </c>
      <c r="N15" s="48" t="s">
        <v>32</v>
      </c>
      <c r="O15" s="46" t="s">
        <v>29</v>
      </c>
    </row>
    <row r="16" spans="1:19" s="10" customFormat="1" hidden="1" outlineLevel="2" x14ac:dyDescent="0.2">
      <c r="A16" s="11"/>
      <c r="B16" s="49" t="s">
        <v>51</v>
      </c>
      <c r="C16" s="49" t="s">
        <v>52</v>
      </c>
      <c r="D16" s="49">
        <v>0</v>
      </c>
      <c r="E16" s="49">
        <v>0</v>
      </c>
      <c r="F16" s="49">
        <f>E16-D16</f>
        <v>0</v>
      </c>
      <c r="G16" s="50">
        <f>IF(D16=0,0,ABS(F16/D16))</f>
        <v>0</v>
      </c>
      <c r="H16" s="49">
        <v>0</v>
      </c>
      <c r="I16" s="49">
        <v>6.5</v>
      </c>
      <c r="J16" s="51" t="str">
        <f>IF(H16=0,"No plan at start",I16/H16)</f>
        <v>No plan at start</v>
      </c>
      <c r="K16" s="52">
        <f>H16-I16</f>
        <v>-6.5</v>
      </c>
      <c r="L16" s="49">
        <v>0</v>
      </c>
      <c r="M16" s="49">
        <f>I16+L16</f>
        <v>6.5</v>
      </c>
      <c r="N16" s="49">
        <f>M16-H16</f>
        <v>6.5</v>
      </c>
      <c r="O16" s="50" t="str">
        <f>IF(H16=0,"No plan at start",M16/H16)</f>
        <v>No plan at start</v>
      </c>
      <c r="P16" s="53"/>
      <c r="Q16" s="54"/>
      <c r="R16" s="55"/>
      <c r="S16" s="55"/>
    </row>
    <row r="17" spans="1:19" s="10" customFormat="1" hidden="1" outlineLevel="2" x14ac:dyDescent="0.2">
      <c r="A17" s="11"/>
      <c r="B17" s="49" t="s">
        <v>51</v>
      </c>
      <c r="C17" s="49" t="s">
        <v>53</v>
      </c>
      <c r="D17" s="49">
        <v>0</v>
      </c>
      <c r="E17" s="49">
        <v>0</v>
      </c>
      <c r="F17" s="49">
        <f>E17-D17</f>
        <v>0</v>
      </c>
      <c r="G17" s="50">
        <f>IF(D17=0,0,ABS(F17/D17))</f>
        <v>0</v>
      </c>
      <c r="H17" s="49">
        <v>0</v>
      </c>
      <c r="I17" s="49">
        <v>0</v>
      </c>
      <c r="J17" s="51" t="str">
        <f>IF(H17=0,"No plan at start",I17/H17)</f>
        <v>No plan at start</v>
      </c>
      <c r="K17" s="52">
        <f>H17-I17</f>
        <v>0</v>
      </c>
      <c r="L17" s="49">
        <v>0</v>
      </c>
      <c r="M17" s="49">
        <f>I17+L17</f>
        <v>0</v>
      </c>
      <c r="N17" s="49">
        <f>M17-H17</f>
        <v>0</v>
      </c>
      <c r="O17" s="50" t="str">
        <f>IF(H17=0,"No plan at start",M17/H17)</f>
        <v>No plan at start</v>
      </c>
      <c r="P17" s="53"/>
      <c r="Q17" s="54"/>
      <c r="R17" s="55"/>
      <c r="S17" s="55"/>
    </row>
    <row r="18" spans="1:19" s="10" customFormat="1" hidden="1" outlineLevel="2" x14ac:dyDescent="0.2">
      <c r="A18" s="11"/>
      <c r="B18" s="49" t="s">
        <v>51</v>
      </c>
      <c r="C18" s="49" t="s">
        <v>54</v>
      </c>
      <c r="D18" s="49">
        <v>76</v>
      </c>
      <c r="E18" s="49">
        <v>64</v>
      </c>
      <c r="F18" s="49">
        <f>E18-D18</f>
        <v>-12</v>
      </c>
      <c r="G18" s="50">
        <f>IF(D18=0,0,ABS(F18/D18))</f>
        <v>0.15789473684210525</v>
      </c>
      <c r="H18" s="49">
        <v>6801.6</v>
      </c>
      <c r="I18" s="49">
        <v>3699.75</v>
      </c>
      <c r="J18" s="51">
        <f>IF(H18=0,"No plan at start",I18/H18)</f>
        <v>0.54395289343683839</v>
      </c>
      <c r="K18" s="52">
        <f>H18-I18</f>
        <v>3101.8500000000004</v>
      </c>
      <c r="L18" s="49">
        <v>2956.0000000000005</v>
      </c>
      <c r="M18" s="49">
        <f>I18+L18</f>
        <v>6655.75</v>
      </c>
      <c r="N18" s="49">
        <f>M18-H18</f>
        <v>-145.85000000000036</v>
      </c>
      <c r="O18" s="50">
        <f>IF(H18=0,"No plan at start",M18/H18)</f>
        <v>0.97855651611385552</v>
      </c>
      <c r="P18" s="53"/>
      <c r="Q18" s="54"/>
      <c r="R18" s="55"/>
      <c r="S18" s="55"/>
    </row>
    <row r="19" spans="1:19" s="10" customFormat="1" hidden="1" outlineLevel="2" x14ac:dyDescent="0.2">
      <c r="A19" s="11"/>
      <c r="B19" s="49" t="s">
        <v>51</v>
      </c>
      <c r="C19" s="49" t="s">
        <v>55</v>
      </c>
      <c r="D19" s="49">
        <v>0</v>
      </c>
      <c r="E19" s="49">
        <v>0</v>
      </c>
      <c r="F19" s="49">
        <f>E19-D19</f>
        <v>0</v>
      </c>
      <c r="G19" s="50">
        <f>IF(D19=0,0,ABS(F19/D19))</f>
        <v>0</v>
      </c>
      <c r="H19" s="49">
        <v>0</v>
      </c>
      <c r="I19" s="49">
        <v>0</v>
      </c>
      <c r="J19" s="51" t="str">
        <f>IF(H19=0,"No plan at start",I19/H19)</f>
        <v>No plan at start</v>
      </c>
      <c r="K19" s="52">
        <f>H19-I19</f>
        <v>0</v>
      </c>
      <c r="L19" s="49">
        <v>0</v>
      </c>
      <c r="M19" s="49">
        <f>I19+L19</f>
        <v>0</v>
      </c>
      <c r="N19" s="49">
        <f>M19-H19</f>
        <v>0</v>
      </c>
      <c r="O19" s="50" t="str">
        <f>IF(H19=0,"No plan at start",M19/H19)</f>
        <v>No plan at start</v>
      </c>
      <c r="P19" s="53"/>
      <c r="Q19" s="54"/>
      <c r="R19" s="55"/>
      <c r="S19" s="55"/>
    </row>
    <row r="20" spans="1:19" s="10" customFormat="1" hidden="1" outlineLevel="2" x14ac:dyDescent="0.2">
      <c r="A20" s="11"/>
      <c r="B20" s="49" t="s">
        <v>51</v>
      </c>
      <c r="C20" s="49" t="s">
        <v>56</v>
      </c>
      <c r="D20" s="49">
        <v>0</v>
      </c>
      <c r="E20" s="49">
        <v>0</v>
      </c>
      <c r="F20" s="49">
        <f>E20-D20</f>
        <v>0</v>
      </c>
      <c r="G20" s="50">
        <f>IF(D20=0,0,ABS(F20/D20))</f>
        <v>0</v>
      </c>
      <c r="H20" s="49">
        <v>0</v>
      </c>
      <c r="I20" s="49">
        <v>0</v>
      </c>
      <c r="J20" s="51" t="str">
        <f>IF(H20=0,"No plan at start",I20/H20)</f>
        <v>No plan at start</v>
      </c>
      <c r="K20" s="52">
        <f>H20-I20</f>
        <v>0</v>
      </c>
      <c r="L20" s="49">
        <v>0</v>
      </c>
      <c r="M20" s="49">
        <f>I20+L20</f>
        <v>0</v>
      </c>
      <c r="N20" s="49">
        <f>M20-H20</f>
        <v>0</v>
      </c>
      <c r="O20" s="50" t="str">
        <f>IF(H20=0,"No plan at start",M20/H20)</f>
        <v>No plan at start</v>
      </c>
      <c r="P20" s="53"/>
      <c r="Q20" s="54"/>
      <c r="R20" s="55"/>
      <c r="S20" s="55"/>
    </row>
    <row r="21" spans="1:19" s="10" customFormat="1" hidden="1" outlineLevel="2" x14ac:dyDescent="0.2">
      <c r="A21" s="11"/>
      <c r="B21" s="49" t="s">
        <v>51</v>
      </c>
      <c r="C21" s="49" t="s">
        <v>57</v>
      </c>
      <c r="D21" s="49">
        <v>0</v>
      </c>
      <c r="E21" s="49">
        <v>0</v>
      </c>
      <c r="F21" s="49">
        <f>E21-D21</f>
        <v>0</v>
      </c>
      <c r="G21" s="50">
        <f>IF(D21=0,0,ABS(F21/D21))</f>
        <v>0</v>
      </c>
      <c r="H21" s="49">
        <v>0</v>
      </c>
      <c r="I21" s="49">
        <v>0</v>
      </c>
      <c r="J21" s="51" t="str">
        <f>IF(H21=0,"No plan at start",I21/H21)</f>
        <v>No plan at start</v>
      </c>
      <c r="K21" s="52">
        <f>H21-I21</f>
        <v>0</v>
      </c>
      <c r="L21" s="49">
        <v>0</v>
      </c>
      <c r="M21" s="49">
        <f>I21+L21</f>
        <v>0</v>
      </c>
      <c r="N21" s="49">
        <f>M21-H21</f>
        <v>0</v>
      </c>
      <c r="O21" s="50" t="str">
        <f>IF(H21=0,"No plan at start",M21/H21)</f>
        <v>No plan at start</v>
      </c>
      <c r="P21" s="53"/>
      <c r="Q21" s="54"/>
      <c r="R21" s="55"/>
      <c r="S21" s="55"/>
    </row>
    <row r="22" spans="1:19" s="10" customFormat="1" hidden="1" outlineLevel="2" x14ac:dyDescent="0.2">
      <c r="A22" s="11"/>
      <c r="B22" s="49" t="s">
        <v>51</v>
      </c>
      <c r="C22" s="49" t="s">
        <v>58</v>
      </c>
      <c r="D22" s="49">
        <v>0</v>
      </c>
      <c r="E22" s="49">
        <v>0</v>
      </c>
      <c r="F22" s="49">
        <f>E22-D22</f>
        <v>0</v>
      </c>
      <c r="G22" s="50">
        <f>IF(D22=0,0,ABS(F22/D22))</f>
        <v>0</v>
      </c>
      <c r="H22" s="49">
        <v>0</v>
      </c>
      <c r="I22" s="49">
        <v>0</v>
      </c>
      <c r="J22" s="51" t="str">
        <f>IF(H22=0,"No plan at start",I22/H22)</f>
        <v>No plan at start</v>
      </c>
      <c r="K22" s="52">
        <f>H22-I22</f>
        <v>0</v>
      </c>
      <c r="L22" s="49">
        <v>0</v>
      </c>
      <c r="M22" s="49">
        <f>I22+L22</f>
        <v>0</v>
      </c>
      <c r="N22" s="49">
        <f>M22-H22</f>
        <v>0</v>
      </c>
      <c r="O22" s="50" t="str">
        <f>IF(H22=0,"No plan at start",M22/H22)</f>
        <v>No plan at start</v>
      </c>
      <c r="P22" s="53"/>
      <c r="Q22" s="54"/>
      <c r="R22" s="55"/>
      <c r="S22" s="55"/>
    </row>
    <row r="23" spans="1:19" s="10" customFormat="1" hidden="1" outlineLevel="2" x14ac:dyDescent="0.2">
      <c r="A23" s="11"/>
      <c r="B23" s="49" t="s">
        <v>51</v>
      </c>
      <c r="C23" s="49" t="s">
        <v>59</v>
      </c>
      <c r="D23" s="49">
        <v>0</v>
      </c>
      <c r="E23" s="49">
        <v>0</v>
      </c>
      <c r="F23" s="49">
        <f>E23-D23</f>
        <v>0</v>
      </c>
      <c r="G23" s="50">
        <f>IF(D23=0,0,ABS(F23/D23))</f>
        <v>0</v>
      </c>
      <c r="H23" s="49">
        <v>0</v>
      </c>
      <c r="I23" s="49">
        <v>0</v>
      </c>
      <c r="J23" s="51" t="str">
        <f t="shared" ref="J23:J24" si="0">IF(H23=0,"No plan at start",I23/H23)</f>
        <v>No plan at start</v>
      </c>
      <c r="K23" s="52">
        <f>H23-I23</f>
        <v>0</v>
      </c>
      <c r="L23" s="49">
        <v>0</v>
      </c>
      <c r="M23" s="49">
        <f>I23+L23</f>
        <v>0</v>
      </c>
      <c r="N23" s="49">
        <f>M23-H23</f>
        <v>0</v>
      </c>
      <c r="O23" s="50" t="str">
        <f>IF(H23=0,"No plan at start",M23/H23)</f>
        <v>No plan at start</v>
      </c>
      <c r="P23" s="53"/>
      <c r="Q23" s="54"/>
      <c r="R23" s="55"/>
      <c r="S23" s="55"/>
    </row>
    <row r="24" spans="1:19" s="10" customFormat="1" outlineLevel="1" collapsed="1" x14ac:dyDescent="0.2">
      <c r="A24" s="11"/>
      <c r="B24" s="56" t="s">
        <v>60</v>
      </c>
      <c r="C24" s="49"/>
      <c r="D24" s="49">
        <f>SUBTOTAL(9,D16:D23)</f>
        <v>76</v>
      </c>
      <c r="E24" s="49">
        <f>SUBTOTAL(9,E16:E23)</f>
        <v>64</v>
      </c>
      <c r="F24" s="49">
        <f>SUBTOTAL(9,F16:F23)</f>
        <v>-12</v>
      </c>
      <c r="G24" s="50">
        <f>IF(D24=0,0,ABS(F24/D24))</f>
        <v>0.15789473684210525</v>
      </c>
      <c r="H24" s="49">
        <f>SUBTOTAL(9,H16:H23)</f>
        <v>6801.6</v>
      </c>
      <c r="I24" s="49">
        <f>SUBTOTAL(9,I16:I23)</f>
        <v>3706.25</v>
      </c>
      <c r="J24" s="51">
        <f t="shared" si="0"/>
        <v>0.5449085509291931</v>
      </c>
      <c r="K24" s="52">
        <f>SUBTOTAL(9,K16:K23)</f>
        <v>3095.3500000000004</v>
      </c>
      <c r="L24" s="49">
        <f>SUBTOTAL(9,L16:L23)</f>
        <v>2956.0000000000005</v>
      </c>
      <c r="M24" s="49">
        <f>SUBTOTAL(9,M16:M23)</f>
        <v>6662.25</v>
      </c>
      <c r="N24" s="49">
        <f>SUBTOTAL(9,N16:N23)</f>
        <v>-139.35000000000036</v>
      </c>
      <c r="O24" s="50">
        <f>IF(H24=0,"No plan at start",M24/H24)</f>
        <v>0.97951217360621023</v>
      </c>
      <c r="P24" s="53"/>
      <c r="Q24" s="54"/>
      <c r="R24" s="55"/>
      <c r="S24" s="55"/>
    </row>
    <row r="25" spans="1:19" s="10" customFormat="1" ht="28.5" customHeight="1" x14ac:dyDescent="0.2">
      <c r="A25" s="1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</row>
    <row r="26" spans="1:19" x14ac:dyDescent="0.2">
      <c r="B26" s="37" t="s">
        <v>35</v>
      </c>
      <c r="C26" s="38"/>
      <c r="D26" s="38"/>
      <c r="E26" s="38"/>
      <c r="F26" s="39"/>
      <c r="G26" s="39"/>
      <c r="H26" s="40"/>
      <c r="I26" s="10"/>
      <c r="J26" s="10"/>
      <c r="K26" s="41"/>
      <c r="L26" s="10"/>
      <c r="M26" s="42"/>
      <c r="N26" s="10"/>
      <c r="O26" s="10"/>
    </row>
    <row r="27" spans="1:19" x14ac:dyDescent="0.2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1:19" x14ac:dyDescent="0.2">
      <c r="B28" s="43"/>
      <c r="C28" s="43"/>
      <c r="D28" s="43" t="s">
        <v>2</v>
      </c>
      <c r="E28" s="43" t="s">
        <v>3</v>
      </c>
      <c r="F28" s="43" t="s">
        <v>13</v>
      </c>
      <c r="G28" s="43" t="s">
        <v>4</v>
      </c>
      <c r="H28" s="43" t="s">
        <v>25</v>
      </c>
      <c r="I28" s="43" t="s">
        <v>42</v>
      </c>
      <c r="J28" s="44" t="s">
        <v>43</v>
      </c>
      <c r="K28" s="44" t="s">
        <v>44</v>
      </c>
      <c r="L28" s="43" t="s">
        <v>24</v>
      </c>
      <c r="M28" s="43" t="s">
        <v>45</v>
      </c>
      <c r="N28" s="43" t="s">
        <v>27</v>
      </c>
      <c r="O28" s="43" t="s">
        <v>28</v>
      </c>
    </row>
    <row r="29" spans="1:19" ht="76.5" x14ac:dyDescent="0.2">
      <c r="B29" s="46" t="s">
        <v>17</v>
      </c>
      <c r="C29" s="46" t="s">
        <v>33</v>
      </c>
      <c r="D29" s="57" t="s">
        <v>18</v>
      </c>
      <c r="E29" s="57" t="s">
        <v>19</v>
      </c>
      <c r="F29" s="57" t="s">
        <v>20</v>
      </c>
      <c r="G29" s="57" t="s">
        <v>12</v>
      </c>
      <c r="H29" s="57" t="s">
        <v>36</v>
      </c>
      <c r="I29" s="57" t="s">
        <v>37</v>
      </c>
      <c r="J29" s="58" t="s">
        <v>38</v>
      </c>
      <c r="K29" s="58" t="s">
        <v>22</v>
      </c>
      <c r="L29" s="57" t="s">
        <v>39</v>
      </c>
      <c r="M29" s="57" t="s">
        <v>40</v>
      </c>
      <c r="N29" s="57" t="s">
        <v>41</v>
      </c>
      <c r="O29" s="57" t="s">
        <v>29</v>
      </c>
    </row>
    <row r="30" spans="1:19" hidden="1" outlineLevel="2" x14ac:dyDescent="0.2">
      <c r="B30" s="49" t="s">
        <v>51</v>
      </c>
      <c r="C30" s="49" t="s">
        <v>52</v>
      </c>
      <c r="D30" s="49">
        <v>0</v>
      </c>
      <c r="E30" s="49">
        <v>0</v>
      </c>
      <c r="F30" s="49">
        <f>E30-D30</f>
        <v>0</v>
      </c>
      <c r="G30" s="50">
        <f>IF(D30=0,0,ABS(F30/D30))</f>
        <v>0</v>
      </c>
      <c r="H30" s="49">
        <v>0</v>
      </c>
      <c r="I30" s="49">
        <v>290.68</v>
      </c>
      <c r="J30" s="51" t="str">
        <f>IF(H30=0,"No plan at start",I30/H30)</f>
        <v>No plan at start</v>
      </c>
      <c r="K30" s="52">
        <f>H30-I30</f>
        <v>-290.68</v>
      </c>
      <c r="L30" s="49">
        <v>0</v>
      </c>
      <c r="M30" s="49">
        <f>I30+L30</f>
        <v>290.68</v>
      </c>
      <c r="N30" s="49">
        <f>M30-H30</f>
        <v>290.68</v>
      </c>
      <c r="O30" s="50" t="str">
        <f>IF(H30=0,"No plan at start",M30/H30)</f>
        <v>No plan at start</v>
      </c>
    </row>
    <row r="31" spans="1:19" hidden="1" outlineLevel="2" x14ac:dyDescent="0.2">
      <c r="B31" s="49" t="s">
        <v>51</v>
      </c>
      <c r="C31" s="49" t="s">
        <v>53</v>
      </c>
      <c r="D31" s="49">
        <v>0</v>
      </c>
      <c r="E31" s="49">
        <v>0</v>
      </c>
      <c r="F31" s="49">
        <f>E31-D31</f>
        <v>0</v>
      </c>
      <c r="G31" s="50">
        <f>IF(D31=0,0,ABS(F31/D31))</f>
        <v>0</v>
      </c>
      <c r="H31" s="49">
        <v>0</v>
      </c>
      <c r="I31" s="49">
        <v>0</v>
      </c>
      <c r="J31" s="51" t="str">
        <f>IF(H31=0,"No plan at start",I31/H31)</f>
        <v>No plan at start</v>
      </c>
      <c r="K31" s="52">
        <f>H31-I31</f>
        <v>0</v>
      </c>
      <c r="L31" s="49">
        <v>0</v>
      </c>
      <c r="M31" s="49">
        <f>I31+L31</f>
        <v>0</v>
      </c>
      <c r="N31" s="49">
        <f>M31-H31</f>
        <v>0</v>
      </c>
      <c r="O31" s="50" t="str">
        <f>IF(H31=0,"No plan at start",M31/H31)</f>
        <v>No plan at start</v>
      </c>
    </row>
    <row r="32" spans="1:19" hidden="1" outlineLevel="2" x14ac:dyDescent="0.2">
      <c r="B32" s="49" t="s">
        <v>51</v>
      </c>
      <c r="C32" s="49" t="s">
        <v>54</v>
      </c>
      <c r="D32" s="49">
        <v>0</v>
      </c>
      <c r="E32" s="49">
        <v>3993.5999999999995</v>
      </c>
      <c r="F32" s="49">
        <f>E32-D32</f>
        <v>3993.5999999999995</v>
      </c>
      <c r="G32" s="50">
        <f>IF(D32=0,0,ABS(F32/D32))</f>
        <v>0</v>
      </c>
      <c r="H32" s="49">
        <v>417504.25599999994</v>
      </c>
      <c r="I32" s="49">
        <v>227762.34000000195</v>
      </c>
      <c r="J32" s="51">
        <f>IF(H32=0,"No plan at start",I32/H32)</f>
        <v>0.54553297775245191</v>
      </c>
      <c r="K32" s="52">
        <f>H32-I32</f>
        <v>189741.91599999799</v>
      </c>
      <c r="L32" s="49">
        <v>193939.20000000001</v>
      </c>
      <c r="M32" s="49">
        <f>I32+L32</f>
        <v>421701.54000000196</v>
      </c>
      <c r="N32" s="49">
        <f>M32-H32</f>
        <v>4197.2840000020224</v>
      </c>
      <c r="O32" s="50">
        <f>IF(H32=0,"No plan at start",M32/H32)</f>
        <v>1.0100532723671254</v>
      </c>
    </row>
    <row r="33" spans="2:15" hidden="1" outlineLevel="2" x14ac:dyDescent="0.2">
      <c r="B33" s="49" t="s">
        <v>51</v>
      </c>
      <c r="C33" s="49" t="s">
        <v>55</v>
      </c>
      <c r="D33" s="49">
        <v>0</v>
      </c>
      <c r="E33" s="49">
        <v>0</v>
      </c>
      <c r="F33" s="49">
        <f>E33-D33</f>
        <v>0</v>
      </c>
      <c r="G33" s="50">
        <f>IF(D33=0,0,ABS(F33/D33))</f>
        <v>0</v>
      </c>
      <c r="H33" s="49">
        <v>0</v>
      </c>
      <c r="I33" s="49">
        <v>0</v>
      </c>
      <c r="J33" s="51" t="str">
        <f>IF(H33=0,"No plan at start",I33/H33)</f>
        <v>No plan at start</v>
      </c>
      <c r="K33" s="52">
        <f>H33-I33</f>
        <v>0</v>
      </c>
      <c r="L33" s="49">
        <v>0</v>
      </c>
      <c r="M33" s="49">
        <f>I33+L33</f>
        <v>0</v>
      </c>
      <c r="N33" s="49">
        <f>M33-H33</f>
        <v>0</v>
      </c>
      <c r="O33" s="50" t="str">
        <f>IF(H33=0,"No plan at start",M33/H33)</f>
        <v>No plan at start</v>
      </c>
    </row>
    <row r="34" spans="2:15" hidden="1" outlineLevel="2" x14ac:dyDescent="0.2">
      <c r="B34" s="49" t="s">
        <v>51</v>
      </c>
      <c r="C34" s="49" t="s">
        <v>56</v>
      </c>
      <c r="D34" s="49">
        <v>0</v>
      </c>
      <c r="E34" s="49">
        <v>0</v>
      </c>
      <c r="F34" s="49">
        <f>E34-D34</f>
        <v>0</v>
      </c>
      <c r="G34" s="50">
        <f>IF(D34=0,0,ABS(F34/D34))</f>
        <v>0</v>
      </c>
      <c r="H34" s="49">
        <v>0</v>
      </c>
      <c r="I34" s="49">
        <v>0</v>
      </c>
      <c r="J34" s="51" t="str">
        <f>IF(H34=0,"No plan at start",I34/H34)</f>
        <v>No plan at start</v>
      </c>
      <c r="K34" s="52">
        <f>H34-I34</f>
        <v>0</v>
      </c>
      <c r="L34" s="49">
        <v>0</v>
      </c>
      <c r="M34" s="49">
        <f>I34+L34</f>
        <v>0</v>
      </c>
      <c r="N34" s="49">
        <f>M34-H34</f>
        <v>0</v>
      </c>
      <c r="O34" s="50" t="str">
        <f>IF(H34=0,"No plan at start",M34/H34)</f>
        <v>No plan at start</v>
      </c>
    </row>
    <row r="35" spans="2:15" hidden="1" outlineLevel="2" x14ac:dyDescent="0.2">
      <c r="B35" s="49" t="s">
        <v>51</v>
      </c>
      <c r="C35" s="49" t="s">
        <v>57</v>
      </c>
      <c r="D35" s="49">
        <v>0</v>
      </c>
      <c r="E35" s="49">
        <v>0</v>
      </c>
      <c r="F35" s="49">
        <f>E35-D35</f>
        <v>0</v>
      </c>
      <c r="G35" s="50">
        <f>IF(D35=0,0,ABS(F35/D35))</f>
        <v>0</v>
      </c>
      <c r="H35" s="49">
        <v>0</v>
      </c>
      <c r="I35" s="49">
        <v>0</v>
      </c>
      <c r="J35" s="51" t="str">
        <f>IF(H35=0,"No plan at start",I35/H35)</f>
        <v>No plan at start</v>
      </c>
      <c r="K35" s="52">
        <f>H35-I35</f>
        <v>0</v>
      </c>
      <c r="L35" s="49">
        <v>0</v>
      </c>
      <c r="M35" s="49">
        <f>I35+L35</f>
        <v>0</v>
      </c>
      <c r="N35" s="49">
        <f>M35-H35</f>
        <v>0</v>
      </c>
      <c r="O35" s="50" t="str">
        <f>IF(H35=0,"No plan at start",M35/H35)</f>
        <v>No plan at start</v>
      </c>
    </row>
    <row r="36" spans="2:15" hidden="1" outlineLevel="2" x14ac:dyDescent="0.2">
      <c r="B36" s="49" t="s">
        <v>51</v>
      </c>
      <c r="C36" s="49" t="s">
        <v>58</v>
      </c>
      <c r="D36" s="49">
        <v>0</v>
      </c>
      <c r="E36" s="49">
        <v>0</v>
      </c>
      <c r="F36" s="49">
        <f>E36-D36</f>
        <v>0</v>
      </c>
      <c r="G36" s="50">
        <f>IF(D36=0,0,ABS(F36/D36))</f>
        <v>0</v>
      </c>
      <c r="H36" s="49">
        <v>0</v>
      </c>
      <c r="I36" s="49">
        <v>0</v>
      </c>
      <c r="J36" s="51" t="str">
        <f>IF(H36=0,"No plan at start",I36/H36)</f>
        <v>No plan at start</v>
      </c>
      <c r="K36" s="52">
        <f>H36-I36</f>
        <v>0</v>
      </c>
      <c r="L36" s="49">
        <v>0</v>
      </c>
      <c r="M36" s="49">
        <f>I36+L36</f>
        <v>0</v>
      </c>
      <c r="N36" s="49">
        <f>M36-H36</f>
        <v>0</v>
      </c>
      <c r="O36" s="50" t="str">
        <f>IF(H36=0,"No plan at start",M36/H36)</f>
        <v>No plan at start</v>
      </c>
    </row>
    <row r="37" spans="2:15" hidden="1" outlineLevel="2" x14ac:dyDescent="0.2">
      <c r="B37" s="49" t="s">
        <v>51</v>
      </c>
      <c r="C37" s="49" t="s">
        <v>59</v>
      </c>
      <c r="D37" s="49">
        <v>0</v>
      </c>
      <c r="E37" s="49">
        <v>0</v>
      </c>
      <c r="F37" s="49">
        <f>E37-D37</f>
        <v>0</v>
      </c>
      <c r="G37" s="50">
        <f>IF(D37=0,0,ABS(F37/D37))</f>
        <v>0</v>
      </c>
      <c r="H37" s="49">
        <v>0</v>
      </c>
      <c r="I37" s="49">
        <v>0</v>
      </c>
      <c r="J37" s="51" t="str">
        <f t="shared" ref="J37:J38" si="1">IF(H37=0,"No plan at start",I37/H37)</f>
        <v>No plan at start</v>
      </c>
      <c r="K37" s="52">
        <f>H37-I37</f>
        <v>0</v>
      </c>
      <c r="L37" s="49">
        <v>0</v>
      </c>
      <c r="M37" s="49">
        <f>I37+L37</f>
        <v>0</v>
      </c>
      <c r="N37" s="49">
        <f>M37-H37</f>
        <v>0</v>
      </c>
      <c r="O37" s="50" t="str">
        <f>IF(H37=0,"No plan at start",M37/H37)</f>
        <v>No plan at start</v>
      </c>
    </row>
    <row r="38" spans="2:15" outlineLevel="1" collapsed="1" x14ac:dyDescent="0.2">
      <c r="B38" s="56" t="s">
        <v>60</v>
      </c>
      <c r="C38" s="49"/>
      <c r="D38" s="49">
        <f>SUBTOTAL(9,D30:D37)</f>
        <v>0</v>
      </c>
      <c r="E38" s="49">
        <f>SUBTOTAL(9,E30:E37)</f>
        <v>3993.5999999999995</v>
      </c>
      <c r="F38" s="49">
        <f>SUBTOTAL(9,F30:F37)</f>
        <v>3993.5999999999995</v>
      </c>
      <c r="G38" s="50">
        <f>IF(D38=0,0,ABS(F38/D38))</f>
        <v>0</v>
      </c>
      <c r="H38" s="49">
        <f>SUBTOTAL(9,H30:H37)</f>
        <v>417504.25599999994</v>
      </c>
      <c r="I38" s="49">
        <f>SUBTOTAL(9,I30:I37)</f>
        <v>228053.02000000194</v>
      </c>
      <c r="J38" s="51">
        <f t="shared" si="1"/>
        <v>0.54622921017600834</v>
      </c>
      <c r="K38" s="52">
        <f>SUBTOTAL(9,K30:K37)</f>
        <v>189451.235999998</v>
      </c>
      <c r="L38" s="49">
        <f>SUBTOTAL(9,L30:L37)</f>
        <v>193939.20000000001</v>
      </c>
      <c r="M38" s="49">
        <f>SUBTOTAL(9,M30:M37)</f>
        <v>421992.22000000195</v>
      </c>
      <c r="N38" s="49">
        <f>SUBTOTAL(9,N30:N37)</f>
        <v>4487.9640000020227</v>
      </c>
      <c r="O38" s="50">
        <f>IF(H38=0,"No plan at start",M38/H38)</f>
        <v>1.0107495047906818</v>
      </c>
    </row>
    <row r="39" spans="2:15" x14ac:dyDescent="0.2"/>
    <row r="40" spans="2:15" x14ac:dyDescent="0.2"/>
    <row r="41" spans="2:15" x14ac:dyDescent="0.2"/>
    <row r="42" spans="2:15" x14ac:dyDescent="0.2"/>
    <row r="43" spans="2:15" x14ac:dyDescent="0.2"/>
    <row r="44" spans="2:15" x14ac:dyDescent="0.2"/>
    <row r="45" spans="2:15" x14ac:dyDescent="0.2"/>
    <row r="46" spans="2:15" x14ac:dyDescent="0.2"/>
    <row r="47" spans="2:15" x14ac:dyDescent="0.2"/>
    <row r="48" spans="2:15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ht="15" customHeight="1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120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119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117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109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63" priority="101" operator="lessThan">
      <formula>0</formula>
    </cfRule>
    <cfRule type="cellIs" dxfId="62" priority="102" operator="greaterThan">
      <formula>0</formula>
    </cfRule>
  </conditionalFormatting>
  <conditionalFormatting sqref="F16">
    <cfRule type="cellIs" dxfId="61" priority="99" operator="lessThan">
      <formula>0</formula>
    </cfRule>
    <cfRule type="cellIs" dxfId="60" priority="100" operator="greaterThan">
      <formula>0</formula>
    </cfRule>
  </conditionalFormatting>
  <conditionalFormatting sqref="U16">
    <cfRule type="iconSet" priority="122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123">
      <iconSet iconSet="3Symbols" showValue="0" reverse="1">
        <cfvo type="percent" val="0"/>
        <cfvo type="num" val="1"/>
        <cfvo type="num" val="1.05"/>
      </iconSet>
    </cfRule>
  </conditionalFormatting>
  <conditionalFormatting sqref="N23:N24">
    <cfRule type="cellIs" dxfId="59" priority="77" operator="lessThan">
      <formula>0</formula>
    </cfRule>
    <cfRule type="cellIs" dxfId="58" priority="78" operator="greaterThan">
      <formula>0</formula>
    </cfRule>
  </conditionalFormatting>
  <conditionalFormatting sqref="F23:F24">
    <cfRule type="cellIs" dxfId="57" priority="75" operator="lessThan">
      <formula>0</formula>
    </cfRule>
    <cfRule type="cellIs" dxfId="56" priority="76" operator="greaterThan">
      <formula>0</formula>
    </cfRule>
  </conditionalFormatting>
  <conditionalFormatting sqref="N30">
    <cfRule type="cellIs" dxfId="55" priority="73" operator="lessThan">
      <formula>0</formula>
    </cfRule>
    <cfRule type="cellIs" dxfId="54" priority="74" operator="greaterThan">
      <formula>0</formula>
    </cfRule>
  </conditionalFormatting>
  <conditionalFormatting sqref="F30">
    <cfRule type="cellIs" dxfId="53" priority="71" operator="lessThan">
      <formula>0</formula>
    </cfRule>
    <cfRule type="cellIs" dxfId="52" priority="72" operator="greaterThan">
      <formula>0</formula>
    </cfRule>
  </conditionalFormatting>
  <conditionalFormatting sqref="N37:N38">
    <cfRule type="cellIs" dxfId="51" priority="69" operator="lessThan">
      <formula>0</formula>
    </cfRule>
    <cfRule type="cellIs" dxfId="50" priority="70" operator="greaterThan">
      <formula>0</formula>
    </cfRule>
  </conditionalFormatting>
  <conditionalFormatting sqref="F37:F38">
    <cfRule type="cellIs" dxfId="49" priority="67" operator="lessThan">
      <formula>0</formula>
    </cfRule>
    <cfRule type="cellIs" dxfId="48" priority="68" operator="greaterThan">
      <formula>0</formula>
    </cfRule>
  </conditionalFormatting>
  <conditionalFormatting sqref="Q22">
    <cfRule type="iconSet" priority="64">
      <iconSet iconSet="3Symbols" showValue="0" reverse="1">
        <cfvo type="percent" val="0"/>
        <cfvo type="num" val="1"/>
        <cfvo type="num" val="1.05"/>
      </iconSet>
    </cfRule>
  </conditionalFormatting>
  <conditionalFormatting sqref="N22">
    <cfRule type="cellIs" dxfId="47" priority="62" operator="lessThan">
      <formula>0</formula>
    </cfRule>
    <cfRule type="cellIs" dxfId="46" priority="63" operator="greaterThan">
      <formula>0</formula>
    </cfRule>
  </conditionalFormatting>
  <conditionalFormatting sqref="F22">
    <cfRule type="cellIs" dxfId="45" priority="60" operator="lessThan">
      <formula>0</formula>
    </cfRule>
    <cfRule type="cellIs" dxfId="44" priority="61" operator="greaterThan">
      <formula>0</formula>
    </cfRule>
  </conditionalFormatting>
  <conditionalFormatting sqref="U22">
    <cfRule type="iconSet" priority="65">
      <iconSet iconSet="3Symbols" showValue="0" reverse="1">
        <cfvo type="percent" val="0"/>
        <cfvo type="num" val="1"/>
        <cfvo type="num" val="1.05"/>
      </iconSet>
    </cfRule>
  </conditionalFormatting>
  <conditionalFormatting sqref="P22">
    <cfRule type="iconSet" priority="66">
      <iconSet iconSet="3Symbols" showValue="0" reverse="1">
        <cfvo type="percent" val="0"/>
        <cfvo type="num" val="1"/>
        <cfvo type="num" val="1.05"/>
      </iconSet>
    </cfRule>
  </conditionalFormatting>
  <conditionalFormatting sqref="Q21">
    <cfRule type="iconSet" priority="57">
      <iconSet iconSet="3Symbols" showValue="0" reverse="1">
        <cfvo type="percent" val="0"/>
        <cfvo type="num" val="1"/>
        <cfvo type="num" val="1.05"/>
      </iconSet>
    </cfRule>
  </conditionalFormatting>
  <conditionalFormatting sqref="N21">
    <cfRule type="cellIs" dxfId="43" priority="55" operator="lessThan">
      <formula>0</formula>
    </cfRule>
    <cfRule type="cellIs" dxfId="42" priority="56" operator="greaterThan">
      <formula>0</formula>
    </cfRule>
  </conditionalFormatting>
  <conditionalFormatting sqref="F21">
    <cfRule type="cellIs" dxfId="41" priority="53" operator="lessThan">
      <formula>0</formula>
    </cfRule>
    <cfRule type="cellIs" dxfId="40" priority="54" operator="greaterThan">
      <formula>0</formula>
    </cfRule>
  </conditionalFormatting>
  <conditionalFormatting sqref="U21">
    <cfRule type="iconSet" priority="58">
      <iconSet iconSet="3Symbols" showValue="0" reverse="1">
        <cfvo type="percent" val="0"/>
        <cfvo type="num" val="1"/>
        <cfvo type="num" val="1.05"/>
      </iconSet>
    </cfRule>
  </conditionalFormatting>
  <conditionalFormatting sqref="P21">
    <cfRule type="iconSet" priority="59">
      <iconSet iconSet="3Symbols" showValue="0" reverse="1">
        <cfvo type="percent" val="0"/>
        <cfvo type="num" val="1"/>
        <cfvo type="num" val="1.05"/>
      </iconSet>
    </cfRule>
  </conditionalFormatting>
  <conditionalFormatting sqref="Q20">
    <cfRule type="iconSet" priority="50">
      <iconSet iconSet="3Symbols" showValue="0" reverse="1">
        <cfvo type="percent" val="0"/>
        <cfvo type="num" val="1"/>
        <cfvo type="num" val="1.05"/>
      </iconSet>
    </cfRule>
  </conditionalFormatting>
  <conditionalFormatting sqref="N20">
    <cfRule type="cellIs" dxfId="39" priority="48" operator="lessThan">
      <formula>0</formula>
    </cfRule>
    <cfRule type="cellIs" dxfId="38" priority="49" operator="greaterThan">
      <formula>0</formula>
    </cfRule>
  </conditionalFormatting>
  <conditionalFormatting sqref="F20">
    <cfRule type="cellIs" dxfId="37" priority="46" operator="lessThan">
      <formula>0</formula>
    </cfRule>
    <cfRule type="cellIs" dxfId="36" priority="47" operator="greaterThan">
      <formula>0</formula>
    </cfRule>
  </conditionalFormatting>
  <conditionalFormatting sqref="U20">
    <cfRule type="iconSet" priority="51">
      <iconSet iconSet="3Symbols" showValue="0" reverse="1">
        <cfvo type="percent" val="0"/>
        <cfvo type="num" val="1"/>
        <cfvo type="num" val="1.05"/>
      </iconSet>
    </cfRule>
  </conditionalFormatting>
  <conditionalFormatting sqref="P20">
    <cfRule type="iconSet" priority="52">
      <iconSet iconSet="3Symbols" showValue="0" reverse="1">
        <cfvo type="percent" val="0"/>
        <cfvo type="num" val="1"/>
        <cfvo type="num" val="1.05"/>
      </iconSet>
    </cfRule>
  </conditionalFormatting>
  <conditionalFormatting sqref="Q19">
    <cfRule type="iconSet" priority="43">
      <iconSet iconSet="3Symbols" showValue="0" reverse="1">
        <cfvo type="percent" val="0"/>
        <cfvo type="num" val="1"/>
        <cfvo type="num" val="1.05"/>
      </iconSet>
    </cfRule>
  </conditionalFormatting>
  <conditionalFormatting sqref="N19">
    <cfRule type="cellIs" dxfId="35" priority="41" operator="lessThan">
      <formula>0</formula>
    </cfRule>
    <cfRule type="cellIs" dxfId="34" priority="42" operator="greaterThan">
      <formula>0</formula>
    </cfRule>
  </conditionalFormatting>
  <conditionalFormatting sqref="F19">
    <cfRule type="cellIs" dxfId="33" priority="39" operator="lessThan">
      <formula>0</formula>
    </cfRule>
    <cfRule type="cellIs" dxfId="32" priority="40" operator="greaterThan">
      <formula>0</formula>
    </cfRule>
  </conditionalFormatting>
  <conditionalFormatting sqref="U19">
    <cfRule type="iconSet" priority="44">
      <iconSet iconSet="3Symbols" showValue="0" reverse="1">
        <cfvo type="percent" val="0"/>
        <cfvo type="num" val="1"/>
        <cfvo type="num" val="1.05"/>
      </iconSet>
    </cfRule>
  </conditionalFormatting>
  <conditionalFormatting sqref="P19">
    <cfRule type="iconSet" priority="45">
      <iconSet iconSet="3Symbols" showValue="0" reverse="1">
        <cfvo type="percent" val="0"/>
        <cfvo type="num" val="1"/>
        <cfvo type="num" val="1.05"/>
      </iconSet>
    </cfRule>
  </conditionalFormatting>
  <conditionalFormatting sqref="Q18">
    <cfRule type="iconSet" priority="36">
      <iconSet iconSet="3Symbols" showValue="0" reverse="1">
        <cfvo type="percent" val="0"/>
        <cfvo type="num" val="1"/>
        <cfvo type="num" val="1.05"/>
      </iconSet>
    </cfRule>
  </conditionalFormatting>
  <conditionalFormatting sqref="N18">
    <cfRule type="cellIs" dxfId="31" priority="34" operator="lessThan">
      <formula>0</formula>
    </cfRule>
    <cfRule type="cellIs" dxfId="30" priority="35" operator="greaterThan">
      <formula>0</formula>
    </cfRule>
  </conditionalFormatting>
  <conditionalFormatting sqref="F18">
    <cfRule type="cellIs" dxfId="29" priority="32" operator="lessThan">
      <formula>0</formula>
    </cfRule>
    <cfRule type="cellIs" dxfId="28" priority="33" operator="greaterThan">
      <formula>0</formula>
    </cfRule>
  </conditionalFormatting>
  <conditionalFormatting sqref="U18">
    <cfRule type="iconSet" priority="37">
      <iconSet iconSet="3Symbols" showValue="0" reverse="1">
        <cfvo type="percent" val="0"/>
        <cfvo type="num" val="1"/>
        <cfvo type="num" val="1.05"/>
      </iconSet>
    </cfRule>
  </conditionalFormatting>
  <conditionalFormatting sqref="P18">
    <cfRule type="iconSet" priority="38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29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F17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U17">
    <cfRule type="iconSet" priority="30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31">
      <iconSet iconSet="3Symbols" showValue="0" reverse="1">
        <cfvo type="percent" val="0"/>
        <cfvo type="num" val="1"/>
        <cfvo type="num" val="1.05"/>
      </iconSet>
    </cfRule>
  </conditionalFormatting>
  <conditionalFormatting sqref="Q23:Q24">
    <cfRule type="iconSet" priority="124">
      <iconSet iconSet="3Symbols" showValue="0" reverse="1">
        <cfvo type="percent" val="0"/>
        <cfvo type="num" val="1"/>
        <cfvo type="num" val="1.05"/>
      </iconSet>
    </cfRule>
  </conditionalFormatting>
  <conditionalFormatting sqref="U23:U24">
    <cfRule type="iconSet" priority="125">
      <iconSet iconSet="3Symbols" showValue="0" reverse="1">
        <cfvo type="percent" val="0"/>
        <cfvo type="num" val="1"/>
        <cfvo type="num" val="1.05"/>
      </iconSet>
    </cfRule>
  </conditionalFormatting>
  <conditionalFormatting sqref="P23:P24">
    <cfRule type="iconSet" priority="126">
      <iconSet iconSet="3Symbols" showValue="0" reverse="1">
        <cfvo type="percent" val="0"/>
        <cfvo type="num" val="1"/>
        <cfvo type="num" val="1.05"/>
      </iconSet>
    </cfRule>
  </conditionalFormatting>
  <conditionalFormatting sqref="N36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36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N35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F35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N34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F34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N33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3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N32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32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31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31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2017-05-16T13:53:34Z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K:\XX02\Monitoring PMT\Raporty kierownicy pionow</vt:lpwstr>
  </property>
</Properties>
</file>