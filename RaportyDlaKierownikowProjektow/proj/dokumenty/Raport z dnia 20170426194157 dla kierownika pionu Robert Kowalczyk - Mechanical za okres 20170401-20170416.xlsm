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workbookTemplate" defaultThemeVersion="124226"/>
  <mc:AlternateContent xmlns:mc="http://schemas.openxmlformats.org/markup-compatibility/2006">
    <mc:Choice Requires="x15">
      <x15ac:absPath xmlns:x15ac="http://schemas.microsoft.com/office/spreadsheetml/2010/11/ac" url="C:\Users\Tomasz\Desktop\ilf\proj\dokumenty\"/>
    </mc:Choice>
  </mc:AlternateContent>
  <bookViews>
    <workbookView xWindow="21105" yWindow="-15" windowWidth="28830" windowHeight="7605"/>
  </bookViews>
  <sheets>
    <sheet name="Report" sheetId="1" r:id="rId1"/>
  </sheets>
  <calcPr calcId="162913"/>
</workbook>
</file>

<file path=xl/calcChain.xml><?xml version="1.0" encoding="utf-8"?>
<calcChain xmlns="http://schemas.openxmlformats.org/spreadsheetml/2006/main">
  <c r="G366" i="1" l="1"/>
  <c r="G314" i="1"/>
  <c r="L1034" i="1"/>
  <c r="I1034" i="1"/>
  <c r="H1034" i="1"/>
  <c r="E1034" i="1"/>
  <c r="D1034" i="1"/>
  <c r="L1021" i="1"/>
  <c r="I1021" i="1"/>
  <c r="H1021" i="1"/>
  <c r="E1021" i="1"/>
  <c r="D1021" i="1"/>
  <c r="L1008" i="1"/>
  <c r="I1008" i="1"/>
  <c r="H1008" i="1"/>
  <c r="O1008" i="1" s="1"/>
  <c r="E1008" i="1"/>
  <c r="D1008" i="1"/>
  <c r="G1008" i="1" s="1"/>
  <c r="L995" i="1"/>
  <c r="I995" i="1"/>
  <c r="H995" i="1"/>
  <c r="O995" i="1" s="1"/>
  <c r="E995" i="1"/>
  <c r="D995" i="1"/>
  <c r="G995" i="1" s="1"/>
  <c r="L982" i="1"/>
  <c r="I982" i="1"/>
  <c r="H982" i="1"/>
  <c r="E982" i="1"/>
  <c r="D982" i="1"/>
  <c r="L969" i="1"/>
  <c r="I969" i="1"/>
  <c r="H969" i="1"/>
  <c r="O969" i="1" s="1"/>
  <c r="E969" i="1"/>
  <c r="D969" i="1"/>
  <c r="G969" i="1" s="1"/>
  <c r="L956" i="1"/>
  <c r="I956" i="1"/>
  <c r="H956" i="1"/>
  <c r="O956" i="1" s="1"/>
  <c r="E956" i="1"/>
  <c r="D956" i="1"/>
  <c r="G956" i="1" s="1"/>
  <c r="L943" i="1"/>
  <c r="I943" i="1"/>
  <c r="H943" i="1"/>
  <c r="O943" i="1" s="1"/>
  <c r="E943" i="1"/>
  <c r="D943" i="1"/>
  <c r="G943" i="1" s="1"/>
  <c r="L930" i="1"/>
  <c r="I930" i="1"/>
  <c r="H930" i="1"/>
  <c r="O930" i="1" s="1"/>
  <c r="E930" i="1"/>
  <c r="D930" i="1"/>
  <c r="G930" i="1" s="1"/>
  <c r="L917" i="1"/>
  <c r="I917" i="1"/>
  <c r="H917" i="1"/>
  <c r="O917" i="1" s="1"/>
  <c r="E917" i="1"/>
  <c r="D917" i="1"/>
  <c r="G917" i="1" s="1"/>
  <c r="L904" i="1"/>
  <c r="I904" i="1"/>
  <c r="H904" i="1"/>
  <c r="E904" i="1"/>
  <c r="D904" i="1"/>
  <c r="L891" i="1"/>
  <c r="I891" i="1"/>
  <c r="H891" i="1"/>
  <c r="O891" i="1" s="1"/>
  <c r="E891" i="1"/>
  <c r="D891" i="1"/>
  <c r="G891" i="1" s="1"/>
  <c r="L878" i="1"/>
  <c r="I878" i="1"/>
  <c r="H878" i="1"/>
  <c r="O878" i="1" s="1"/>
  <c r="E878" i="1"/>
  <c r="D878" i="1"/>
  <c r="G878" i="1" s="1"/>
  <c r="L865" i="1"/>
  <c r="I865" i="1"/>
  <c r="H865" i="1"/>
  <c r="O865" i="1" s="1"/>
  <c r="E865" i="1"/>
  <c r="D865" i="1"/>
  <c r="G865" i="1" s="1"/>
  <c r="L852" i="1"/>
  <c r="I852" i="1"/>
  <c r="H852" i="1"/>
  <c r="O852" i="1" s="1"/>
  <c r="E852" i="1"/>
  <c r="D852" i="1"/>
  <c r="G852" i="1" s="1"/>
  <c r="L839" i="1"/>
  <c r="I839" i="1"/>
  <c r="H839" i="1"/>
  <c r="O839" i="1" s="1"/>
  <c r="E839" i="1"/>
  <c r="D839" i="1"/>
  <c r="G839" i="1" s="1"/>
  <c r="L826" i="1"/>
  <c r="I826" i="1"/>
  <c r="H826" i="1"/>
  <c r="E826" i="1"/>
  <c r="D826" i="1"/>
  <c r="G826" i="1" s="1"/>
  <c r="L813" i="1"/>
  <c r="I813" i="1"/>
  <c r="H813" i="1"/>
  <c r="E813" i="1"/>
  <c r="D813" i="1"/>
  <c r="G813" i="1" s="1"/>
  <c r="L800" i="1"/>
  <c r="I800" i="1"/>
  <c r="H800" i="1"/>
  <c r="E800" i="1"/>
  <c r="D800" i="1"/>
  <c r="G800" i="1" s="1"/>
  <c r="L787" i="1"/>
  <c r="I787" i="1"/>
  <c r="H787" i="1"/>
  <c r="O787" i="1" s="1"/>
  <c r="E787" i="1"/>
  <c r="D787" i="1"/>
  <c r="G787" i="1" s="1"/>
  <c r="L774" i="1"/>
  <c r="I774" i="1"/>
  <c r="H774" i="1"/>
  <c r="E774" i="1"/>
  <c r="D774" i="1"/>
  <c r="G774" i="1" s="1"/>
  <c r="L761" i="1"/>
  <c r="I761" i="1"/>
  <c r="H761" i="1"/>
  <c r="E761" i="1"/>
  <c r="D761" i="1"/>
  <c r="G761" i="1" s="1"/>
  <c r="L748" i="1"/>
  <c r="I748" i="1"/>
  <c r="H748" i="1"/>
  <c r="O748" i="1" s="1"/>
  <c r="E748" i="1"/>
  <c r="D748" i="1"/>
  <c r="G748" i="1" s="1"/>
  <c r="L735" i="1"/>
  <c r="I735" i="1"/>
  <c r="H735" i="1"/>
  <c r="O735" i="1" s="1"/>
  <c r="E735" i="1"/>
  <c r="D735" i="1"/>
  <c r="G735" i="1" s="1"/>
  <c r="L722" i="1"/>
  <c r="I722" i="1"/>
  <c r="H722" i="1"/>
  <c r="O722" i="1" s="1"/>
  <c r="E722" i="1"/>
  <c r="D722" i="1"/>
  <c r="G722" i="1" s="1"/>
  <c r="L709" i="1"/>
  <c r="I709" i="1"/>
  <c r="H709" i="1"/>
  <c r="E709" i="1"/>
  <c r="D709" i="1"/>
  <c r="G709" i="1" s="1"/>
  <c r="L696" i="1"/>
  <c r="I696" i="1"/>
  <c r="H696" i="1"/>
  <c r="O696" i="1" s="1"/>
  <c r="E696" i="1"/>
  <c r="D696" i="1"/>
  <c r="G696" i="1" s="1"/>
  <c r="L683" i="1"/>
  <c r="I683" i="1"/>
  <c r="H683" i="1"/>
  <c r="E683" i="1"/>
  <c r="D683" i="1"/>
  <c r="G683" i="1" s="1"/>
  <c r="L670" i="1"/>
  <c r="I670" i="1"/>
  <c r="H670" i="1"/>
  <c r="O670" i="1" s="1"/>
  <c r="E670" i="1"/>
  <c r="D670" i="1"/>
  <c r="G670" i="1" s="1"/>
  <c r="L657" i="1"/>
  <c r="I657" i="1"/>
  <c r="H657" i="1"/>
  <c r="E657" i="1"/>
  <c r="D657" i="1"/>
  <c r="G657" i="1" s="1"/>
  <c r="L644" i="1"/>
  <c r="I644" i="1"/>
  <c r="H644" i="1"/>
  <c r="E644" i="1"/>
  <c r="D644" i="1"/>
  <c r="G644" i="1" s="1"/>
  <c r="L631" i="1"/>
  <c r="I631" i="1"/>
  <c r="H631" i="1"/>
  <c r="O631" i="1" s="1"/>
  <c r="E631" i="1"/>
  <c r="D631" i="1"/>
  <c r="G631" i="1" s="1"/>
  <c r="L618" i="1"/>
  <c r="I618" i="1"/>
  <c r="H618" i="1"/>
  <c r="E618" i="1"/>
  <c r="D618" i="1"/>
  <c r="L605" i="1"/>
  <c r="I605" i="1"/>
  <c r="H605" i="1"/>
  <c r="O605" i="1" s="1"/>
  <c r="E605" i="1"/>
  <c r="D605" i="1"/>
  <c r="G605" i="1" s="1"/>
  <c r="L592" i="1"/>
  <c r="I592" i="1"/>
  <c r="H592" i="1"/>
  <c r="E592" i="1"/>
  <c r="D592" i="1"/>
  <c r="L579" i="1"/>
  <c r="I579" i="1"/>
  <c r="H579" i="1"/>
  <c r="O579" i="1" s="1"/>
  <c r="E579" i="1"/>
  <c r="D579" i="1"/>
  <c r="G579" i="1" s="1"/>
  <c r="L566" i="1"/>
  <c r="I566" i="1"/>
  <c r="H566" i="1"/>
  <c r="O566" i="1" s="1"/>
  <c r="E566" i="1"/>
  <c r="D566" i="1"/>
  <c r="G566" i="1" s="1"/>
  <c r="L553" i="1"/>
  <c r="I553" i="1"/>
  <c r="H553" i="1"/>
  <c r="O553" i="1" s="1"/>
  <c r="E553" i="1"/>
  <c r="D553" i="1"/>
  <c r="G553" i="1" s="1"/>
  <c r="L540" i="1"/>
  <c r="I540" i="1"/>
  <c r="H540" i="1"/>
  <c r="E540" i="1"/>
  <c r="D540" i="1"/>
  <c r="G540" i="1" s="1"/>
  <c r="M529" i="1"/>
  <c r="O529" i="1" s="1"/>
  <c r="K529" i="1"/>
  <c r="J529" i="1"/>
  <c r="G529" i="1"/>
  <c r="F529" i="1"/>
  <c r="M530" i="1"/>
  <c r="O530" i="1" s="1"/>
  <c r="K530" i="1"/>
  <c r="J530" i="1"/>
  <c r="G530" i="1"/>
  <c r="F530" i="1"/>
  <c r="O531" i="1"/>
  <c r="N531" i="1"/>
  <c r="M531" i="1"/>
  <c r="K531" i="1"/>
  <c r="J531" i="1"/>
  <c r="G531" i="1"/>
  <c r="F531" i="1"/>
  <c r="O532" i="1"/>
  <c r="M532" i="1"/>
  <c r="N532" i="1" s="1"/>
  <c r="K532" i="1"/>
  <c r="J532" i="1"/>
  <c r="G532" i="1"/>
  <c r="F532" i="1"/>
  <c r="M533" i="1"/>
  <c r="O533" i="1" s="1"/>
  <c r="K533" i="1"/>
  <c r="J533" i="1"/>
  <c r="F533" i="1"/>
  <c r="G533" i="1" s="1"/>
  <c r="O534" i="1"/>
  <c r="M534" i="1"/>
  <c r="N534" i="1" s="1"/>
  <c r="K534" i="1"/>
  <c r="J534" i="1"/>
  <c r="G534" i="1"/>
  <c r="F534" i="1"/>
  <c r="M535" i="1"/>
  <c r="O535" i="1" s="1"/>
  <c r="K535" i="1"/>
  <c r="J535" i="1"/>
  <c r="G535" i="1"/>
  <c r="F535" i="1"/>
  <c r="M536" i="1"/>
  <c r="O536" i="1" s="1"/>
  <c r="K536" i="1"/>
  <c r="J536" i="1"/>
  <c r="F536" i="1"/>
  <c r="G536" i="1" s="1"/>
  <c r="O537" i="1"/>
  <c r="M537" i="1"/>
  <c r="N537" i="1" s="1"/>
  <c r="K537" i="1"/>
  <c r="J537" i="1"/>
  <c r="G537" i="1"/>
  <c r="F537" i="1"/>
  <c r="O538" i="1"/>
  <c r="M538" i="1"/>
  <c r="N538" i="1" s="1"/>
  <c r="K538" i="1"/>
  <c r="J538" i="1"/>
  <c r="G538" i="1"/>
  <c r="F538" i="1"/>
  <c r="M539" i="1"/>
  <c r="O539" i="1" s="1"/>
  <c r="K539" i="1"/>
  <c r="J539" i="1"/>
  <c r="G539" i="1"/>
  <c r="F539" i="1"/>
  <c r="O541" i="1"/>
  <c r="M541" i="1"/>
  <c r="N541" i="1" s="1"/>
  <c r="K541" i="1"/>
  <c r="J541" i="1"/>
  <c r="G541" i="1"/>
  <c r="F541" i="1"/>
  <c r="F553" i="1" s="1"/>
  <c r="O542" i="1"/>
  <c r="M542" i="1"/>
  <c r="N542" i="1" s="1"/>
  <c r="K542" i="1"/>
  <c r="J542" i="1"/>
  <c r="G542" i="1"/>
  <c r="F542" i="1"/>
  <c r="M543" i="1"/>
  <c r="O543" i="1" s="1"/>
  <c r="K543" i="1"/>
  <c r="J543" i="1"/>
  <c r="G543" i="1"/>
  <c r="F543" i="1"/>
  <c r="O544" i="1"/>
  <c r="M544" i="1"/>
  <c r="N544" i="1" s="1"/>
  <c r="K544" i="1"/>
  <c r="J544" i="1"/>
  <c r="G544" i="1"/>
  <c r="F544" i="1"/>
  <c r="M545" i="1"/>
  <c r="O545" i="1" s="1"/>
  <c r="K545" i="1"/>
  <c r="J545" i="1"/>
  <c r="G545" i="1"/>
  <c r="F545" i="1"/>
  <c r="O546" i="1"/>
  <c r="M546" i="1"/>
  <c r="N546" i="1" s="1"/>
  <c r="K546" i="1"/>
  <c r="J546" i="1"/>
  <c r="G546" i="1"/>
  <c r="F546" i="1"/>
  <c r="M547" i="1"/>
  <c r="O547" i="1" s="1"/>
  <c r="K547" i="1"/>
  <c r="J547" i="1"/>
  <c r="G547" i="1"/>
  <c r="F547" i="1"/>
  <c r="O548" i="1"/>
  <c r="M548" i="1"/>
  <c r="N548" i="1" s="1"/>
  <c r="K548" i="1"/>
  <c r="J548" i="1"/>
  <c r="G548" i="1"/>
  <c r="F548" i="1"/>
  <c r="O549" i="1"/>
  <c r="M549" i="1"/>
  <c r="N549" i="1" s="1"/>
  <c r="K549" i="1"/>
  <c r="J549" i="1"/>
  <c r="G549" i="1"/>
  <c r="F549" i="1"/>
  <c r="M550" i="1"/>
  <c r="O550" i="1" s="1"/>
  <c r="K550" i="1"/>
  <c r="J550" i="1"/>
  <c r="F550" i="1"/>
  <c r="G550" i="1" s="1"/>
  <c r="O551" i="1"/>
  <c r="M551" i="1"/>
  <c r="N551" i="1" s="1"/>
  <c r="K551" i="1"/>
  <c r="J551" i="1"/>
  <c r="G551" i="1"/>
  <c r="F551" i="1"/>
  <c r="O552" i="1"/>
  <c r="M552" i="1"/>
  <c r="N552" i="1" s="1"/>
  <c r="K552" i="1"/>
  <c r="J552" i="1"/>
  <c r="G552" i="1"/>
  <c r="F552" i="1"/>
  <c r="M554" i="1"/>
  <c r="O554" i="1" s="1"/>
  <c r="K554" i="1"/>
  <c r="J554" i="1"/>
  <c r="G554" i="1"/>
  <c r="F554" i="1"/>
  <c r="O555" i="1"/>
  <c r="M555" i="1"/>
  <c r="N555" i="1" s="1"/>
  <c r="K555" i="1"/>
  <c r="J555" i="1"/>
  <c r="G555" i="1"/>
  <c r="F555" i="1"/>
  <c r="O556" i="1"/>
  <c r="M556" i="1"/>
  <c r="N556" i="1" s="1"/>
  <c r="K556" i="1"/>
  <c r="J556" i="1"/>
  <c r="G556" i="1"/>
  <c r="F556" i="1"/>
  <c r="M557" i="1"/>
  <c r="O557" i="1" s="1"/>
  <c r="K557" i="1"/>
  <c r="J557" i="1"/>
  <c r="F557" i="1"/>
  <c r="G557" i="1" s="1"/>
  <c r="O558" i="1"/>
  <c r="M558" i="1"/>
  <c r="N558" i="1" s="1"/>
  <c r="K558" i="1"/>
  <c r="J558" i="1"/>
  <c r="G558" i="1"/>
  <c r="F558" i="1"/>
  <c r="O559" i="1"/>
  <c r="M559" i="1"/>
  <c r="N559" i="1" s="1"/>
  <c r="K559" i="1"/>
  <c r="J559" i="1"/>
  <c r="G559" i="1"/>
  <c r="F559" i="1"/>
  <c r="M560" i="1"/>
  <c r="O560" i="1" s="1"/>
  <c r="K560" i="1"/>
  <c r="J560" i="1"/>
  <c r="F560" i="1"/>
  <c r="G560" i="1" s="1"/>
  <c r="O561" i="1"/>
  <c r="M561" i="1"/>
  <c r="N561" i="1" s="1"/>
  <c r="K561" i="1"/>
  <c r="J561" i="1"/>
  <c r="G561" i="1"/>
  <c r="F561" i="1"/>
  <c r="M562" i="1"/>
  <c r="O562" i="1" s="1"/>
  <c r="K562" i="1"/>
  <c r="J562" i="1"/>
  <c r="F562" i="1"/>
  <c r="G562" i="1" s="1"/>
  <c r="O563" i="1"/>
  <c r="M563" i="1"/>
  <c r="N563" i="1" s="1"/>
  <c r="K563" i="1"/>
  <c r="J563" i="1"/>
  <c r="G563" i="1"/>
  <c r="F563" i="1"/>
  <c r="M564" i="1"/>
  <c r="O564" i="1" s="1"/>
  <c r="K564" i="1"/>
  <c r="J564" i="1"/>
  <c r="F564" i="1"/>
  <c r="G564" i="1" s="1"/>
  <c r="O565" i="1"/>
  <c r="M565" i="1"/>
  <c r="N565" i="1" s="1"/>
  <c r="K565" i="1"/>
  <c r="J565" i="1"/>
  <c r="G565" i="1"/>
  <c r="F565" i="1"/>
  <c r="O567" i="1"/>
  <c r="M567" i="1"/>
  <c r="N567" i="1" s="1"/>
  <c r="K567" i="1"/>
  <c r="J567" i="1"/>
  <c r="G567" i="1"/>
  <c r="F567" i="1"/>
  <c r="M568" i="1"/>
  <c r="O568" i="1" s="1"/>
  <c r="K568" i="1"/>
  <c r="J568" i="1"/>
  <c r="F568" i="1"/>
  <c r="G568" i="1" s="1"/>
  <c r="O569" i="1"/>
  <c r="M569" i="1"/>
  <c r="N569" i="1" s="1"/>
  <c r="K569" i="1"/>
  <c r="J569" i="1"/>
  <c r="G569" i="1"/>
  <c r="F569" i="1"/>
  <c r="O570" i="1"/>
  <c r="M570" i="1"/>
  <c r="N570" i="1" s="1"/>
  <c r="K570" i="1"/>
  <c r="J570" i="1"/>
  <c r="G570" i="1"/>
  <c r="F570" i="1"/>
  <c r="M571" i="1"/>
  <c r="O571" i="1" s="1"/>
  <c r="K571" i="1"/>
  <c r="J571" i="1"/>
  <c r="F571" i="1"/>
  <c r="G571" i="1" s="1"/>
  <c r="O572" i="1"/>
  <c r="M572" i="1"/>
  <c r="N572" i="1" s="1"/>
  <c r="K572" i="1"/>
  <c r="J572" i="1"/>
  <c r="G572" i="1"/>
  <c r="F572" i="1"/>
  <c r="M573" i="1"/>
  <c r="O573" i="1" s="1"/>
  <c r="K573" i="1"/>
  <c r="J573" i="1"/>
  <c r="F573" i="1"/>
  <c r="G573" i="1" s="1"/>
  <c r="O574" i="1"/>
  <c r="M574" i="1"/>
  <c r="N574" i="1" s="1"/>
  <c r="K574" i="1"/>
  <c r="J574" i="1"/>
  <c r="G574" i="1"/>
  <c r="F574" i="1"/>
  <c r="M575" i="1"/>
  <c r="O575" i="1" s="1"/>
  <c r="K575" i="1"/>
  <c r="J575" i="1"/>
  <c r="F575" i="1"/>
  <c r="G575" i="1" s="1"/>
  <c r="O576" i="1"/>
  <c r="M576" i="1"/>
  <c r="N576" i="1" s="1"/>
  <c r="K576" i="1"/>
  <c r="J576" i="1"/>
  <c r="G576" i="1"/>
  <c r="F576" i="1"/>
  <c r="M577" i="1"/>
  <c r="O577" i="1" s="1"/>
  <c r="K577" i="1"/>
  <c r="J577" i="1"/>
  <c r="G577" i="1"/>
  <c r="F577" i="1"/>
  <c r="O578" i="1"/>
  <c r="M578" i="1"/>
  <c r="N578" i="1" s="1"/>
  <c r="K578" i="1"/>
  <c r="J578" i="1"/>
  <c r="G578" i="1"/>
  <c r="F578" i="1"/>
  <c r="M580" i="1"/>
  <c r="O580" i="1" s="1"/>
  <c r="K580" i="1"/>
  <c r="J580" i="1"/>
  <c r="F580" i="1"/>
  <c r="G580" i="1" s="1"/>
  <c r="M581" i="1"/>
  <c r="O581" i="1" s="1"/>
  <c r="K581" i="1"/>
  <c r="J581" i="1"/>
  <c r="F581" i="1"/>
  <c r="G581" i="1" s="1"/>
  <c r="O582" i="1"/>
  <c r="M582" i="1"/>
  <c r="N582" i="1" s="1"/>
  <c r="K582" i="1"/>
  <c r="J582" i="1"/>
  <c r="G582" i="1"/>
  <c r="F582" i="1"/>
  <c r="M583" i="1"/>
  <c r="N583" i="1" s="1"/>
  <c r="K583" i="1"/>
  <c r="J583" i="1"/>
  <c r="F583" i="1"/>
  <c r="G583" i="1" s="1"/>
  <c r="O584" i="1"/>
  <c r="M584" i="1"/>
  <c r="N584" i="1" s="1"/>
  <c r="K584" i="1"/>
  <c r="J584" i="1"/>
  <c r="G584" i="1"/>
  <c r="F584" i="1"/>
  <c r="M585" i="1"/>
  <c r="O585" i="1" s="1"/>
  <c r="K585" i="1"/>
  <c r="J585" i="1"/>
  <c r="F585" i="1"/>
  <c r="G585" i="1" s="1"/>
  <c r="O586" i="1"/>
  <c r="M586" i="1"/>
  <c r="N586" i="1" s="1"/>
  <c r="K586" i="1"/>
  <c r="J586" i="1"/>
  <c r="G586" i="1"/>
  <c r="F586" i="1"/>
  <c r="O587" i="1"/>
  <c r="N587" i="1"/>
  <c r="M587" i="1"/>
  <c r="K587" i="1"/>
  <c r="J587" i="1"/>
  <c r="G587" i="1"/>
  <c r="F587" i="1"/>
  <c r="M588" i="1"/>
  <c r="O588" i="1" s="1"/>
  <c r="K588" i="1"/>
  <c r="J588" i="1"/>
  <c r="F588" i="1"/>
  <c r="G588" i="1" s="1"/>
  <c r="O589" i="1"/>
  <c r="M589" i="1"/>
  <c r="N589" i="1" s="1"/>
  <c r="K589" i="1"/>
  <c r="J589" i="1"/>
  <c r="G589" i="1"/>
  <c r="F589" i="1"/>
  <c r="M590" i="1"/>
  <c r="O590" i="1" s="1"/>
  <c r="K590" i="1"/>
  <c r="J590" i="1"/>
  <c r="F590" i="1"/>
  <c r="G590" i="1" s="1"/>
  <c r="O591" i="1"/>
  <c r="M591" i="1"/>
  <c r="N591" i="1" s="1"/>
  <c r="K591" i="1"/>
  <c r="J591" i="1"/>
  <c r="G591" i="1"/>
  <c r="F591" i="1"/>
  <c r="M593" i="1"/>
  <c r="O593" i="1" s="1"/>
  <c r="K593" i="1"/>
  <c r="J593" i="1"/>
  <c r="F593" i="1"/>
  <c r="G593" i="1" s="1"/>
  <c r="O594" i="1"/>
  <c r="M594" i="1"/>
  <c r="N594" i="1" s="1"/>
  <c r="K594" i="1"/>
  <c r="J594" i="1"/>
  <c r="G594" i="1"/>
  <c r="F594" i="1"/>
  <c r="O595" i="1"/>
  <c r="M595" i="1"/>
  <c r="N595" i="1" s="1"/>
  <c r="K595" i="1"/>
  <c r="J595" i="1"/>
  <c r="G595" i="1"/>
  <c r="F595" i="1"/>
  <c r="M596" i="1"/>
  <c r="O596" i="1" s="1"/>
  <c r="K596" i="1"/>
  <c r="J596" i="1"/>
  <c r="F596" i="1"/>
  <c r="G596" i="1" s="1"/>
  <c r="M597" i="1"/>
  <c r="O597" i="1" s="1"/>
  <c r="K597" i="1"/>
  <c r="J597" i="1"/>
  <c r="G597" i="1"/>
  <c r="F597" i="1"/>
  <c r="M598" i="1"/>
  <c r="O598" i="1" s="1"/>
  <c r="K598" i="1"/>
  <c r="J598" i="1"/>
  <c r="F598" i="1"/>
  <c r="G598" i="1" s="1"/>
  <c r="M599" i="1"/>
  <c r="O599" i="1" s="1"/>
  <c r="K599" i="1"/>
  <c r="J599" i="1"/>
  <c r="F599" i="1"/>
  <c r="G599" i="1" s="1"/>
  <c r="M600" i="1"/>
  <c r="O600" i="1" s="1"/>
  <c r="K600" i="1"/>
  <c r="J600" i="1"/>
  <c r="F600" i="1"/>
  <c r="G600" i="1" s="1"/>
  <c r="M601" i="1"/>
  <c r="O601" i="1" s="1"/>
  <c r="K601" i="1"/>
  <c r="J601" i="1"/>
  <c r="F601" i="1"/>
  <c r="G601" i="1" s="1"/>
  <c r="M602" i="1"/>
  <c r="O602" i="1" s="1"/>
  <c r="K602" i="1"/>
  <c r="J602" i="1"/>
  <c r="G602" i="1"/>
  <c r="F602" i="1"/>
  <c r="M603" i="1"/>
  <c r="O603" i="1" s="1"/>
  <c r="K603" i="1"/>
  <c r="J603" i="1"/>
  <c r="F603" i="1"/>
  <c r="G603" i="1" s="1"/>
  <c r="M604" i="1"/>
  <c r="O604" i="1" s="1"/>
  <c r="K604" i="1"/>
  <c r="J604" i="1"/>
  <c r="F604" i="1"/>
  <c r="G604" i="1" s="1"/>
  <c r="M606" i="1"/>
  <c r="O606" i="1" s="1"/>
  <c r="K606" i="1"/>
  <c r="J606" i="1"/>
  <c r="F606" i="1"/>
  <c r="G606" i="1" s="1"/>
  <c r="M607" i="1"/>
  <c r="O607" i="1" s="1"/>
  <c r="K607" i="1"/>
  <c r="J607" i="1"/>
  <c r="F607" i="1"/>
  <c r="G607" i="1" s="1"/>
  <c r="M608" i="1"/>
  <c r="O608" i="1" s="1"/>
  <c r="K608" i="1"/>
  <c r="J608" i="1"/>
  <c r="F608" i="1"/>
  <c r="G608" i="1" s="1"/>
  <c r="M609" i="1"/>
  <c r="O609" i="1" s="1"/>
  <c r="K609" i="1"/>
  <c r="J609" i="1"/>
  <c r="G609" i="1"/>
  <c r="F609" i="1"/>
  <c r="M610" i="1"/>
  <c r="O610" i="1" s="1"/>
  <c r="K610" i="1"/>
  <c r="J610" i="1"/>
  <c r="F610" i="1"/>
  <c r="G610" i="1" s="1"/>
  <c r="M611" i="1"/>
  <c r="O611" i="1" s="1"/>
  <c r="K611" i="1"/>
  <c r="J611" i="1"/>
  <c r="G611" i="1"/>
  <c r="F611" i="1"/>
  <c r="O612" i="1"/>
  <c r="M612" i="1"/>
  <c r="N612" i="1" s="1"/>
  <c r="K612" i="1"/>
  <c r="J612" i="1"/>
  <c r="F612" i="1"/>
  <c r="G612" i="1" s="1"/>
  <c r="M613" i="1"/>
  <c r="O613" i="1" s="1"/>
  <c r="K613" i="1"/>
  <c r="J613" i="1"/>
  <c r="F613" i="1"/>
  <c r="G613" i="1" s="1"/>
  <c r="O614" i="1"/>
  <c r="M614" i="1"/>
  <c r="N614" i="1" s="1"/>
  <c r="K614" i="1"/>
  <c r="J614" i="1"/>
  <c r="F614" i="1"/>
  <c r="G614" i="1" s="1"/>
  <c r="M615" i="1"/>
  <c r="O615" i="1" s="1"/>
  <c r="K615" i="1"/>
  <c r="J615" i="1"/>
  <c r="G615" i="1"/>
  <c r="F615" i="1"/>
  <c r="M616" i="1"/>
  <c r="O616" i="1" s="1"/>
  <c r="K616" i="1"/>
  <c r="J616" i="1"/>
  <c r="G616" i="1"/>
  <c r="F616" i="1"/>
  <c r="M617" i="1"/>
  <c r="O617" i="1" s="1"/>
  <c r="K617" i="1"/>
  <c r="J617" i="1"/>
  <c r="G617" i="1"/>
  <c r="F617" i="1"/>
  <c r="M619" i="1"/>
  <c r="O619" i="1" s="1"/>
  <c r="K619" i="1"/>
  <c r="J619" i="1"/>
  <c r="F619" i="1"/>
  <c r="G619" i="1" s="1"/>
  <c r="M620" i="1"/>
  <c r="O620" i="1" s="1"/>
  <c r="K620" i="1"/>
  <c r="J620" i="1"/>
  <c r="G620" i="1"/>
  <c r="F620" i="1"/>
  <c r="M621" i="1"/>
  <c r="O621" i="1" s="1"/>
  <c r="K621" i="1"/>
  <c r="J621" i="1"/>
  <c r="F621" i="1"/>
  <c r="G621" i="1" s="1"/>
  <c r="M622" i="1"/>
  <c r="O622" i="1" s="1"/>
  <c r="K622" i="1"/>
  <c r="J622" i="1"/>
  <c r="F622" i="1"/>
  <c r="G622" i="1" s="1"/>
  <c r="M623" i="1"/>
  <c r="O623" i="1" s="1"/>
  <c r="K623" i="1"/>
  <c r="J623" i="1"/>
  <c r="G623" i="1"/>
  <c r="F623" i="1"/>
  <c r="M624" i="1"/>
  <c r="O624" i="1" s="1"/>
  <c r="K624" i="1"/>
  <c r="J624" i="1"/>
  <c r="F624" i="1"/>
  <c r="G624" i="1" s="1"/>
  <c r="M625" i="1"/>
  <c r="O625" i="1" s="1"/>
  <c r="K625" i="1"/>
  <c r="J625" i="1"/>
  <c r="F625" i="1"/>
  <c r="G625" i="1" s="1"/>
  <c r="M626" i="1"/>
  <c r="O626" i="1" s="1"/>
  <c r="K626" i="1"/>
  <c r="J626" i="1"/>
  <c r="F626" i="1"/>
  <c r="G626" i="1" s="1"/>
  <c r="M627" i="1"/>
  <c r="O627" i="1" s="1"/>
  <c r="K627" i="1"/>
  <c r="J627" i="1"/>
  <c r="G627" i="1"/>
  <c r="F627" i="1"/>
  <c r="M628" i="1"/>
  <c r="O628" i="1" s="1"/>
  <c r="K628" i="1"/>
  <c r="J628" i="1"/>
  <c r="F628" i="1"/>
  <c r="G628" i="1" s="1"/>
  <c r="M629" i="1"/>
  <c r="O629" i="1" s="1"/>
  <c r="K629" i="1"/>
  <c r="J629" i="1"/>
  <c r="F629" i="1"/>
  <c r="G629" i="1" s="1"/>
  <c r="M630" i="1"/>
  <c r="O630" i="1" s="1"/>
  <c r="K630" i="1"/>
  <c r="J630" i="1"/>
  <c r="F630" i="1"/>
  <c r="G630" i="1" s="1"/>
  <c r="M632" i="1"/>
  <c r="O632" i="1" s="1"/>
  <c r="K632" i="1"/>
  <c r="J632" i="1"/>
  <c r="G632" i="1"/>
  <c r="F632" i="1"/>
  <c r="M633" i="1"/>
  <c r="O633" i="1" s="1"/>
  <c r="K633" i="1"/>
  <c r="J633" i="1"/>
  <c r="G633" i="1"/>
  <c r="F633" i="1"/>
  <c r="M634" i="1"/>
  <c r="O634" i="1" s="1"/>
  <c r="K634" i="1"/>
  <c r="J634" i="1"/>
  <c r="F634" i="1"/>
  <c r="G634" i="1" s="1"/>
  <c r="O635" i="1"/>
  <c r="M635" i="1"/>
  <c r="N635" i="1" s="1"/>
  <c r="K635" i="1"/>
  <c r="J635" i="1"/>
  <c r="F635" i="1"/>
  <c r="G635" i="1" s="1"/>
  <c r="O636" i="1"/>
  <c r="M636" i="1"/>
  <c r="N636" i="1" s="1"/>
  <c r="K636" i="1"/>
  <c r="J636" i="1"/>
  <c r="G636" i="1"/>
  <c r="F636" i="1"/>
  <c r="M637" i="1"/>
  <c r="O637" i="1" s="1"/>
  <c r="K637" i="1"/>
  <c r="J637" i="1"/>
  <c r="G637" i="1"/>
  <c r="F637" i="1"/>
  <c r="M638" i="1"/>
  <c r="O638" i="1" s="1"/>
  <c r="K638" i="1"/>
  <c r="J638" i="1"/>
  <c r="G638" i="1"/>
  <c r="F638" i="1"/>
  <c r="M639" i="1"/>
  <c r="O639" i="1" s="1"/>
  <c r="K639" i="1"/>
  <c r="J639" i="1"/>
  <c r="G639" i="1"/>
  <c r="F639" i="1"/>
  <c r="M640" i="1"/>
  <c r="O640" i="1" s="1"/>
  <c r="K640" i="1"/>
  <c r="J640" i="1"/>
  <c r="G640" i="1"/>
  <c r="F640" i="1"/>
  <c r="M641" i="1"/>
  <c r="O641" i="1" s="1"/>
  <c r="K641" i="1"/>
  <c r="J641" i="1"/>
  <c r="G641" i="1"/>
  <c r="F641" i="1"/>
  <c r="M642" i="1"/>
  <c r="O642" i="1" s="1"/>
  <c r="K642" i="1"/>
  <c r="J642" i="1"/>
  <c r="G642" i="1"/>
  <c r="F642" i="1"/>
  <c r="M643" i="1"/>
  <c r="O643" i="1" s="1"/>
  <c r="K643" i="1"/>
  <c r="J643" i="1"/>
  <c r="G643" i="1"/>
  <c r="F643" i="1"/>
  <c r="M645" i="1"/>
  <c r="O645" i="1" s="1"/>
  <c r="K645" i="1"/>
  <c r="J645" i="1"/>
  <c r="G645" i="1"/>
  <c r="F645" i="1"/>
  <c r="M646" i="1"/>
  <c r="O646" i="1" s="1"/>
  <c r="K646" i="1"/>
  <c r="J646" i="1"/>
  <c r="G646" i="1"/>
  <c r="F646" i="1"/>
  <c r="M647" i="1"/>
  <c r="O647" i="1" s="1"/>
  <c r="K647" i="1"/>
  <c r="J647" i="1"/>
  <c r="G647" i="1"/>
  <c r="F647" i="1"/>
  <c r="M648" i="1"/>
  <c r="O648" i="1" s="1"/>
  <c r="K648" i="1"/>
  <c r="J648" i="1"/>
  <c r="G648" i="1"/>
  <c r="F648" i="1"/>
  <c r="M649" i="1"/>
  <c r="O649" i="1" s="1"/>
  <c r="K649" i="1"/>
  <c r="J649" i="1"/>
  <c r="G649" i="1"/>
  <c r="F649" i="1"/>
  <c r="M650" i="1"/>
  <c r="O650" i="1" s="1"/>
  <c r="K650" i="1"/>
  <c r="J650" i="1"/>
  <c r="G650" i="1"/>
  <c r="F650" i="1"/>
  <c r="M651" i="1"/>
  <c r="O651" i="1" s="1"/>
  <c r="K651" i="1"/>
  <c r="J651" i="1"/>
  <c r="G651" i="1"/>
  <c r="F651" i="1"/>
  <c r="M652" i="1"/>
  <c r="O652" i="1" s="1"/>
  <c r="K652" i="1"/>
  <c r="J652" i="1"/>
  <c r="F652" i="1"/>
  <c r="G652" i="1" s="1"/>
  <c r="M653" i="1"/>
  <c r="O653" i="1" s="1"/>
  <c r="K653" i="1"/>
  <c r="J653" i="1"/>
  <c r="F653" i="1"/>
  <c r="G653" i="1" s="1"/>
  <c r="M654" i="1"/>
  <c r="O654" i="1" s="1"/>
  <c r="K654" i="1"/>
  <c r="J654" i="1"/>
  <c r="G654" i="1"/>
  <c r="F654" i="1"/>
  <c r="M655" i="1"/>
  <c r="O655" i="1" s="1"/>
  <c r="K655" i="1"/>
  <c r="J655" i="1"/>
  <c r="G655" i="1"/>
  <c r="F655" i="1"/>
  <c r="M656" i="1"/>
  <c r="O656" i="1" s="1"/>
  <c r="K656" i="1"/>
  <c r="J656" i="1"/>
  <c r="G656" i="1"/>
  <c r="F656" i="1"/>
  <c r="O658" i="1"/>
  <c r="M658" i="1"/>
  <c r="N658" i="1" s="1"/>
  <c r="K658" i="1"/>
  <c r="J658" i="1"/>
  <c r="G658" i="1"/>
  <c r="F658" i="1"/>
  <c r="M659" i="1"/>
  <c r="O659" i="1" s="1"/>
  <c r="K659" i="1"/>
  <c r="J659" i="1"/>
  <c r="G659" i="1"/>
  <c r="F659" i="1"/>
  <c r="M660" i="1"/>
  <c r="O660" i="1" s="1"/>
  <c r="K660" i="1"/>
  <c r="J660" i="1"/>
  <c r="F660" i="1"/>
  <c r="G660" i="1" s="1"/>
  <c r="M661" i="1"/>
  <c r="O661" i="1" s="1"/>
  <c r="K661" i="1"/>
  <c r="J661" i="1"/>
  <c r="F661" i="1"/>
  <c r="G661" i="1" s="1"/>
  <c r="M662" i="1"/>
  <c r="O662" i="1" s="1"/>
  <c r="K662" i="1"/>
  <c r="J662" i="1"/>
  <c r="F662" i="1"/>
  <c r="G662" i="1" s="1"/>
  <c r="M663" i="1"/>
  <c r="O663" i="1" s="1"/>
  <c r="K663" i="1"/>
  <c r="J663" i="1"/>
  <c r="G663" i="1"/>
  <c r="F663" i="1"/>
  <c r="M664" i="1"/>
  <c r="O664" i="1" s="1"/>
  <c r="K664" i="1"/>
  <c r="J664" i="1"/>
  <c r="G664" i="1"/>
  <c r="F664" i="1"/>
  <c r="M665" i="1"/>
  <c r="O665" i="1" s="1"/>
  <c r="K665" i="1"/>
  <c r="J665" i="1"/>
  <c r="G665" i="1"/>
  <c r="F665" i="1"/>
  <c r="M666" i="1"/>
  <c r="O666" i="1" s="1"/>
  <c r="K666" i="1"/>
  <c r="J666" i="1"/>
  <c r="F666" i="1"/>
  <c r="G666" i="1" s="1"/>
  <c r="M667" i="1"/>
  <c r="O667" i="1" s="1"/>
  <c r="K667" i="1"/>
  <c r="J667" i="1"/>
  <c r="F667" i="1"/>
  <c r="G667" i="1" s="1"/>
  <c r="M668" i="1"/>
  <c r="O668" i="1" s="1"/>
  <c r="K668" i="1"/>
  <c r="J668" i="1"/>
  <c r="G668" i="1"/>
  <c r="F668" i="1"/>
  <c r="M669" i="1"/>
  <c r="O669" i="1" s="1"/>
  <c r="K669" i="1"/>
  <c r="J669" i="1"/>
  <c r="G669" i="1"/>
  <c r="F669" i="1"/>
  <c r="M671" i="1"/>
  <c r="O671" i="1" s="1"/>
  <c r="K671" i="1"/>
  <c r="J671" i="1"/>
  <c r="G671" i="1"/>
  <c r="F671" i="1"/>
  <c r="F683" i="1" s="1"/>
  <c r="M672" i="1"/>
  <c r="O672" i="1" s="1"/>
  <c r="K672" i="1"/>
  <c r="J672" i="1"/>
  <c r="G672" i="1"/>
  <c r="F672" i="1"/>
  <c r="M673" i="1"/>
  <c r="O673" i="1" s="1"/>
  <c r="K673" i="1"/>
  <c r="J673" i="1"/>
  <c r="G673" i="1"/>
  <c r="F673" i="1"/>
  <c r="M674" i="1"/>
  <c r="O674" i="1" s="1"/>
  <c r="K674" i="1"/>
  <c r="J674" i="1"/>
  <c r="G674" i="1"/>
  <c r="F674" i="1"/>
  <c r="M675" i="1"/>
  <c r="O675" i="1" s="1"/>
  <c r="K675" i="1"/>
  <c r="J675" i="1"/>
  <c r="F675" i="1"/>
  <c r="G675" i="1" s="1"/>
  <c r="M676" i="1"/>
  <c r="O676" i="1" s="1"/>
  <c r="K676" i="1"/>
  <c r="J676" i="1"/>
  <c r="F676" i="1"/>
  <c r="G676" i="1" s="1"/>
  <c r="M677" i="1"/>
  <c r="O677" i="1" s="1"/>
  <c r="K677" i="1"/>
  <c r="J677" i="1"/>
  <c r="G677" i="1"/>
  <c r="F677" i="1"/>
  <c r="M678" i="1"/>
  <c r="O678" i="1" s="1"/>
  <c r="K678" i="1"/>
  <c r="J678" i="1"/>
  <c r="G678" i="1"/>
  <c r="F678" i="1"/>
  <c r="O679" i="1"/>
  <c r="M679" i="1"/>
  <c r="N679" i="1" s="1"/>
  <c r="K679" i="1"/>
  <c r="J679" i="1"/>
  <c r="F679" i="1"/>
  <c r="G679" i="1" s="1"/>
  <c r="O680" i="1"/>
  <c r="M680" i="1"/>
  <c r="N680" i="1" s="1"/>
  <c r="K680" i="1"/>
  <c r="J680" i="1"/>
  <c r="F680" i="1"/>
  <c r="G680" i="1" s="1"/>
  <c r="M681" i="1"/>
  <c r="O681" i="1" s="1"/>
  <c r="K681" i="1"/>
  <c r="J681" i="1"/>
  <c r="F681" i="1"/>
  <c r="G681" i="1" s="1"/>
  <c r="M682" i="1"/>
  <c r="O682" i="1" s="1"/>
  <c r="K682" i="1"/>
  <c r="J682" i="1"/>
  <c r="F682" i="1"/>
  <c r="G682" i="1" s="1"/>
  <c r="O684" i="1"/>
  <c r="M684" i="1"/>
  <c r="N684" i="1" s="1"/>
  <c r="K684" i="1"/>
  <c r="J684" i="1"/>
  <c r="F684" i="1"/>
  <c r="G684" i="1" s="1"/>
  <c r="M685" i="1"/>
  <c r="O685" i="1" s="1"/>
  <c r="K685" i="1"/>
  <c r="J685" i="1"/>
  <c r="G685" i="1"/>
  <c r="F685" i="1"/>
  <c r="O686" i="1"/>
  <c r="M686" i="1"/>
  <c r="N686" i="1" s="1"/>
  <c r="K686" i="1"/>
  <c r="J686" i="1"/>
  <c r="G686" i="1"/>
  <c r="F686" i="1"/>
  <c r="M687" i="1"/>
  <c r="O687" i="1" s="1"/>
  <c r="K687" i="1"/>
  <c r="J687" i="1"/>
  <c r="F687" i="1"/>
  <c r="G687" i="1" s="1"/>
  <c r="M688" i="1"/>
  <c r="O688" i="1" s="1"/>
  <c r="K688" i="1"/>
  <c r="J688" i="1"/>
  <c r="G688" i="1"/>
  <c r="F688" i="1"/>
  <c r="O689" i="1"/>
  <c r="M689" i="1"/>
  <c r="N689" i="1" s="1"/>
  <c r="K689" i="1"/>
  <c r="J689" i="1"/>
  <c r="G689" i="1"/>
  <c r="F689" i="1"/>
  <c r="M690" i="1"/>
  <c r="O690" i="1" s="1"/>
  <c r="K690" i="1"/>
  <c r="J690" i="1"/>
  <c r="G690" i="1"/>
  <c r="F690" i="1"/>
  <c r="O691" i="1"/>
  <c r="M691" i="1"/>
  <c r="N691" i="1" s="1"/>
  <c r="K691" i="1"/>
  <c r="J691" i="1"/>
  <c r="F691" i="1"/>
  <c r="G691" i="1" s="1"/>
  <c r="M692" i="1"/>
  <c r="O692" i="1" s="1"/>
  <c r="K692" i="1"/>
  <c r="J692" i="1"/>
  <c r="G692" i="1"/>
  <c r="F692" i="1"/>
  <c r="M693" i="1"/>
  <c r="O693" i="1" s="1"/>
  <c r="K693" i="1"/>
  <c r="J693" i="1"/>
  <c r="G693" i="1"/>
  <c r="F693" i="1"/>
  <c r="M694" i="1"/>
  <c r="O694" i="1" s="1"/>
  <c r="K694" i="1"/>
  <c r="J694" i="1"/>
  <c r="G694" i="1"/>
  <c r="F694" i="1"/>
  <c r="M695" i="1"/>
  <c r="O695" i="1" s="1"/>
  <c r="K695" i="1"/>
  <c r="J695" i="1"/>
  <c r="G695" i="1"/>
  <c r="F695" i="1"/>
  <c r="M697" i="1"/>
  <c r="O697" i="1" s="1"/>
  <c r="K697" i="1"/>
  <c r="J697" i="1"/>
  <c r="F697" i="1"/>
  <c r="G697" i="1" s="1"/>
  <c r="M698" i="1"/>
  <c r="O698" i="1" s="1"/>
  <c r="K698" i="1"/>
  <c r="J698" i="1"/>
  <c r="F698" i="1"/>
  <c r="G698" i="1" s="1"/>
  <c r="M699" i="1"/>
  <c r="O699" i="1" s="1"/>
  <c r="K699" i="1"/>
  <c r="J699" i="1"/>
  <c r="G699" i="1"/>
  <c r="F699" i="1"/>
  <c r="O700" i="1"/>
  <c r="M700" i="1"/>
  <c r="N700" i="1" s="1"/>
  <c r="K700" i="1"/>
  <c r="J700" i="1"/>
  <c r="G700" i="1"/>
  <c r="F700" i="1"/>
  <c r="M701" i="1"/>
  <c r="O701" i="1" s="1"/>
  <c r="K701" i="1"/>
  <c r="J701" i="1"/>
  <c r="G701" i="1"/>
  <c r="F701" i="1"/>
  <c r="O702" i="1"/>
  <c r="M702" i="1"/>
  <c r="N702" i="1" s="1"/>
  <c r="K702" i="1"/>
  <c r="J702" i="1"/>
  <c r="G702" i="1"/>
  <c r="F702" i="1"/>
  <c r="M703" i="1"/>
  <c r="O703" i="1" s="1"/>
  <c r="K703" i="1"/>
  <c r="J703" i="1"/>
  <c r="F703" i="1"/>
  <c r="G703" i="1" s="1"/>
  <c r="M704" i="1"/>
  <c r="O704" i="1" s="1"/>
  <c r="K704" i="1"/>
  <c r="J704" i="1"/>
  <c r="F704" i="1"/>
  <c r="G704" i="1" s="1"/>
  <c r="M705" i="1"/>
  <c r="O705" i="1" s="1"/>
  <c r="K705" i="1"/>
  <c r="J705" i="1"/>
  <c r="G705" i="1"/>
  <c r="F705" i="1"/>
  <c r="M706" i="1"/>
  <c r="O706" i="1" s="1"/>
  <c r="K706" i="1"/>
  <c r="J706" i="1"/>
  <c r="G706" i="1"/>
  <c r="F706" i="1"/>
  <c r="M707" i="1"/>
  <c r="O707" i="1" s="1"/>
  <c r="K707" i="1"/>
  <c r="J707" i="1"/>
  <c r="G707" i="1"/>
  <c r="F707" i="1"/>
  <c r="M708" i="1"/>
  <c r="O708" i="1" s="1"/>
  <c r="K708" i="1"/>
  <c r="J708" i="1"/>
  <c r="G708" i="1"/>
  <c r="F708" i="1"/>
  <c r="M710" i="1"/>
  <c r="O710" i="1" s="1"/>
  <c r="K710" i="1"/>
  <c r="J710" i="1"/>
  <c r="G710" i="1"/>
  <c r="F710" i="1"/>
  <c r="M711" i="1"/>
  <c r="O711" i="1" s="1"/>
  <c r="K711" i="1"/>
  <c r="J711" i="1"/>
  <c r="G711" i="1"/>
  <c r="F711" i="1"/>
  <c r="M712" i="1"/>
  <c r="O712" i="1" s="1"/>
  <c r="K712" i="1"/>
  <c r="J712" i="1"/>
  <c r="G712" i="1"/>
  <c r="F712" i="1"/>
  <c r="M713" i="1"/>
  <c r="O713" i="1" s="1"/>
  <c r="K713" i="1"/>
  <c r="J713" i="1"/>
  <c r="F713" i="1"/>
  <c r="G713" i="1" s="1"/>
  <c r="M714" i="1"/>
  <c r="O714" i="1" s="1"/>
  <c r="K714" i="1"/>
  <c r="J714" i="1"/>
  <c r="G714" i="1"/>
  <c r="F714" i="1"/>
  <c r="M715" i="1"/>
  <c r="O715" i="1" s="1"/>
  <c r="K715" i="1"/>
  <c r="J715" i="1"/>
  <c r="G715" i="1"/>
  <c r="F715" i="1"/>
  <c r="M716" i="1"/>
  <c r="O716" i="1" s="1"/>
  <c r="K716" i="1"/>
  <c r="J716" i="1"/>
  <c r="G716" i="1"/>
  <c r="F716" i="1"/>
  <c r="M717" i="1"/>
  <c r="O717" i="1" s="1"/>
  <c r="K717" i="1"/>
  <c r="J717" i="1"/>
  <c r="G717" i="1"/>
  <c r="F717" i="1"/>
  <c r="M718" i="1"/>
  <c r="O718" i="1" s="1"/>
  <c r="K718" i="1"/>
  <c r="J718" i="1"/>
  <c r="G718" i="1"/>
  <c r="F718" i="1"/>
  <c r="M719" i="1"/>
  <c r="O719" i="1" s="1"/>
  <c r="K719" i="1"/>
  <c r="J719" i="1"/>
  <c r="F719" i="1"/>
  <c r="G719" i="1" s="1"/>
  <c r="M720" i="1"/>
  <c r="O720" i="1" s="1"/>
  <c r="K720" i="1"/>
  <c r="J720" i="1"/>
  <c r="G720" i="1"/>
  <c r="F720" i="1"/>
  <c r="M721" i="1"/>
  <c r="O721" i="1" s="1"/>
  <c r="K721" i="1"/>
  <c r="J721" i="1"/>
  <c r="F721" i="1"/>
  <c r="G721" i="1" s="1"/>
  <c r="M723" i="1"/>
  <c r="O723" i="1" s="1"/>
  <c r="K723" i="1"/>
  <c r="K735" i="1" s="1"/>
  <c r="J723" i="1"/>
  <c r="F723" i="1"/>
  <c r="G723" i="1" s="1"/>
  <c r="M724" i="1"/>
  <c r="O724" i="1" s="1"/>
  <c r="K724" i="1"/>
  <c r="J724" i="1"/>
  <c r="G724" i="1"/>
  <c r="F724" i="1"/>
  <c r="M725" i="1"/>
  <c r="O725" i="1" s="1"/>
  <c r="K725" i="1"/>
  <c r="J725" i="1"/>
  <c r="F725" i="1"/>
  <c r="G725" i="1" s="1"/>
  <c r="M726" i="1"/>
  <c r="O726" i="1" s="1"/>
  <c r="K726" i="1"/>
  <c r="J726" i="1"/>
  <c r="G726" i="1"/>
  <c r="F726" i="1"/>
  <c r="M727" i="1"/>
  <c r="O727" i="1" s="1"/>
  <c r="K727" i="1"/>
  <c r="J727" i="1"/>
  <c r="F727" i="1"/>
  <c r="G727" i="1" s="1"/>
  <c r="M728" i="1"/>
  <c r="O728" i="1" s="1"/>
  <c r="K728" i="1"/>
  <c r="J728" i="1"/>
  <c r="G728" i="1"/>
  <c r="F728" i="1"/>
  <c r="M729" i="1"/>
  <c r="O729" i="1" s="1"/>
  <c r="K729" i="1"/>
  <c r="J729" i="1"/>
  <c r="G729" i="1"/>
  <c r="F729" i="1"/>
  <c r="M730" i="1"/>
  <c r="O730" i="1" s="1"/>
  <c r="K730" i="1"/>
  <c r="J730" i="1"/>
  <c r="F730" i="1"/>
  <c r="G730" i="1" s="1"/>
  <c r="O731" i="1"/>
  <c r="M731" i="1"/>
  <c r="N731" i="1" s="1"/>
  <c r="K731" i="1"/>
  <c r="J731" i="1"/>
  <c r="G731" i="1"/>
  <c r="F731" i="1"/>
  <c r="M732" i="1"/>
  <c r="O732" i="1" s="1"/>
  <c r="K732" i="1"/>
  <c r="J732" i="1"/>
  <c r="G732" i="1"/>
  <c r="F732" i="1"/>
  <c r="M733" i="1"/>
  <c r="O733" i="1" s="1"/>
  <c r="K733" i="1"/>
  <c r="J733" i="1"/>
  <c r="G733" i="1"/>
  <c r="F733" i="1"/>
  <c r="M734" i="1"/>
  <c r="O734" i="1" s="1"/>
  <c r="K734" i="1"/>
  <c r="J734" i="1"/>
  <c r="G734" i="1"/>
  <c r="F734" i="1"/>
  <c r="M736" i="1"/>
  <c r="O736" i="1" s="1"/>
  <c r="K736" i="1"/>
  <c r="J736" i="1"/>
  <c r="G736" i="1"/>
  <c r="F736" i="1"/>
  <c r="M737" i="1"/>
  <c r="O737" i="1" s="1"/>
  <c r="K737" i="1"/>
  <c r="J737" i="1"/>
  <c r="F737" i="1"/>
  <c r="G737" i="1" s="1"/>
  <c r="M738" i="1"/>
  <c r="O738" i="1" s="1"/>
  <c r="K738" i="1"/>
  <c r="J738" i="1"/>
  <c r="G738" i="1"/>
  <c r="F738" i="1"/>
  <c r="M739" i="1"/>
  <c r="O739" i="1" s="1"/>
  <c r="K739" i="1"/>
  <c r="J739" i="1"/>
  <c r="G739" i="1"/>
  <c r="F739" i="1"/>
  <c r="M740" i="1"/>
  <c r="O740" i="1" s="1"/>
  <c r="K740" i="1"/>
  <c r="J740" i="1"/>
  <c r="G740" i="1"/>
  <c r="F740" i="1"/>
  <c r="M741" i="1"/>
  <c r="O741" i="1" s="1"/>
  <c r="K741" i="1"/>
  <c r="J741" i="1"/>
  <c r="G741" i="1"/>
  <c r="F741" i="1"/>
  <c r="M742" i="1"/>
  <c r="O742" i="1" s="1"/>
  <c r="K742" i="1"/>
  <c r="J742" i="1"/>
  <c r="G742" i="1"/>
  <c r="F742" i="1"/>
  <c r="M743" i="1"/>
  <c r="O743" i="1" s="1"/>
  <c r="K743" i="1"/>
  <c r="J743" i="1"/>
  <c r="G743" i="1"/>
  <c r="F743" i="1"/>
  <c r="M744" i="1"/>
  <c r="O744" i="1" s="1"/>
  <c r="K744" i="1"/>
  <c r="J744" i="1"/>
  <c r="G744" i="1"/>
  <c r="F744" i="1"/>
  <c r="M745" i="1"/>
  <c r="O745" i="1" s="1"/>
  <c r="K745" i="1"/>
  <c r="J745" i="1"/>
  <c r="G745" i="1"/>
  <c r="F745" i="1"/>
  <c r="M746" i="1"/>
  <c r="O746" i="1" s="1"/>
  <c r="K746" i="1"/>
  <c r="J746" i="1"/>
  <c r="G746" i="1"/>
  <c r="F746" i="1"/>
  <c r="M747" i="1"/>
  <c r="O747" i="1" s="1"/>
  <c r="K747" i="1"/>
  <c r="J747" i="1"/>
  <c r="G747" i="1"/>
  <c r="F747" i="1"/>
  <c r="M749" i="1"/>
  <c r="O749" i="1" s="1"/>
  <c r="K749" i="1"/>
  <c r="J749" i="1"/>
  <c r="G749" i="1"/>
  <c r="F749" i="1"/>
  <c r="F761" i="1" s="1"/>
  <c r="M750" i="1"/>
  <c r="O750" i="1" s="1"/>
  <c r="K750" i="1"/>
  <c r="J750" i="1"/>
  <c r="F750" i="1"/>
  <c r="G750" i="1" s="1"/>
  <c r="M751" i="1"/>
  <c r="O751" i="1" s="1"/>
  <c r="K751" i="1"/>
  <c r="J751" i="1"/>
  <c r="G751" i="1"/>
  <c r="F751" i="1"/>
  <c r="M752" i="1"/>
  <c r="O752" i="1" s="1"/>
  <c r="K752" i="1"/>
  <c r="J752" i="1"/>
  <c r="G752" i="1"/>
  <c r="F752" i="1"/>
  <c r="M753" i="1"/>
  <c r="O753" i="1" s="1"/>
  <c r="K753" i="1"/>
  <c r="J753" i="1"/>
  <c r="F753" i="1"/>
  <c r="G753" i="1" s="1"/>
  <c r="M754" i="1"/>
  <c r="O754" i="1" s="1"/>
  <c r="K754" i="1"/>
  <c r="J754" i="1"/>
  <c r="G754" i="1"/>
  <c r="F754" i="1"/>
  <c r="M755" i="1"/>
  <c r="O755" i="1" s="1"/>
  <c r="K755" i="1"/>
  <c r="J755" i="1"/>
  <c r="F755" i="1"/>
  <c r="G755" i="1" s="1"/>
  <c r="M756" i="1"/>
  <c r="O756" i="1" s="1"/>
  <c r="K756" i="1"/>
  <c r="J756" i="1"/>
  <c r="G756" i="1"/>
  <c r="F756" i="1"/>
  <c r="M757" i="1"/>
  <c r="O757" i="1" s="1"/>
  <c r="K757" i="1"/>
  <c r="J757" i="1"/>
  <c r="F757" i="1"/>
  <c r="G757" i="1" s="1"/>
  <c r="M758" i="1"/>
  <c r="O758" i="1" s="1"/>
  <c r="K758" i="1"/>
  <c r="J758" i="1"/>
  <c r="G758" i="1"/>
  <c r="F758" i="1"/>
  <c r="M759" i="1"/>
  <c r="O759" i="1" s="1"/>
  <c r="K759" i="1"/>
  <c r="J759" i="1"/>
  <c r="G759" i="1"/>
  <c r="F759" i="1"/>
  <c r="M760" i="1"/>
  <c r="O760" i="1" s="1"/>
  <c r="K760" i="1"/>
  <c r="J760" i="1"/>
  <c r="G760" i="1"/>
  <c r="F760" i="1"/>
  <c r="O762" i="1"/>
  <c r="M762" i="1"/>
  <c r="N762" i="1" s="1"/>
  <c r="K762" i="1"/>
  <c r="J762" i="1"/>
  <c r="G762" i="1"/>
  <c r="F762" i="1"/>
  <c r="M763" i="1"/>
  <c r="O763" i="1" s="1"/>
  <c r="K763" i="1"/>
  <c r="J763" i="1"/>
  <c r="G763" i="1"/>
  <c r="F763" i="1"/>
  <c r="M764" i="1"/>
  <c r="O764" i="1" s="1"/>
  <c r="K764" i="1"/>
  <c r="J764" i="1"/>
  <c r="F764" i="1"/>
  <c r="G764" i="1" s="1"/>
  <c r="M765" i="1"/>
  <c r="O765" i="1" s="1"/>
  <c r="K765" i="1"/>
  <c r="J765" i="1"/>
  <c r="G765" i="1"/>
  <c r="F765" i="1"/>
  <c r="M766" i="1"/>
  <c r="O766" i="1" s="1"/>
  <c r="K766" i="1"/>
  <c r="J766" i="1"/>
  <c r="G766" i="1"/>
  <c r="F766" i="1"/>
  <c r="M767" i="1"/>
  <c r="O767" i="1" s="1"/>
  <c r="K767" i="1"/>
  <c r="J767" i="1"/>
  <c r="G767" i="1"/>
  <c r="F767" i="1"/>
  <c r="M768" i="1"/>
  <c r="O768" i="1" s="1"/>
  <c r="K768" i="1"/>
  <c r="J768" i="1"/>
  <c r="F768" i="1"/>
  <c r="G768" i="1" s="1"/>
  <c r="M769" i="1"/>
  <c r="O769" i="1" s="1"/>
  <c r="K769" i="1"/>
  <c r="J769" i="1"/>
  <c r="G769" i="1"/>
  <c r="F769" i="1"/>
  <c r="M770" i="1"/>
  <c r="O770" i="1" s="1"/>
  <c r="K770" i="1"/>
  <c r="J770" i="1"/>
  <c r="G770" i="1"/>
  <c r="F770" i="1"/>
  <c r="M771" i="1"/>
  <c r="O771" i="1" s="1"/>
  <c r="K771" i="1"/>
  <c r="J771" i="1"/>
  <c r="F771" i="1"/>
  <c r="G771" i="1" s="1"/>
  <c r="M772" i="1"/>
  <c r="O772" i="1" s="1"/>
  <c r="K772" i="1"/>
  <c r="J772" i="1"/>
  <c r="G772" i="1"/>
  <c r="F772" i="1"/>
  <c r="O773" i="1"/>
  <c r="M773" i="1"/>
  <c r="N773" i="1" s="1"/>
  <c r="K773" i="1"/>
  <c r="J773" i="1"/>
  <c r="F773" i="1"/>
  <c r="G773" i="1" s="1"/>
  <c r="M775" i="1"/>
  <c r="O775" i="1" s="1"/>
  <c r="K775" i="1"/>
  <c r="J775" i="1"/>
  <c r="F775" i="1"/>
  <c r="G775" i="1" s="1"/>
  <c r="M776" i="1"/>
  <c r="O776" i="1" s="1"/>
  <c r="K776" i="1"/>
  <c r="J776" i="1"/>
  <c r="G776" i="1"/>
  <c r="F776" i="1"/>
  <c r="M777" i="1"/>
  <c r="O777" i="1" s="1"/>
  <c r="K777" i="1"/>
  <c r="J777" i="1"/>
  <c r="G777" i="1"/>
  <c r="F777" i="1"/>
  <c r="M778" i="1"/>
  <c r="O778" i="1" s="1"/>
  <c r="K778" i="1"/>
  <c r="J778" i="1"/>
  <c r="F778" i="1"/>
  <c r="G778" i="1" s="1"/>
  <c r="M779" i="1"/>
  <c r="O779" i="1" s="1"/>
  <c r="K779" i="1"/>
  <c r="J779" i="1"/>
  <c r="G779" i="1"/>
  <c r="F779" i="1"/>
  <c r="M780" i="1"/>
  <c r="O780" i="1" s="1"/>
  <c r="K780" i="1"/>
  <c r="J780" i="1"/>
  <c r="F780" i="1"/>
  <c r="G780" i="1" s="1"/>
  <c r="M781" i="1"/>
  <c r="O781" i="1" s="1"/>
  <c r="K781" i="1"/>
  <c r="J781" i="1"/>
  <c r="G781" i="1"/>
  <c r="F781" i="1"/>
  <c r="M782" i="1"/>
  <c r="O782" i="1" s="1"/>
  <c r="K782" i="1"/>
  <c r="J782" i="1"/>
  <c r="G782" i="1"/>
  <c r="F782" i="1"/>
  <c r="M783" i="1"/>
  <c r="O783" i="1" s="1"/>
  <c r="K783" i="1"/>
  <c r="J783" i="1"/>
  <c r="G783" i="1"/>
  <c r="F783" i="1"/>
  <c r="M784" i="1"/>
  <c r="O784" i="1" s="1"/>
  <c r="K784" i="1"/>
  <c r="J784" i="1"/>
  <c r="G784" i="1"/>
  <c r="F784" i="1"/>
  <c r="M785" i="1"/>
  <c r="O785" i="1" s="1"/>
  <c r="K785" i="1"/>
  <c r="J785" i="1"/>
  <c r="G785" i="1"/>
  <c r="F785" i="1"/>
  <c r="M786" i="1"/>
  <c r="O786" i="1" s="1"/>
  <c r="K786" i="1"/>
  <c r="J786" i="1"/>
  <c r="G786" i="1"/>
  <c r="F786" i="1"/>
  <c r="M788" i="1"/>
  <c r="O788" i="1" s="1"/>
  <c r="K788" i="1"/>
  <c r="J788" i="1"/>
  <c r="G788" i="1"/>
  <c r="F788" i="1"/>
  <c r="M789" i="1"/>
  <c r="O789" i="1" s="1"/>
  <c r="K789" i="1"/>
  <c r="J789" i="1"/>
  <c r="G789" i="1"/>
  <c r="F789" i="1"/>
  <c r="M790" i="1"/>
  <c r="O790" i="1" s="1"/>
  <c r="K790" i="1"/>
  <c r="J790" i="1"/>
  <c r="G790" i="1"/>
  <c r="F790" i="1"/>
  <c r="M791" i="1"/>
  <c r="O791" i="1" s="1"/>
  <c r="K791" i="1"/>
  <c r="J791" i="1"/>
  <c r="F791" i="1"/>
  <c r="G791" i="1" s="1"/>
  <c r="M792" i="1"/>
  <c r="O792" i="1" s="1"/>
  <c r="K792" i="1"/>
  <c r="J792" i="1"/>
  <c r="G792" i="1"/>
  <c r="F792" i="1"/>
  <c r="M793" i="1"/>
  <c r="O793" i="1" s="1"/>
  <c r="K793" i="1"/>
  <c r="J793" i="1"/>
  <c r="F793" i="1"/>
  <c r="G793" i="1" s="1"/>
  <c r="M794" i="1"/>
  <c r="O794" i="1" s="1"/>
  <c r="K794" i="1"/>
  <c r="J794" i="1"/>
  <c r="G794" i="1"/>
  <c r="F794" i="1"/>
  <c r="M795" i="1"/>
  <c r="O795" i="1" s="1"/>
  <c r="K795" i="1"/>
  <c r="J795" i="1"/>
  <c r="F795" i="1"/>
  <c r="G795" i="1" s="1"/>
  <c r="M796" i="1"/>
  <c r="O796" i="1" s="1"/>
  <c r="K796" i="1"/>
  <c r="J796" i="1"/>
  <c r="F796" i="1"/>
  <c r="G796" i="1" s="1"/>
  <c r="O797" i="1"/>
  <c r="M797" i="1"/>
  <c r="N797" i="1" s="1"/>
  <c r="K797" i="1"/>
  <c r="J797" i="1"/>
  <c r="G797" i="1"/>
  <c r="F797" i="1"/>
  <c r="M798" i="1"/>
  <c r="O798" i="1" s="1"/>
  <c r="K798" i="1"/>
  <c r="J798" i="1"/>
  <c r="G798" i="1"/>
  <c r="F798" i="1"/>
  <c r="O799" i="1"/>
  <c r="M799" i="1"/>
  <c r="N799" i="1" s="1"/>
  <c r="K799" i="1"/>
  <c r="J799" i="1"/>
  <c r="G799" i="1"/>
  <c r="F799" i="1"/>
  <c r="M801" i="1"/>
  <c r="O801" i="1" s="1"/>
  <c r="K801" i="1"/>
  <c r="J801" i="1"/>
  <c r="G801" i="1"/>
  <c r="F801" i="1"/>
  <c r="F813" i="1" s="1"/>
  <c r="M802" i="1"/>
  <c r="N802" i="1" s="1"/>
  <c r="K802" i="1"/>
  <c r="J802" i="1"/>
  <c r="G802" i="1"/>
  <c r="F802" i="1"/>
  <c r="O803" i="1"/>
  <c r="M803" i="1"/>
  <c r="N803" i="1" s="1"/>
  <c r="K803" i="1"/>
  <c r="J803" i="1"/>
  <c r="G803" i="1"/>
  <c r="F803" i="1"/>
  <c r="M804" i="1"/>
  <c r="O804" i="1" s="1"/>
  <c r="K804" i="1"/>
  <c r="J804" i="1"/>
  <c r="G804" i="1"/>
  <c r="F804" i="1"/>
  <c r="O805" i="1"/>
  <c r="M805" i="1"/>
  <c r="N805" i="1" s="1"/>
  <c r="K805" i="1"/>
  <c r="J805" i="1"/>
  <c r="G805" i="1"/>
  <c r="F805" i="1"/>
  <c r="M806" i="1"/>
  <c r="O806" i="1" s="1"/>
  <c r="K806" i="1"/>
  <c r="J806" i="1"/>
  <c r="G806" i="1"/>
  <c r="F806" i="1"/>
  <c r="O807" i="1"/>
  <c r="M807" i="1"/>
  <c r="N807" i="1" s="1"/>
  <c r="K807" i="1"/>
  <c r="J807" i="1"/>
  <c r="G807" i="1"/>
  <c r="F807" i="1"/>
  <c r="M808" i="1"/>
  <c r="O808" i="1" s="1"/>
  <c r="K808" i="1"/>
  <c r="J808" i="1"/>
  <c r="G808" i="1"/>
  <c r="F808" i="1"/>
  <c r="O809" i="1"/>
  <c r="M809" i="1"/>
  <c r="N809" i="1" s="1"/>
  <c r="K809" i="1"/>
  <c r="J809" i="1"/>
  <c r="G809" i="1"/>
  <c r="F809" i="1"/>
  <c r="O810" i="1"/>
  <c r="M810" i="1"/>
  <c r="N810" i="1" s="1"/>
  <c r="K810" i="1"/>
  <c r="J810" i="1"/>
  <c r="G810" i="1"/>
  <c r="F810" i="1"/>
  <c r="M811" i="1"/>
  <c r="O811" i="1" s="1"/>
  <c r="K811" i="1"/>
  <c r="J811" i="1"/>
  <c r="G811" i="1"/>
  <c r="F811" i="1"/>
  <c r="O812" i="1"/>
  <c r="M812" i="1"/>
  <c r="N812" i="1" s="1"/>
  <c r="K812" i="1"/>
  <c r="J812" i="1"/>
  <c r="G812" i="1"/>
  <c r="F812" i="1"/>
  <c r="M814" i="1"/>
  <c r="O814" i="1" s="1"/>
  <c r="K814" i="1"/>
  <c r="J814" i="1"/>
  <c r="G814" i="1"/>
  <c r="F814" i="1"/>
  <c r="M815" i="1"/>
  <c r="N815" i="1" s="1"/>
  <c r="K815" i="1"/>
  <c r="J815" i="1"/>
  <c r="G815" i="1"/>
  <c r="F815" i="1"/>
  <c r="M816" i="1"/>
  <c r="O816" i="1" s="1"/>
  <c r="K816" i="1"/>
  <c r="J816" i="1"/>
  <c r="F816" i="1"/>
  <c r="G816" i="1" s="1"/>
  <c r="O817" i="1"/>
  <c r="M817" i="1"/>
  <c r="N817" i="1" s="1"/>
  <c r="K817" i="1"/>
  <c r="J817" i="1"/>
  <c r="G817" i="1"/>
  <c r="F817" i="1"/>
  <c r="M818" i="1"/>
  <c r="O818" i="1" s="1"/>
  <c r="K818" i="1"/>
  <c r="J818" i="1"/>
  <c r="G818" i="1"/>
  <c r="F818" i="1"/>
  <c r="O819" i="1"/>
  <c r="M819" i="1"/>
  <c r="N819" i="1" s="1"/>
  <c r="K819" i="1"/>
  <c r="J819" i="1"/>
  <c r="G819" i="1"/>
  <c r="F819" i="1"/>
  <c r="M820" i="1"/>
  <c r="O820" i="1" s="1"/>
  <c r="K820" i="1"/>
  <c r="J820" i="1"/>
  <c r="G820" i="1"/>
  <c r="F820" i="1"/>
  <c r="O821" i="1"/>
  <c r="M821" i="1"/>
  <c r="N821" i="1" s="1"/>
  <c r="K821" i="1"/>
  <c r="J821" i="1"/>
  <c r="G821" i="1"/>
  <c r="F821" i="1"/>
  <c r="M822" i="1"/>
  <c r="O822" i="1" s="1"/>
  <c r="K822" i="1"/>
  <c r="J822" i="1"/>
  <c r="G822" i="1"/>
  <c r="F822" i="1"/>
  <c r="O823" i="1"/>
  <c r="M823" i="1"/>
  <c r="N823" i="1" s="1"/>
  <c r="K823" i="1"/>
  <c r="J823" i="1"/>
  <c r="G823" i="1"/>
  <c r="F823" i="1"/>
  <c r="M824" i="1"/>
  <c r="O824" i="1" s="1"/>
  <c r="K824" i="1"/>
  <c r="J824" i="1"/>
  <c r="G824" i="1"/>
  <c r="F824" i="1"/>
  <c r="O825" i="1"/>
  <c r="M825" i="1"/>
  <c r="N825" i="1" s="1"/>
  <c r="K825" i="1"/>
  <c r="J825" i="1"/>
  <c r="G825" i="1"/>
  <c r="F825" i="1"/>
  <c r="M827" i="1"/>
  <c r="O827" i="1" s="1"/>
  <c r="K827" i="1"/>
  <c r="J827" i="1"/>
  <c r="G827" i="1"/>
  <c r="F827" i="1"/>
  <c r="O828" i="1"/>
  <c r="M828" i="1"/>
  <c r="N828" i="1" s="1"/>
  <c r="K828" i="1"/>
  <c r="J828" i="1"/>
  <c r="G828" i="1"/>
  <c r="F828" i="1"/>
  <c r="M829" i="1"/>
  <c r="O829" i="1" s="1"/>
  <c r="K829" i="1"/>
  <c r="J829" i="1"/>
  <c r="G829" i="1"/>
  <c r="F829" i="1"/>
  <c r="O830" i="1"/>
  <c r="M830" i="1"/>
  <c r="N830" i="1" s="1"/>
  <c r="K830" i="1"/>
  <c r="J830" i="1"/>
  <c r="G830" i="1"/>
  <c r="F830" i="1"/>
  <c r="M831" i="1"/>
  <c r="O831" i="1" s="1"/>
  <c r="K831" i="1"/>
  <c r="J831" i="1"/>
  <c r="F831" i="1"/>
  <c r="G831" i="1" s="1"/>
  <c r="O832" i="1"/>
  <c r="M832" i="1"/>
  <c r="N832" i="1" s="1"/>
  <c r="K832" i="1"/>
  <c r="J832" i="1"/>
  <c r="G832" i="1"/>
  <c r="F832" i="1"/>
  <c r="M833" i="1"/>
  <c r="O833" i="1" s="1"/>
  <c r="K833" i="1"/>
  <c r="J833" i="1"/>
  <c r="G833" i="1"/>
  <c r="F833" i="1"/>
  <c r="O834" i="1"/>
  <c r="M834" i="1"/>
  <c r="N834" i="1" s="1"/>
  <c r="K834" i="1"/>
  <c r="J834" i="1"/>
  <c r="G834" i="1"/>
  <c r="F834" i="1"/>
  <c r="M835" i="1"/>
  <c r="O835" i="1" s="1"/>
  <c r="K835" i="1"/>
  <c r="J835" i="1"/>
  <c r="F835" i="1"/>
  <c r="G835" i="1" s="1"/>
  <c r="O836" i="1"/>
  <c r="N836" i="1"/>
  <c r="M836" i="1"/>
  <c r="K836" i="1"/>
  <c r="J836" i="1"/>
  <c r="G836" i="1"/>
  <c r="F836" i="1"/>
  <c r="M837" i="1"/>
  <c r="O837" i="1" s="1"/>
  <c r="K837" i="1"/>
  <c r="J837" i="1"/>
  <c r="G837" i="1"/>
  <c r="F837" i="1"/>
  <c r="O838" i="1"/>
  <c r="M838" i="1"/>
  <c r="N838" i="1" s="1"/>
  <c r="K838" i="1"/>
  <c r="J838" i="1"/>
  <c r="G838" i="1"/>
  <c r="F838" i="1"/>
  <c r="M840" i="1"/>
  <c r="O840" i="1" s="1"/>
  <c r="K840" i="1"/>
  <c r="J840" i="1"/>
  <c r="G840" i="1"/>
  <c r="F840" i="1"/>
  <c r="O841" i="1"/>
  <c r="M841" i="1"/>
  <c r="N841" i="1" s="1"/>
  <c r="K841" i="1"/>
  <c r="J841" i="1"/>
  <c r="G841" i="1"/>
  <c r="F841" i="1"/>
  <c r="M842" i="1"/>
  <c r="O842" i="1" s="1"/>
  <c r="K842" i="1"/>
  <c r="J842" i="1"/>
  <c r="G842" i="1"/>
  <c r="F842" i="1"/>
  <c r="O843" i="1"/>
  <c r="M843" i="1"/>
  <c r="N843" i="1" s="1"/>
  <c r="K843" i="1"/>
  <c r="J843" i="1"/>
  <c r="G843" i="1"/>
  <c r="F843" i="1"/>
  <c r="O844" i="1"/>
  <c r="M844" i="1"/>
  <c r="N844" i="1" s="1"/>
  <c r="K844" i="1"/>
  <c r="J844" i="1"/>
  <c r="G844" i="1"/>
  <c r="F844" i="1"/>
  <c r="O845" i="1"/>
  <c r="M845" i="1"/>
  <c r="N845" i="1" s="1"/>
  <c r="K845" i="1"/>
  <c r="J845" i="1"/>
  <c r="G845" i="1"/>
  <c r="F845" i="1"/>
  <c r="M846" i="1"/>
  <c r="O846" i="1" s="1"/>
  <c r="K846" i="1"/>
  <c r="J846" i="1"/>
  <c r="G846" i="1"/>
  <c r="F846" i="1"/>
  <c r="O847" i="1"/>
  <c r="M847" i="1"/>
  <c r="N847" i="1" s="1"/>
  <c r="K847" i="1"/>
  <c r="J847" i="1"/>
  <c r="G847" i="1"/>
  <c r="F847" i="1"/>
  <c r="O848" i="1"/>
  <c r="M848" i="1"/>
  <c r="N848" i="1" s="1"/>
  <c r="K848" i="1"/>
  <c r="J848" i="1"/>
  <c r="G848" i="1"/>
  <c r="F848" i="1"/>
  <c r="M849" i="1"/>
  <c r="O849" i="1" s="1"/>
  <c r="K849" i="1"/>
  <c r="J849" i="1"/>
  <c r="G849" i="1"/>
  <c r="F849" i="1"/>
  <c r="O850" i="1"/>
  <c r="M850" i="1"/>
  <c r="N850" i="1" s="1"/>
  <c r="K850" i="1"/>
  <c r="J850" i="1"/>
  <c r="G850" i="1"/>
  <c r="F850" i="1"/>
  <c r="M851" i="1"/>
  <c r="O851" i="1" s="1"/>
  <c r="K851" i="1"/>
  <c r="J851" i="1"/>
  <c r="G851" i="1"/>
  <c r="F851" i="1"/>
  <c r="O853" i="1"/>
  <c r="M853" i="1"/>
  <c r="N853" i="1" s="1"/>
  <c r="K853" i="1"/>
  <c r="J853" i="1"/>
  <c r="G853" i="1"/>
  <c r="F853" i="1"/>
  <c r="F865" i="1" s="1"/>
  <c r="M854" i="1"/>
  <c r="O854" i="1" s="1"/>
  <c r="K854" i="1"/>
  <c r="J854" i="1"/>
  <c r="G854" i="1"/>
  <c r="F854" i="1"/>
  <c r="O855" i="1"/>
  <c r="N855" i="1"/>
  <c r="M855" i="1"/>
  <c r="K855" i="1"/>
  <c r="J855" i="1"/>
  <c r="G855" i="1"/>
  <c r="F855" i="1"/>
  <c r="M856" i="1"/>
  <c r="O856" i="1" s="1"/>
  <c r="K856" i="1"/>
  <c r="J856" i="1"/>
  <c r="G856" i="1"/>
  <c r="F856" i="1"/>
  <c r="O857" i="1"/>
  <c r="N857" i="1"/>
  <c r="M857" i="1"/>
  <c r="K857" i="1"/>
  <c r="J857" i="1"/>
  <c r="G857" i="1"/>
  <c r="F857" i="1"/>
  <c r="M858" i="1"/>
  <c r="O858" i="1" s="1"/>
  <c r="K858" i="1"/>
  <c r="J858" i="1"/>
  <c r="G858" i="1"/>
  <c r="F858" i="1"/>
  <c r="O859" i="1"/>
  <c r="M859" i="1"/>
  <c r="N859" i="1" s="1"/>
  <c r="K859" i="1"/>
  <c r="J859" i="1"/>
  <c r="G859" i="1"/>
  <c r="F859" i="1"/>
  <c r="M860" i="1"/>
  <c r="O860" i="1" s="1"/>
  <c r="K860" i="1"/>
  <c r="J860" i="1"/>
  <c r="G860" i="1"/>
  <c r="F860" i="1"/>
  <c r="O861" i="1"/>
  <c r="M861" i="1"/>
  <c r="N861" i="1" s="1"/>
  <c r="K861" i="1"/>
  <c r="J861" i="1"/>
  <c r="G861" i="1"/>
  <c r="F861" i="1"/>
  <c r="M862" i="1"/>
  <c r="O862" i="1" s="1"/>
  <c r="K862" i="1"/>
  <c r="J862" i="1"/>
  <c r="G862" i="1"/>
  <c r="F862" i="1"/>
  <c r="O863" i="1"/>
  <c r="M863" i="1"/>
  <c r="N863" i="1" s="1"/>
  <c r="K863" i="1"/>
  <c r="J863" i="1"/>
  <c r="G863" i="1"/>
  <c r="F863" i="1"/>
  <c r="O864" i="1"/>
  <c r="M864" i="1"/>
  <c r="N864" i="1" s="1"/>
  <c r="K864" i="1"/>
  <c r="J864" i="1"/>
  <c r="G864" i="1"/>
  <c r="F864" i="1"/>
  <c r="O866" i="1"/>
  <c r="M866" i="1"/>
  <c r="N866" i="1" s="1"/>
  <c r="K866" i="1"/>
  <c r="J866" i="1"/>
  <c r="G866" i="1"/>
  <c r="F866" i="1"/>
  <c r="M867" i="1"/>
  <c r="O867" i="1" s="1"/>
  <c r="K867" i="1"/>
  <c r="J867" i="1"/>
  <c r="G867" i="1"/>
  <c r="F867" i="1"/>
  <c r="O868" i="1"/>
  <c r="M868" i="1"/>
  <c r="N868" i="1" s="1"/>
  <c r="K868" i="1"/>
  <c r="J868" i="1"/>
  <c r="G868" i="1"/>
  <c r="F868" i="1"/>
  <c r="M869" i="1"/>
  <c r="O869" i="1" s="1"/>
  <c r="K869" i="1"/>
  <c r="J869" i="1"/>
  <c r="G869" i="1"/>
  <c r="F869" i="1"/>
  <c r="O870" i="1"/>
  <c r="M870" i="1"/>
  <c r="N870" i="1" s="1"/>
  <c r="K870" i="1"/>
  <c r="J870" i="1"/>
  <c r="G870" i="1"/>
  <c r="F870" i="1"/>
  <c r="M871" i="1"/>
  <c r="O871" i="1" s="1"/>
  <c r="K871" i="1"/>
  <c r="J871" i="1"/>
  <c r="F871" i="1"/>
  <c r="G871" i="1" s="1"/>
  <c r="O872" i="1"/>
  <c r="M872" i="1"/>
  <c r="N872" i="1" s="1"/>
  <c r="K872" i="1"/>
  <c r="J872" i="1"/>
  <c r="G872" i="1"/>
  <c r="F872" i="1"/>
  <c r="M873" i="1"/>
  <c r="O873" i="1" s="1"/>
  <c r="K873" i="1"/>
  <c r="J873" i="1"/>
  <c r="G873" i="1"/>
  <c r="F873" i="1"/>
  <c r="O874" i="1"/>
  <c r="M874" i="1"/>
  <c r="N874" i="1" s="1"/>
  <c r="K874" i="1"/>
  <c r="J874" i="1"/>
  <c r="G874" i="1"/>
  <c r="F874" i="1"/>
  <c r="M875" i="1"/>
  <c r="O875" i="1" s="1"/>
  <c r="K875" i="1"/>
  <c r="J875" i="1"/>
  <c r="F875" i="1"/>
  <c r="G875" i="1" s="1"/>
  <c r="O876" i="1"/>
  <c r="M876" i="1"/>
  <c r="N876" i="1" s="1"/>
  <c r="K876" i="1"/>
  <c r="J876" i="1"/>
  <c r="G876" i="1"/>
  <c r="F876" i="1"/>
  <c r="M877" i="1"/>
  <c r="O877" i="1" s="1"/>
  <c r="K877" i="1"/>
  <c r="J877" i="1"/>
  <c r="G877" i="1"/>
  <c r="F877" i="1"/>
  <c r="O879" i="1"/>
  <c r="M879" i="1"/>
  <c r="N879" i="1" s="1"/>
  <c r="K879" i="1"/>
  <c r="J879" i="1"/>
  <c r="G879" i="1"/>
  <c r="F879" i="1"/>
  <c r="O880" i="1"/>
  <c r="M880" i="1"/>
  <c r="N880" i="1" s="1"/>
  <c r="K880" i="1"/>
  <c r="J880" i="1"/>
  <c r="G880" i="1"/>
  <c r="F880" i="1"/>
  <c r="M881" i="1"/>
  <c r="O881" i="1" s="1"/>
  <c r="K881" i="1"/>
  <c r="J881" i="1"/>
  <c r="F881" i="1"/>
  <c r="G881" i="1" s="1"/>
  <c r="O882" i="1"/>
  <c r="M882" i="1"/>
  <c r="N882" i="1" s="1"/>
  <c r="K882" i="1"/>
  <c r="J882" i="1"/>
  <c r="G882" i="1"/>
  <c r="F882" i="1"/>
  <c r="M883" i="1"/>
  <c r="O883" i="1" s="1"/>
  <c r="K883" i="1"/>
  <c r="J883" i="1"/>
  <c r="G883" i="1"/>
  <c r="F883" i="1"/>
  <c r="O884" i="1"/>
  <c r="M884" i="1"/>
  <c r="N884" i="1" s="1"/>
  <c r="K884" i="1"/>
  <c r="J884" i="1"/>
  <c r="G884" i="1"/>
  <c r="F884" i="1"/>
  <c r="M885" i="1"/>
  <c r="O885" i="1" s="1"/>
  <c r="K885" i="1"/>
  <c r="J885" i="1"/>
  <c r="F885" i="1"/>
  <c r="G885" i="1" s="1"/>
  <c r="O886" i="1"/>
  <c r="M886" i="1"/>
  <c r="N886" i="1" s="1"/>
  <c r="K886" i="1"/>
  <c r="J886" i="1"/>
  <c r="G886" i="1"/>
  <c r="F886" i="1"/>
  <c r="M887" i="1"/>
  <c r="O887" i="1" s="1"/>
  <c r="K887" i="1"/>
  <c r="J887" i="1"/>
  <c r="G887" i="1"/>
  <c r="F887" i="1"/>
  <c r="O888" i="1"/>
  <c r="M888" i="1"/>
  <c r="N888" i="1" s="1"/>
  <c r="K888" i="1"/>
  <c r="J888" i="1"/>
  <c r="G888" i="1"/>
  <c r="F888" i="1"/>
  <c r="M889" i="1"/>
  <c r="O889" i="1" s="1"/>
  <c r="K889" i="1"/>
  <c r="J889" i="1"/>
  <c r="G889" i="1"/>
  <c r="F889" i="1"/>
  <c r="O890" i="1"/>
  <c r="M890" i="1"/>
  <c r="N890" i="1" s="1"/>
  <c r="K890" i="1"/>
  <c r="J890" i="1"/>
  <c r="G890" i="1"/>
  <c r="F890" i="1"/>
  <c r="M892" i="1"/>
  <c r="O892" i="1" s="1"/>
  <c r="K892" i="1"/>
  <c r="J892" i="1"/>
  <c r="G892" i="1"/>
  <c r="F892" i="1"/>
  <c r="M893" i="1"/>
  <c r="O893" i="1" s="1"/>
  <c r="K893" i="1"/>
  <c r="J893" i="1"/>
  <c r="F893" i="1"/>
  <c r="G893" i="1" s="1"/>
  <c r="M894" i="1"/>
  <c r="O894" i="1" s="1"/>
  <c r="K894" i="1"/>
  <c r="J894" i="1"/>
  <c r="F894" i="1"/>
  <c r="G894" i="1" s="1"/>
  <c r="O895" i="1"/>
  <c r="M895" i="1"/>
  <c r="N895" i="1" s="1"/>
  <c r="K895" i="1"/>
  <c r="J895" i="1"/>
  <c r="G895" i="1"/>
  <c r="F895" i="1"/>
  <c r="M896" i="1"/>
  <c r="O896" i="1" s="1"/>
  <c r="K896" i="1"/>
  <c r="J896" i="1"/>
  <c r="F896" i="1"/>
  <c r="G896" i="1" s="1"/>
  <c r="O897" i="1"/>
  <c r="M897" i="1"/>
  <c r="N897" i="1" s="1"/>
  <c r="K897" i="1"/>
  <c r="J897" i="1"/>
  <c r="G897" i="1"/>
  <c r="F897" i="1"/>
  <c r="O898" i="1"/>
  <c r="M898" i="1"/>
  <c r="N898" i="1" s="1"/>
  <c r="K898" i="1"/>
  <c r="J898" i="1"/>
  <c r="G898" i="1"/>
  <c r="F898" i="1"/>
  <c r="M899" i="1"/>
  <c r="O899" i="1" s="1"/>
  <c r="K899" i="1"/>
  <c r="J899" i="1"/>
  <c r="G899" i="1"/>
  <c r="F899" i="1"/>
  <c r="O900" i="1"/>
  <c r="M900" i="1"/>
  <c r="N900" i="1" s="1"/>
  <c r="K900" i="1"/>
  <c r="J900" i="1"/>
  <c r="G900" i="1"/>
  <c r="F900" i="1"/>
  <c r="M901" i="1"/>
  <c r="O901" i="1" s="1"/>
  <c r="K901" i="1"/>
  <c r="J901" i="1"/>
  <c r="F901" i="1"/>
  <c r="G901" i="1" s="1"/>
  <c r="O902" i="1"/>
  <c r="M902" i="1"/>
  <c r="N902" i="1" s="1"/>
  <c r="K902" i="1"/>
  <c r="J902" i="1"/>
  <c r="G902" i="1"/>
  <c r="F902" i="1"/>
  <c r="M903" i="1"/>
  <c r="O903" i="1" s="1"/>
  <c r="K903" i="1"/>
  <c r="J903" i="1"/>
  <c r="G903" i="1"/>
  <c r="F903" i="1"/>
  <c r="O905" i="1"/>
  <c r="M905" i="1"/>
  <c r="N905" i="1" s="1"/>
  <c r="K905" i="1"/>
  <c r="J905" i="1"/>
  <c r="G905" i="1"/>
  <c r="F905" i="1"/>
  <c r="M906" i="1"/>
  <c r="O906" i="1" s="1"/>
  <c r="K906" i="1"/>
  <c r="J906" i="1"/>
  <c r="G906" i="1"/>
  <c r="F906" i="1"/>
  <c r="O907" i="1"/>
  <c r="M907" i="1"/>
  <c r="N907" i="1" s="1"/>
  <c r="K907" i="1"/>
  <c r="J907" i="1"/>
  <c r="G907" i="1"/>
  <c r="F907" i="1"/>
  <c r="M908" i="1"/>
  <c r="O908" i="1" s="1"/>
  <c r="K908" i="1"/>
  <c r="J908" i="1"/>
  <c r="G908" i="1"/>
  <c r="F908" i="1"/>
  <c r="O909" i="1"/>
  <c r="M909" i="1"/>
  <c r="N909" i="1" s="1"/>
  <c r="K909" i="1"/>
  <c r="J909" i="1"/>
  <c r="G909" i="1"/>
  <c r="F909" i="1"/>
  <c r="M910" i="1"/>
  <c r="O910" i="1" s="1"/>
  <c r="K910" i="1"/>
  <c r="J910" i="1"/>
  <c r="G910" i="1"/>
  <c r="F910" i="1"/>
  <c r="O911" i="1"/>
  <c r="M911" i="1"/>
  <c r="N911" i="1" s="1"/>
  <c r="K911" i="1"/>
  <c r="J911" i="1"/>
  <c r="G911" i="1"/>
  <c r="F911" i="1"/>
  <c r="M912" i="1"/>
  <c r="O912" i="1" s="1"/>
  <c r="K912" i="1"/>
  <c r="J912" i="1"/>
  <c r="G912" i="1"/>
  <c r="F912" i="1"/>
  <c r="O913" i="1"/>
  <c r="M913" i="1"/>
  <c r="N913" i="1" s="1"/>
  <c r="K913" i="1"/>
  <c r="J913" i="1"/>
  <c r="G913" i="1"/>
  <c r="F913" i="1"/>
  <c r="O914" i="1"/>
  <c r="M914" i="1"/>
  <c r="N914" i="1" s="1"/>
  <c r="K914" i="1"/>
  <c r="J914" i="1"/>
  <c r="G914" i="1"/>
  <c r="F914" i="1"/>
  <c r="M915" i="1"/>
  <c r="O915" i="1" s="1"/>
  <c r="K915" i="1"/>
  <c r="J915" i="1"/>
  <c r="G915" i="1"/>
  <c r="F915" i="1"/>
  <c r="O916" i="1"/>
  <c r="M916" i="1"/>
  <c r="N916" i="1" s="1"/>
  <c r="K916" i="1"/>
  <c r="J916" i="1"/>
  <c r="G916" i="1"/>
  <c r="F916" i="1"/>
  <c r="O918" i="1"/>
  <c r="M918" i="1"/>
  <c r="N918" i="1" s="1"/>
  <c r="K918" i="1"/>
  <c r="J918" i="1"/>
  <c r="G918" i="1"/>
  <c r="F918" i="1"/>
  <c r="O919" i="1"/>
  <c r="M919" i="1"/>
  <c r="N919" i="1" s="1"/>
  <c r="K919" i="1"/>
  <c r="J919" i="1"/>
  <c r="G919" i="1"/>
  <c r="F919" i="1"/>
  <c r="M920" i="1"/>
  <c r="O920" i="1" s="1"/>
  <c r="K920" i="1"/>
  <c r="J920" i="1"/>
  <c r="F920" i="1"/>
  <c r="G920" i="1" s="1"/>
  <c r="O921" i="1"/>
  <c r="M921" i="1"/>
  <c r="N921" i="1" s="1"/>
  <c r="K921" i="1"/>
  <c r="J921" i="1"/>
  <c r="G921" i="1"/>
  <c r="F921" i="1"/>
  <c r="M922" i="1"/>
  <c r="O922" i="1" s="1"/>
  <c r="K922" i="1"/>
  <c r="J922" i="1"/>
  <c r="G922" i="1"/>
  <c r="F922" i="1"/>
  <c r="O923" i="1"/>
  <c r="M923" i="1"/>
  <c r="N923" i="1" s="1"/>
  <c r="K923" i="1"/>
  <c r="J923" i="1"/>
  <c r="G923" i="1"/>
  <c r="F923" i="1"/>
  <c r="M924" i="1"/>
  <c r="O924" i="1" s="1"/>
  <c r="K924" i="1"/>
  <c r="J924" i="1"/>
  <c r="F924" i="1"/>
  <c r="G924" i="1" s="1"/>
  <c r="O925" i="1"/>
  <c r="M925" i="1"/>
  <c r="N925" i="1" s="1"/>
  <c r="K925" i="1"/>
  <c r="J925" i="1"/>
  <c r="G925" i="1"/>
  <c r="F925" i="1"/>
  <c r="M926" i="1"/>
  <c r="O926" i="1" s="1"/>
  <c r="K926" i="1"/>
  <c r="J926" i="1"/>
  <c r="F926" i="1"/>
  <c r="G926" i="1" s="1"/>
  <c r="O927" i="1"/>
  <c r="M927" i="1"/>
  <c r="N927" i="1" s="1"/>
  <c r="K927" i="1"/>
  <c r="J927" i="1"/>
  <c r="G927" i="1"/>
  <c r="F927" i="1"/>
  <c r="M928" i="1"/>
  <c r="O928" i="1" s="1"/>
  <c r="K928" i="1"/>
  <c r="J928" i="1"/>
  <c r="F928" i="1"/>
  <c r="G928" i="1" s="1"/>
  <c r="O929" i="1"/>
  <c r="M929" i="1"/>
  <c r="N929" i="1" s="1"/>
  <c r="K929" i="1"/>
  <c r="J929" i="1"/>
  <c r="G929" i="1"/>
  <c r="F929" i="1"/>
  <c r="O931" i="1"/>
  <c r="M931" i="1"/>
  <c r="N931" i="1" s="1"/>
  <c r="K931" i="1"/>
  <c r="J931" i="1"/>
  <c r="G931" i="1"/>
  <c r="F931" i="1"/>
  <c r="M932" i="1"/>
  <c r="O932" i="1" s="1"/>
  <c r="K932" i="1"/>
  <c r="J932" i="1"/>
  <c r="F932" i="1"/>
  <c r="G932" i="1" s="1"/>
  <c r="O933" i="1"/>
  <c r="M933" i="1"/>
  <c r="N933" i="1" s="1"/>
  <c r="K933" i="1"/>
  <c r="J933" i="1"/>
  <c r="G933" i="1"/>
  <c r="F933" i="1"/>
  <c r="M934" i="1"/>
  <c r="O934" i="1" s="1"/>
  <c r="K934" i="1"/>
  <c r="J934" i="1"/>
  <c r="G934" i="1"/>
  <c r="F934" i="1"/>
  <c r="O935" i="1"/>
  <c r="M935" i="1"/>
  <c r="N935" i="1" s="1"/>
  <c r="K935" i="1"/>
  <c r="J935" i="1"/>
  <c r="G935" i="1"/>
  <c r="F935" i="1"/>
  <c r="M936" i="1"/>
  <c r="O936" i="1" s="1"/>
  <c r="K936" i="1"/>
  <c r="J936" i="1"/>
  <c r="G936" i="1"/>
  <c r="F936" i="1"/>
  <c r="O937" i="1"/>
  <c r="M937" i="1"/>
  <c r="N937" i="1" s="1"/>
  <c r="K937" i="1"/>
  <c r="J937" i="1"/>
  <c r="G937" i="1"/>
  <c r="F937" i="1"/>
  <c r="M938" i="1"/>
  <c r="O938" i="1" s="1"/>
  <c r="K938" i="1"/>
  <c r="J938" i="1"/>
  <c r="F938" i="1"/>
  <c r="G938" i="1" s="1"/>
  <c r="O939" i="1"/>
  <c r="M939" i="1"/>
  <c r="N939" i="1" s="1"/>
  <c r="K939" i="1"/>
  <c r="J939" i="1"/>
  <c r="G939" i="1"/>
  <c r="F939" i="1"/>
  <c r="M940" i="1"/>
  <c r="O940" i="1" s="1"/>
  <c r="K940" i="1"/>
  <c r="J940" i="1"/>
  <c r="F940" i="1"/>
  <c r="G940" i="1" s="1"/>
  <c r="O941" i="1"/>
  <c r="M941" i="1"/>
  <c r="N941" i="1" s="1"/>
  <c r="K941" i="1"/>
  <c r="J941" i="1"/>
  <c r="G941" i="1"/>
  <c r="F941" i="1"/>
  <c r="M942" i="1"/>
  <c r="O942" i="1" s="1"/>
  <c r="K942" i="1"/>
  <c r="J942" i="1"/>
  <c r="G942" i="1"/>
  <c r="F942" i="1"/>
  <c r="O944" i="1"/>
  <c r="M944" i="1"/>
  <c r="N944" i="1" s="1"/>
  <c r="K944" i="1"/>
  <c r="J944" i="1"/>
  <c r="G944" i="1"/>
  <c r="F944" i="1"/>
  <c r="M945" i="1"/>
  <c r="O945" i="1" s="1"/>
  <c r="K945" i="1"/>
  <c r="J945" i="1"/>
  <c r="G945" i="1"/>
  <c r="F945" i="1"/>
  <c r="O946" i="1"/>
  <c r="M946" i="1"/>
  <c r="N946" i="1" s="1"/>
  <c r="K946" i="1"/>
  <c r="J946" i="1"/>
  <c r="G946" i="1"/>
  <c r="F946" i="1"/>
  <c r="M947" i="1"/>
  <c r="O947" i="1" s="1"/>
  <c r="K947" i="1"/>
  <c r="J947" i="1"/>
  <c r="G947" i="1"/>
  <c r="F947" i="1"/>
  <c r="O948" i="1"/>
  <c r="M948" i="1"/>
  <c r="N948" i="1" s="1"/>
  <c r="K948" i="1"/>
  <c r="J948" i="1"/>
  <c r="G948" i="1"/>
  <c r="F948" i="1"/>
  <c r="M949" i="1"/>
  <c r="O949" i="1" s="1"/>
  <c r="K949" i="1"/>
  <c r="J949" i="1"/>
  <c r="G949" i="1"/>
  <c r="F949" i="1"/>
  <c r="O950" i="1"/>
  <c r="M950" i="1"/>
  <c r="N950" i="1" s="1"/>
  <c r="K950" i="1"/>
  <c r="J950" i="1"/>
  <c r="G950" i="1"/>
  <c r="F950" i="1"/>
  <c r="M951" i="1"/>
  <c r="O951" i="1" s="1"/>
  <c r="K951" i="1"/>
  <c r="J951" i="1"/>
  <c r="G951" i="1"/>
  <c r="F951" i="1"/>
  <c r="O952" i="1"/>
  <c r="M952" i="1"/>
  <c r="N952" i="1" s="1"/>
  <c r="K952" i="1"/>
  <c r="J952" i="1"/>
  <c r="G952" i="1"/>
  <c r="F952" i="1"/>
  <c r="M953" i="1"/>
  <c r="O953" i="1" s="1"/>
  <c r="K953" i="1"/>
  <c r="J953" i="1"/>
  <c r="G953" i="1"/>
  <c r="F953" i="1"/>
  <c r="O954" i="1"/>
  <c r="M954" i="1"/>
  <c r="N954" i="1" s="1"/>
  <c r="K954" i="1"/>
  <c r="J954" i="1"/>
  <c r="G954" i="1"/>
  <c r="F954" i="1"/>
  <c r="M955" i="1"/>
  <c r="O955" i="1" s="1"/>
  <c r="K955" i="1"/>
  <c r="J955" i="1"/>
  <c r="G955" i="1"/>
  <c r="F955" i="1"/>
  <c r="O957" i="1"/>
  <c r="M957" i="1"/>
  <c r="N957" i="1" s="1"/>
  <c r="K957" i="1"/>
  <c r="J957" i="1"/>
  <c r="G957" i="1"/>
  <c r="F957" i="1"/>
  <c r="M958" i="1"/>
  <c r="O958" i="1" s="1"/>
  <c r="K958" i="1"/>
  <c r="J958" i="1"/>
  <c r="G958" i="1"/>
  <c r="F958" i="1"/>
  <c r="O959" i="1"/>
  <c r="M959" i="1"/>
  <c r="N959" i="1" s="1"/>
  <c r="K959" i="1"/>
  <c r="J959" i="1"/>
  <c r="G959" i="1"/>
  <c r="F959" i="1"/>
  <c r="M960" i="1"/>
  <c r="O960" i="1" s="1"/>
  <c r="K960" i="1"/>
  <c r="J960" i="1"/>
  <c r="F960" i="1"/>
  <c r="G960" i="1" s="1"/>
  <c r="O961" i="1"/>
  <c r="M961" i="1"/>
  <c r="N961" i="1" s="1"/>
  <c r="K961" i="1"/>
  <c r="J961" i="1"/>
  <c r="G961" i="1"/>
  <c r="F961" i="1"/>
  <c r="M962" i="1"/>
  <c r="O962" i="1" s="1"/>
  <c r="K962" i="1"/>
  <c r="J962" i="1"/>
  <c r="G962" i="1"/>
  <c r="F962" i="1"/>
  <c r="O963" i="1"/>
  <c r="M963" i="1"/>
  <c r="N963" i="1" s="1"/>
  <c r="K963" i="1"/>
  <c r="J963" i="1"/>
  <c r="G963" i="1"/>
  <c r="F963" i="1"/>
  <c r="M964" i="1"/>
  <c r="O964" i="1" s="1"/>
  <c r="K964" i="1"/>
  <c r="J964" i="1"/>
  <c r="G964" i="1"/>
  <c r="F964" i="1"/>
  <c r="O965" i="1"/>
  <c r="M965" i="1"/>
  <c r="N965" i="1" s="1"/>
  <c r="K965" i="1"/>
  <c r="J965" i="1"/>
  <c r="G965" i="1"/>
  <c r="F965" i="1"/>
  <c r="M966" i="1"/>
  <c r="O966" i="1" s="1"/>
  <c r="K966" i="1"/>
  <c r="J966" i="1"/>
  <c r="G966" i="1"/>
  <c r="F966" i="1"/>
  <c r="O967" i="1"/>
  <c r="M967" i="1"/>
  <c r="N967" i="1" s="1"/>
  <c r="K967" i="1"/>
  <c r="J967" i="1"/>
  <c r="G967" i="1"/>
  <c r="F967" i="1"/>
  <c r="M968" i="1"/>
  <c r="O968" i="1" s="1"/>
  <c r="K968" i="1"/>
  <c r="J968" i="1"/>
  <c r="G968" i="1"/>
  <c r="F968" i="1"/>
  <c r="M970" i="1"/>
  <c r="O970" i="1" s="1"/>
  <c r="K970" i="1"/>
  <c r="J970" i="1"/>
  <c r="F970" i="1"/>
  <c r="M971" i="1"/>
  <c r="O971" i="1" s="1"/>
  <c r="K971" i="1"/>
  <c r="J971" i="1"/>
  <c r="G971" i="1"/>
  <c r="F971" i="1"/>
  <c r="O972" i="1"/>
  <c r="M972" i="1"/>
  <c r="N972" i="1" s="1"/>
  <c r="K972" i="1"/>
  <c r="J972" i="1"/>
  <c r="G972" i="1"/>
  <c r="F972" i="1"/>
  <c r="M973" i="1"/>
  <c r="O973" i="1" s="1"/>
  <c r="K973" i="1"/>
  <c r="J973" i="1"/>
  <c r="G973" i="1"/>
  <c r="F973" i="1"/>
  <c r="O974" i="1"/>
  <c r="M974" i="1"/>
  <c r="N974" i="1" s="1"/>
  <c r="K974" i="1"/>
  <c r="J974" i="1"/>
  <c r="G974" i="1"/>
  <c r="F974" i="1"/>
  <c r="M975" i="1"/>
  <c r="O975" i="1" s="1"/>
  <c r="K975" i="1"/>
  <c r="J975" i="1"/>
  <c r="G975" i="1"/>
  <c r="F975" i="1"/>
  <c r="O976" i="1"/>
  <c r="M976" i="1"/>
  <c r="N976" i="1" s="1"/>
  <c r="K976" i="1"/>
  <c r="J976" i="1"/>
  <c r="G976" i="1"/>
  <c r="F976" i="1"/>
  <c r="M977" i="1"/>
  <c r="O977" i="1" s="1"/>
  <c r="K977" i="1"/>
  <c r="J977" i="1"/>
  <c r="G977" i="1"/>
  <c r="F977" i="1"/>
  <c r="O978" i="1"/>
  <c r="M978" i="1"/>
  <c r="N978" i="1" s="1"/>
  <c r="K978" i="1"/>
  <c r="J978" i="1"/>
  <c r="G978" i="1"/>
  <c r="F978" i="1"/>
  <c r="M979" i="1"/>
  <c r="O979" i="1" s="1"/>
  <c r="K979" i="1"/>
  <c r="J979" i="1"/>
  <c r="G979" i="1"/>
  <c r="F979" i="1"/>
  <c r="O980" i="1"/>
  <c r="M980" i="1"/>
  <c r="N980" i="1" s="1"/>
  <c r="K980" i="1"/>
  <c r="J980" i="1"/>
  <c r="G980" i="1"/>
  <c r="F980" i="1"/>
  <c r="M981" i="1"/>
  <c r="O981" i="1" s="1"/>
  <c r="K981" i="1"/>
  <c r="J981" i="1"/>
  <c r="G981" i="1"/>
  <c r="F981" i="1"/>
  <c r="O983" i="1"/>
  <c r="M983" i="1"/>
  <c r="N983" i="1" s="1"/>
  <c r="K983" i="1"/>
  <c r="J983" i="1"/>
  <c r="G983" i="1"/>
  <c r="F983" i="1"/>
  <c r="M984" i="1"/>
  <c r="O984" i="1" s="1"/>
  <c r="K984" i="1"/>
  <c r="J984" i="1"/>
  <c r="G984" i="1"/>
  <c r="F984" i="1"/>
  <c r="O985" i="1"/>
  <c r="M985" i="1"/>
  <c r="N985" i="1" s="1"/>
  <c r="K985" i="1"/>
  <c r="J985" i="1"/>
  <c r="G985" i="1"/>
  <c r="F985" i="1"/>
  <c r="M986" i="1"/>
  <c r="O986" i="1" s="1"/>
  <c r="K986" i="1"/>
  <c r="J986" i="1"/>
  <c r="G986" i="1"/>
  <c r="F986" i="1"/>
  <c r="O987" i="1"/>
  <c r="M987" i="1"/>
  <c r="N987" i="1" s="1"/>
  <c r="K987" i="1"/>
  <c r="J987" i="1"/>
  <c r="G987" i="1"/>
  <c r="F987" i="1"/>
  <c r="M988" i="1"/>
  <c r="O988" i="1" s="1"/>
  <c r="K988" i="1"/>
  <c r="J988" i="1"/>
  <c r="G988" i="1"/>
  <c r="F988" i="1"/>
  <c r="O989" i="1"/>
  <c r="M989" i="1"/>
  <c r="N989" i="1" s="1"/>
  <c r="K989" i="1"/>
  <c r="J989" i="1"/>
  <c r="G989" i="1"/>
  <c r="F989" i="1"/>
  <c r="M990" i="1"/>
  <c r="O990" i="1" s="1"/>
  <c r="K990" i="1"/>
  <c r="J990" i="1"/>
  <c r="G990" i="1"/>
  <c r="F990" i="1"/>
  <c r="O991" i="1"/>
  <c r="M991" i="1"/>
  <c r="N991" i="1" s="1"/>
  <c r="K991" i="1"/>
  <c r="J991" i="1"/>
  <c r="G991" i="1"/>
  <c r="F991" i="1"/>
  <c r="M992" i="1"/>
  <c r="O992" i="1" s="1"/>
  <c r="K992" i="1"/>
  <c r="J992" i="1"/>
  <c r="G992" i="1"/>
  <c r="F992" i="1"/>
  <c r="O993" i="1"/>
  <c r="M993" i="1"/>
  <c r="N993" i="1" s="1"/>
  <c r="K993" i="1"/>
  <c r="J993" i="1"/>
  <c r="G993" i="1"/>
  <c r="F993" i="1"/>
  <c r="M994" i="1"/>
  <c r="O994" i="1" s="1"/>
  <c r="K994" i="1"/>
  <c r="J994" i="1"/>
  <c r="G994" i="1"/>
  <c r="F994" i="1"/>
  <c r="O996" i="1"/>
  <c r="M996" i="1"/>
  <c r="N996" i="1" s="1"/>
  <c r="K996" i="1"/>
  <c r="J996" i="1"/>
  <c r="G996" i="1"/>
  <c r="F996" i="1"/>
  <c r="M997" i="1"/>
  <c r="O997" i="1" s="1"/>
  <c r="K997" i="1"/>
  <c r="J997" i="1"/>
  <c r="G997" i="1"/>
  <c r="F997" i="1"/>
  <c r="O998" i="1"/>
  <c r="M998" i="1"/>
  <c r="N998" i="1" s="1"/>
  <c r="K998" i="1"/>
  <c r="J998" i="1"/>
  <c r="G998" i="1"/>
  <c r="F998" i="1"/>
  <c r="M999" i="1"/>
  <c r="O999" i="1" s="1"/>
  <c r="K999" i="1"/>
  <c r="J999" i="1"/>
  <c r="F999" i="1"/>
  <c r="G999" i="1" s="1"/>
  <c r="O1000" i="1"/>
  <c r="M1000" i="1"/>
  <c r="N1000" i="1" s="1"/>
  <c r="K1000" i="1"/>
  <c r="J1000" i="1"/>
  <c r="G1000" i="1"/>
  <c r="F1000" i="1"/>
  <c r="M1001" i="1"/>
  <c r="O1001" i="1" s="1"/>
  <c r="K1001" i="1"/>
  <c r="J1001" i="1"/>
  <c r="G1001" i="1"/>
  <c r="F1001" i="1"/>
  <c r="O1002" i="1"/>
  <c r="M1002" i="1"/>
  <c r="N1002" i="1" s="1"/>
  <c r="K1002" i="1"/>
  <c r="J1002" i="1"/>
  <c r="G1002" i="1"/>
  <c r="F1002" i="1"/>
  <c r="O1003" i="1"/>
  <c r="M1003" i="1"/>
  <c r="N1003" i="1" s="1"/>
  <c r="K1003" i="1"/>
  <c r="J1003" i="1"/>
  <c r="G1003" i="1"/>
  <c r="F1003" i="1"/>
  <c r="M1004" i="1"/>
  <c r="O1004" i="1" s="1"/>
  <c r="K1004" i="1"/>
  <c r="J1004" i="1"/>
  <c r="F1004" i="1"/>
  <c r="G1004" i="1" s="1"/>
  <c r="O1005" i="1"/>
  <c r="M1005" i="1"/>
  <c r="N1005" i="1" s="1"/>
  <c r="K1005" i="1"/>
  <c r="J1005" i="1"/>
  <c r="G1005" i="1"/>
  <c r="F1005" i="1"/>
  <c r="M1006" i="1"/>
  <c r="O1006" i="1" s="1"/>
  <c r="K1006" i="1"/>
  <c r="J1006" i="1"/>
  <c r="F1006" i="1"/>
  <c r="G1006" i="1" s="1"/>
  <c r="O1007" i="1"/>
  <c r="M1007" i="1"/>
  <c r="N1007" i="1" s="1"/>
  <c r="K1007" i="1"/>
  <c r="J1007" i="1"/>
  <c r="G1007" i="1"/>
  <c r="F1007" i="1"/>
  <c r="M1009" i="1"/>
  <c r="O1009" i="1" s="1"/>
  <c r="K1009" i="1"/>
  <c r="J1009" i="1"/>
  <c r="F1009" i="1"/>
  <c r="G1009" i="1" s="1"/>
  <c r="O1010" i="1"/>
  <c r="M1010" i="1"/>
  <c r="N1010" i="1" s="1"/>
  <c r="K1010" i="1"/>
  <c r="J1010" i="1"/>
  <c r="G1010" i="1"/>
  <c r="F1010" i="1"/>
  <c r="M1011" i="1"/>
  <c r="O1011" i="1" s="1"/>
  <c r="K1011" i="1"/>
  <c r="J1011" i="1"/>
  <c r="F1011" i="1"/>
  <c r="G1011" i="1" s="1"/>
  <c r="O1012" i="1"/>
  <c r="M1012" i="1"/>
  <c r="N1012" i="1" s="1"/>
  <c r="K1012" i="1"/>
  <c r="J1012" i="1"/>
  <c r="G1012" i="1"/>
  <c r="F1012" i="1"/>
  <c r="M1013" i="1"/>
  <c r="O1013" i="1" s="1"/>
  <c r="K1013" i="1"/>
  <c r="J1013" i="1"/>
  <c r="F1013" i="1"/>
  <c r="G1013" i="1" s="1"/>
  <c r="O1014" i="1"/>
  <c r="M1014" i="1"/>
  <c r="N1014" i="1" s="1"/>
  <c r="K1014" i="1"/>
  <c r="J1014" i="1"/>
  <c r="G1014" i="1"/>
  <c r="F1014" i="1"/>
  <c r="M1015" i="1"/>
  <c r="O1015" i="1" s="1"/>
  <c r="K1015" i="1"/>
  <c r="J1015" i="1"/>
  <c r="G1015" i="1"/>
  <c r="F1015" i="1"/>
  <c r="O1016" i="1"/>
  <c r="M1016" i="1"/>
  <c r="N1016" i="1" s="1"/>
  <c r="K1016" i="1"/>
  <c r="J1016" i="1"/>
  <c r="G1016" i="1"/>
  <c r="F1016" i="1"/>
  <c r="M1017" i="1"/>
  <c r="O1017" i="1" s="1"/>
  <c r="K1017" i="1"/>
  <c r="J1017" i="1"/>
  <c r="G1017" i="1"/>
  <c r="F1017" i="1"/>
  <c r="O1018" i="1"/>
  <c r="M1018" i="1"/>
  <c r="N1018" i="1" s="1"/>
  <c r="K1018" i="1"/>
  <c r="J1018" i="1"/>
  <c r="G1018" i="1"/>
  <c r="F1018" i="1"/>
  <c r="M1019" i="1"/>
  <c r="O1019" i="1" s="1"/>
  <c r="K1019" i="1"/>
  <c r="J1019" i="1"/>
  <c r="G1019" i="1"/>
  <c r="F1019" i="1"/>
  <c r="O1020" i="1"/>
  <c r="M1020" i="1"/>
  <c r="N1020" i="1" s="1"/>
  <c r="K1020" i="1"/>
  <c r="J1020" i="1"/>
  <c r="G1020" i="1"/>
  <c r="F1020" i="1"/>
  <c r="M1022" i="1"/>
  <c r="O1022" i="1" s="1"/>
  <c r="K1022" i="1"/>
  <c r="J1022" i="1"/>
  <c r="F1022" i="1"/>
  <c r="G1022" i="1" s="1"/>
  <c r="O1023" i="1"/>
  <c r="M1023" i="1"/>
  <c r="N1023" i="1" s="1"/>
  <c r="K1023" i="1"/>
  <c r="J1023" i="1"/>
  <c r="G1023" i="1"/>
  <c r="F1023" i="1"/>
  <c r="M1024" i="1"/>
  <c r="O1024" i="1" s="1"/>
  <c r="K1024" i="1"/>
  <c r="J1024" i="1"/>
  <c r="F1024" i="1"/>
  <c r="G1024" i="1" s="1"/>
  <c r="M1025" i="1"/>
  <c r="O1025" i="1" s="1"/>
  <c r="K1025" i="1"/>
  <c r="J1025" i="1"/>
  <c r="G1025" i="1"/>
  <c r="F1025" i="1"/>
  <c r="O1026" i="1"/>
  <c r="M1026" i="1"/>
  <c r="N1026" i="1" s="1"/>
  <c r="K1026" i="1"/>
  <c r="J1026" i="1"/>
  <c r="G1026" i="1"/>
  <c r="F1026" i="1"/>
  <c r="M1027" i="1"/>
  <c r="O1027" i="1" s="1"/>
  <c r="K1027" i="1"/>
  <c r="J1027" i="1"/>
  <c r="G1027" i="1"/>
  <c r="F1027" i="1"/>
  <c r="O1028" i="1"/>
  <c r="M1028" i="1"/>
  <c r="N1028" i="1" s="1"/>
  <c r="K1028" i="1"/>
  <c r="J1028" i="1"/>
  <c r="G1028" i="1"/>
  <c r="F1028" i="1"/>
  <c r="O1029" i="1"/>
  <c r="M1029" i="1"/>
  <c r="N1029" i="1" s="1"/>
  <c r="K1029" i="1"/>
  <c r="J1029" i="1"/>
  <c r="G1029" i="1"/>
  <c r="F1029" i="1"/>
  <c r="M1030" i="1"/>
  <c r="O1030" i="1" s="1"/>
  <c r="K1030" i="1"/>
  <c r="J1030" i="1"/>
  <c r="G1030" i="1"/>
  <c r="F1030" i="1"/>
  <c r="O1031" i="1"/>
  <c r="M1031" i="1"/>
  <c r="N1031" i="1" s="1"/>
  <c r="K1031" i="1"/>
  <c r="J1031" i="1"/>
  <c r="G1031" i="1"/>
  <c r="F1031" i="1"/>
  <c r="M1032" i="1"/>
  <c r="O1032" i="1" s="1"/>
  <c r="K1032" i="1"/>
  <c r="J1032" i="1"/>
  <c r="G1032" i="1"/>
  <c r="F1032" i="1"/>
  <c r="L522" i="1"/>
  <c r="I522" i="1"/>
  <c r="H522" i="1"/>
  <c r="E522" i="1"/>
  <c r="D522" i="1"/>
  <c r="L509" i="1"/>
  <c r="I509" i="1"/>
  <c r="H509" i="1"/>
  <c r="E509" i="1"/>
  <c r="D509" i="1"/>
  <c r="L496" i="1"/>
  <c r="I496" i="1"/>
  <c r="H496" i="1"/>
  <c r="O496" i="1" s="1"/>
  <c r="E496" i="1"/>
  <c r="D496" i="1"/>
  <c r="G496" i="1" s="1"/>
  <c r="L483" i="1"/>
  <c r="I483" i="1"/>
  <c r="H483" i="1"/>
  <c r="O483" i="1" s="1"/>
  <c r="E483" i="1"/>
  <c r="D483" i="1"/>
  <c r="G483" i="1" s="1"/>
  <c r="L470" i="1"/>
  <c r="I470" i="1"/>
  <c r="H470" i="1"/>
  <c r="E470" i="1"/>
  <c r="D470" i="1"/>
  <c r="L457" i="1"/>
  <c r="I457" i="1"/>
  <c r="H457" i="1"/>
  <c r="O457" i="1" s="1"/>
  <c r="E457" i="1"/>
  <c r="D457" i="1"/>
  <c r="G457" i="1" s="1"/>
  <c r="L444" i="1"/>
  <c r="I444" i="1"/>
  <c r="H444" i="1"/>
  <c r="O444" i="1" s="1"/>
  <c r="E444" i="1"/>
  <c r="D444" i="1"/>
  <c r="G444" i="1" s="1"/>
  <c r="L431" i="1"/>
  <c r="I431" i="1"/>
  <c r="H431" i="1"/>
  <c r="O431" i="1" s="1"/>
  <c r="E431" i="1"/>
  <c r="D431" i="1"/>
  <c r="G431" i="1" s="1"/>
  <c r="L418" i="1"/>
  <c r="I418" i="1"/>
  <c r="H418" i="1"/>
  <c r="O418" i="1" s="1"/>
  <c r="E418" i="1"/>
  <c r="D418" i="1"/>
  <c r="G418" i="1" s="1"/>
  <c r="L405" i="1"/>
  <c r="I405" i="1"/>
  <c r="H405" i="1"/>
  <c r="O405" i="1" s="1"/>
  <c r="E405" i="1"/>
  <c r="D405" i="1"/>
  <c r="G405" i="1" s="1"/>
  <c r="L392" i="1"/>
  <c r="I392" i="1"/>
  <c r="H392" i="1"/>
  <c r="E392" i="1"/>
  <c r="D392" i="1"/>
  <c r="L379" i="1"/>
  <c r="I379" i="1"/>
  <c r="H379" i="1"/>
  <c r="O379" i="1" s="1"/>
  <c r="E379" i="1"/>
  <c r="D379" i="1"/>
  <c r="G379" i="1" s="1"/>
  <c r="L366" i="1"/>
  <c r="I366" i="1"/>
  <c r="H366" i="1"/>
  <c r="O366" i="1" s="1"/>
  <c r="E366" i="1"/>
  <c r="D366" i="1"/>
  <c r="L353" i="1"/>
  <c r="I353" i="1"/>
  <c r="H353" i="1"/>
  <c r="O353" i="1" s="1"/>
  <c r="E353" i="1"/>
  <c r="D353" i="1"/>
  <c r="G353" i="1" s="1"/>
  <c r="L340" i="1"/>
  <c r="I340" i="1"/>
  <c r="H340" i="1"/>
  <c r="O340" i="1" s="1"/>
  <c r="E340" i="1"/>
  <c r="D340" i="1"/>
  <c r="G340" i="1" s="1"/>
  <c r="L327" i="1"/>
  <c r="I327" i="1"/>
  <c r="H327" i="1"/>
  <c r="O327" i="1" s="1"/>
  <c r="E327" i="1"/>
  <c r="D327" i="1"/>
  <c r="G327" i="1" s="1"/>
  <c r="L314" i="1"/>
  <c r="I314" i="1"/>
  <c r="H314" i="1"/>
  <c r="E314" i="1"/>
  <c r="D314" i="1"/>
  <c r="L301" i="1"/>
  <c r="I301" i="1"/>
  <c r="H301" i="1"/>
  <c r="E301" i="1"/>
  <c r="D301" i="1"/>
  <c r="G301" i="1" s="1"/>
  <c r="L288" i="1"/>
  <c r="I288" i="1"/>
  <c r="H288" i="1"/>
  <c r="E288" i="1"/>
  <c r="D288" i="1"/>
  <c r="G288" i="1" s="1"/>
  <c r="L275" i="1"/>
  <c r="I275" i="1"/>
  <c r="H275" i="1"/>
  <c r="O275" i="1" s="1"/>
  <c r="E275" i="1"/>
  <c r="D275" i="1"/>
  <c r="G275" i="1" s="1"/>
  <c r="L262" i="1"/>
  <c r="I262" i="1"/>
  <c r="H262" i="1"/>
  <c r="E262" i="1"/>
  <c r="D262" i="1"/>
  <c r="G262" i="1" s="1"/>
  <c r="L249" i="1"/>
  <c r="I249" i="1"/>
  <c r="H249" i="1"/>
  <c r="E249" i="1"/>
  <c r="D249" i="1"/>
  <c r="G249" i="1" s="1"/>
  <c r="L236" i="1"/>
  <c r="I236" i="1"/>
  <c r="H236" i="1"/>
  <c r="O236" i="1" s="1"/>
  <c r="E236" i="1"/>
  <c r="D236" i="1"/>
  <c r="G236" i="1" s="1"/>
  <c r="L223" i="1"/>
  <c r="I223" i="1"/>
  <c r="H223" i="1"/>
  <c r="O223" i="1" s="1"/>
  <c r="E223" i="1"/>
  <c r="D223" i="1"/>
  <c r="G223" i="1" s="1"/>
  <c r="L210" i="1"/>
  <c r="I210" i="1"/>
  <c r="H210" i="1"/>
  <c r="O210" i="1" s="1"/>
  <c r="E210" i="1"/>
  <c r="D210" i="1"/>
  <c r="G210" i="1" s="1"/>
  <c r="L197" i="1"/>
  <c r="I197" i="1"/>
  <c r="H197" i="1"/>
  <c r="E197" i="1"/>
  <c r="D197" i="1"/>
  <c r="G197" i="1" s="1"/>
  <c r="L184" i="1"/>
  <c r="I184" i="1"/>
  <c r="H184" i="1"/>
  <c r="O184" i="1" s="1"/>
  <c r="E184" i="1"/>
  <c r="D184" i="1"/>
  <c r="G184" i="1" s="1"/>
  <c r="L171" i="1"/>
  <c r="I171" i="1"/>
  <c r="H171" i="1"/>
  <c r="E171" i="1"/>
  <c r="D171" i="1"/>
  <c r="G171" i="1" s="1"/>
  <c r="L158" i="1"/>
  <c r="I158" i="1"/>
  <c r="H158" i="1"/>
  <c r="O158" i="1" s="1"/>
  <c r="E158" i="1"/>
  <c r="D158" i="1"/>
  <c r="G158" i="1" s="1"/>
  <c r="L145" i="1"/>
  <c r="I145" i="1"/>
  <c r="H145" i="1"/>
  <c r="E145" i="1"/>
  <c r="D145" i="1"/>
  <c r="G145" i="1" s="1"/>
  <c r="L132" i="1"/>
  <c r="I132" i="1"/>
  <c r="H132" i="1"/>
  <c r="E132" i="1"/>
  <c r="D132" i="1"/>
  <c r="G132" i="1" s="1"/>
  <c r="L119" i="1"/>
  <c r="I119" i="1"/>
  <c r="H119" i="1"/>
  <c r="O119" i="1" s="1"/>
  <c r="E119" i="1"/>
  <c r="D119" i="1"/>
  <c r="G119" i="1" s="1"/>
  <c r="L106" i="1"/>
  <c r="I106" i="1"/>
  <c r="H106" i="1"/>
  <c r="E106" i="1"/>
  <c r="D106" i="1"/>
  <c r="L93" i="1"/>
  <c r="I93" i="1"/>
  <c r="H93" i="1"/>
  <c r="O93" i="1" s="1"/>
  <c r="E93" i="1"/>
  <c r="D93" i="1"/>
  <c r="G93" i="1" s="1"/>
  <c r="L80" i="1"/>
  <c r="I80" i="1"/>
  <c r="H80" i="1"/>
  <c r="E80" i="1"/>
  <c r="D80" i="1"/>
  <c r="L67" i="1"/>
  <c r="I67" i="1"/>
  <c r="H67" i="1"/>
  <c r="O67" i="1" s="1"/>
  <c r="E67" i="1"/>
  <c r="D67" i="1"/>
  <c r="G67" i="1" s="1"/>
  <c r="L54" i="1"/>
  <c r="I54" i="1"/>
  <c r="H54" i="1"/>
  <c r="O54" i="1" s="1"/>
  <c r="E54" i="1"/>
  <c r="D54" i="1"/>
  <c r="G54" i="1" s="1"/>
  <c r="L41" i="1"/>
  <c r="I41" i="1"/>
  <c r="H41" i="1"/>
  <c r="O41" i="1" s="1"/>
  <c r="E41" i="1"/>
  <c r="D41" i="1"/>
  <c r="G41" i="1" s="1"/>
  <c r="L28" i="1"/>
  <c r="I28" i="1"/>
  <c r="H28" i="1"/>
  <c r="E28" i="1"/>
  <c r="D28" i="1"/>
  <c r="G28" i="1" s="1"/>
  <c r="M17" i="1"/>
  <c r="O17" i="1" s="1"/>
  <c r="K17" i="1"/>
  <c r="J17" i="1"/>
  <c r="F17" i="1"/>
  <c r="G17" i="1" s="1"/>
  <c r="M18" i="1"/>
  <c r="O18" i="1" s="1"/>
  <c r="K18" i="1"/>
  <c r="J18" i="1"/>
  <c r="G18" i="1"/>
  <c r="F18" i="1"/>
  <c r="M19" i="1"/>
  <c r="O19" i="1" s="1"/>
  <c r="K19" i="1"/>
  <c r="J19" i="1"/>
  <c r="G19" i="1"/>
  <c r="F19" i="1"/>
  <c r="M20" i="1"/>
  <c r="O20" i="1" s="1"/>
  <c r="K20" i="1"/>
  <c r="J20" i="1"/>
  <c r="G20" i="1"/>
  <c r="F20" i="1"/>
  <c r="M21" i="1"/>
  <c r="O21" i="1" s="1"/>
  <c r="K21" i="1"/>
  <c r="J21" i="1"/>
  <c r="F21" i="1"/>
  <c r="G21" i="1" s="1"/>
  <c r="M22" i="1"/>
  <c r="O22" i="1" s="1"/>
  <c r="K22" i="1"/>
  <c r="J22" i="1"/>
  <c r="F22" i="1"/>
  <c r="G22" i="1" s="1"/>
  <c r="M23" i="1"/>
  <c r="O23" i="1" s="1"/>
  <c r="K23" i="1"/>
  <c r="J23" i="1"/>
  <c r="G23" i="1"/>
  <c r="F23" i="1"/>
  <c r="M24" i="1"/>
  <c r="O24" i="1" s="1"/>
  <c r="K24" i="1"/>
  <c r="J24" i="1"/>
  <c r="G24" i="1"/>
  <c r="F24" i="1"/>
  <c r="M25" i="1"/>
  <c r="O25" i="1" s="1"/>
  <c r="K25" i="1"/>
  <c r="J25" i="1"/>
  <c r="G25" i="1"/>
  <c r="F25" i="1"/>
  <c r="M26" i="1"/>
  <c r="O26" i="1" s="1"/>
  <c r="K26" i="1"/>
  <c r="J26" i="1"/>
  <c r="F26" i="1"/>
  <c r="G26" i="1" s="1"/>
  <c r="M27" i="1"/>
  <c r="O27" i="1" s="1"/>
  <c r="K27" i="1"/>
  <c r="J27" i="1"/>
  <c r="G27" i="1"/>
  <c r="F27" i="1"/>
  <c r="M29" i="1"/>
  <c r="O29" i="1" s="1"/>
  <c r="K29" i="1"/>
  <c r="J29" i="1"/>
  <c r="G29" i="1"/>
  <c r="F29" i="1"/>
  <c r="M30" i="1"/>
  <c r="O30" i="1" s="1"/>
  <c r="K30" i="1"/>
  <c r="J30" i="1"/>
  <c r="G30" i="1"/>
  <c r="F30" i="1"/>
  <c r="M31" i="1"/>
  <c r="O31" i="1" s="1"/>
  <c r="K31" i="1"/>
  <c r="J31" i="1"/>
  <c r="G31" i="1"/>
  <c r="F31" i="1"/>
  <c r="M32" i="1"/>
  <c r="O32" i="1" s="1"/>
  <c r="K32" i="1"/>
  <c r="J32" i="1"/>
  <c r="G32" i="1"/>
  <c r="F32" i="1"/>
  <c r="M33" i="1"/>
  <c r="O33" i="1" s="1"/>
  <c r="K33" i="1"/>
  <c r="J33" i="1"/>
  <c r="G33" i="1"/>
  <c r="F33" i="1"/>
  <c r="M34" i="1"/>
  <c r="O34" i="1" s="1"/>
  <c r="K34" i="1"/>
  <c r="J34" i="1"/>
  <c r="G34" i="1"/>
  <c r="F34" i="1"/>
  <c r="M35" i="1"/>
  <c r="O35" i="1" s="1"/>
  <c r="K35" i="1"/>
  <c r="J35" i="1"/>
  <c r="F35" i="1"/>
  <c r="G35" i="1" s="1"/>
  <c r="M36" i="1"/>
  <c r="O36" i="1" s="1"/>
  <c r="K36" i="1"/>
  <c r="J36" i="1"/>
  <c r="G36" i="1"/>
  <c r="F36" i="1"/>
  <c r="O37" i="1"/>
  <c r="M37" i="1"/>
  <c r="N37" i="1" s="1"/>
  <c r="K37" i="1"/>
  <c r="J37" i="1"/>
  <c r="G37" i="1"/>
  <c r="F37" i="1"/>
  <c r="M38" i="1"/>
  <c r="O38" i="1" s="1"/>
  <c r="K38" i="1"/>
  <c r="J38" i="1"/>
  <c r="G38" i="1"/>
  <c r="F38" i="1"/>
  <c r="M39" i="1"/>
  <c r="O39" i="1" s="1"/>
  <c r="K39" i="1"/>
  <c r="J39" i="1"/>
  <c r="G39" i="1"/>
  <c r="F39" i="1"/>
  <c r="M40" i="1"/>
  <c r="O40" i="1" s="1"/>
  <c r="K40" i="1"/>
  <c r="J40" i="1"/>
  <c r="F40" i="1"/>
  <c r="G40" i="1" s="1"/>
  <c r="M42" i="1"/>
  <c r="O42" i="1" s="1"/>
  <c r="K42" i="1"/>
  <c r="J42" i="1"/>
  <c r="F42" i="1"/>
  <c r="G42" i="1" s="1"/>
  <c r="M43" i="1"/>
  <c r="O43" i="1" s="1"/>
  <c r="K43" i="1"/>
  <c r="J43" i="1"/>
  <c r="G43" i="1"/>
  <c r="F43" i="1"/>
  <c r="M44" i="1"/>
  <c r="O44" i="1" s="1"/>
  <c r="K44" i="1"/>
  <c r="J44" i="1"/>
  <c r="G44" i="1"/>
  <c r="F44" i="1"/>
  <c r="M45" i="1"/>
  <c r="O45" i="1" s="1"/>
  <c r="K45" i="1"/>
  <c r="J45" i="1"/>
  <c r="F45" i="1"/>
  <c r="G45" i="1" s="1"/>
  <c r="M46" i="1"/>
  <c r="O46" i="1" s="1"/>
  <c r="K46" i="1"/>
  <c r="J46" i="1"/>
  <c r="G46" i="1"/>
  <c r="F46" i="1"/>
  <c r="M47" i="1"/>
  <c r="O47" i="1" s="1"/>
  <c r="K47" i="1"/>
  <c r="J47" i="1"/>
  <c r="G47" i="1"/>
  <c r="F47" i="1"/>
  <c r="M48" i="1"/>
  <c r="O48" i="1" s="1"/>
  <c r="K48" i="1"/>
  <c r="J48" i="1"/>
  <c r="F48" i="1"/>
  <c r="G48" i="1" s="1"/>
  <c r="M49" i="1"/>
  <c r="O49" i="1" s="1"/>
  <c r="K49" i="1"/>
  <c r="J49" i="1"/>
  <c r="F49" i="1"/>
  <c r="G49" i="1" s="1"/>
  <c r="M50" i="1"/>
  <c r="O50" i="1" s="1"/>
  <c r="K50" i="1"/>
  <c r="J50" i="1"/>
  <c r="G50" i="1"/>
  <c r="F50" i="1"/>
  <c r="M51" i="1"/>
  <c r="O51" i="1" s="1"/>
  <c r="K51" i="1"/>
  <c r="J51" i="1"/>
  <c r="F51" i="1"/>
  <c r="G51" i="1" s="1"/>
  <c r="M52" i="1"/>
  <c r="O52" i="1" s="1"/>
  <c r="K52" i="1"/>
  <c r="J52" i="1"/>
  <c r="G52" i="1"/>
  <c r="F52" i="1"/>
  <c r="M53" i="1"/>
  <c r="O53" i="1" s="1"/>
  <c r="K53" i="1"/>
  <c r="J53" i="1"/>
  <c r="F53" i="1"/>
  <c r="G53" i="1" s="1"/>
  <c r="M55" i="1"/>
  <c r="O55" i="1" s="1"/>
  <c r="K55" i="1"/>
  <c r="J55" i="1"/>
  <c r="F55" i="1"/>
  <c r="G55" i="1" s="1"/>
  <c r="M56" i="1"/>
  <c r="O56" i="1" s="1"/>
  <c r="K56" i="1"/>
  <c r="J56" i="1"/>
  <c r="G56" i="1"/>
  <c r="F56" i="1"/>
  <c r="M57" i="1"/>
  <c r="O57" i="1" s="1"/>
  <c r="K57" i="1"/>
  <c r="J57" i="1"/>
  <c r="F57" i="1"/>
  <c r="G57" i="1" s="1"/>
  <c r="M58" i="1"/>
  <c r="O58" i="1" s="1"/>
  <c r="K58" i="1"/>
  <c r="J58" i="1"/>
  <c r="G58" i="1"/>
  <c r="F58" i="1"/>
  <c r="M59" i="1"/>
  <c r="O59" i="1" s="1"/>
  <c r="K59" i="1"/>
  <c r="J59" i="1"/>
  <c r="G59" i="1"/>
  <c r="F59" i="1"/>
  <c r="M60" i="1"/>
  <c r="O60" i="1" s="1"/>
  <c r="K60" i="1"/>
  <c r="J60" i="1"/>
  <c r="G60" i="1"/>
  <c r="F60" i="1"/>
  <c r="M61" i="1"/>
  <c r="O61" i="1" s="1"/>
  <c r="K61" i="1"/>
  <c r="J61" i="1"/>
  <c r="G61" i="1"/>
  <c r="F61" i="1"/>
  <c r="M62" i="1"/>
  <c r="O62" i="1" s="1"/>
  <c r="K62" i="1"/>
  <c r="J62" i="1"/>
  <c r="G62" i="1"/>
  <c r="F62" i="1"/>
  <c r="M63" i="1"/>
  <c r="O63" i="1" s="1"/>
  <c r="K63" i="1"/>
  <c r="J63" i="1"/>
  <c r="F63" i="1"/>
  <c r="G63" i="1" s="1"/>
  <c r="M64" i="1"/>
  <c r="O64" i="1" s="1"/>
  <c r="K64" i="1"/>
  <c r="J64" i="1"/>
  <c r="F64" i="1"/>
  <c r="G64" i="1" s="1"/>
  <c r="M65" i="1"/>
  <c r="O65" i="1" s="1"/>
  <c r="K65" i="1"/>
  <c r="J65" i="1"/>
  <c r="G65" i="1"/>
  <c r="F65" i="1"/>
  <c r="O66" i="1"/>
  <c r="M66" i="1"/>
  <c r="N66" i="1" s="1"/>
  <c r="K66" i="1"/>
  <c r="J66" i="1"/>
  <c r="F66" i="1"/>
  <c r="G66" i="1" s="1"/>
  <c r="M68" i="1"/>
  <c r="O68" i="1" s="1"/>
  <c r="K68" i="1"/>
  <c r="J68" i="1"/>
  <c r="F68" i="1"/>
  <c r="G68" i="1" s="1"/>
  <c r="M69" i="1"/>
  <c r="N69" i="1" s="1"/>
  <c r="K69" i="1"/>
  <c r="J69" i="1"/>
  <c r="F69" i="1"/>
  <c r="G69" i="1" s="1"/>
  <c r="M70" i="1"/>
  <c r="O70" i="1" s="1"/>
  <c r="K70" i="1"/>
  <c r="J70" i="1"/>
  <c r="F70" i="1"/>
  <c r="G70" i="1" s="1"/>
  <c r="M71" i="1"/>
  <c r="O71" i="1" s="1"/>
  <c r="K71" i="1"/>
  <c r="J71" i="1"/>
  <c r="F71" i="1"/>
  <c r="G71" i="1" s="1"/>
  <c r="M72" i="1"/>
  <c r="O72" i="1" s="1"/>
  <c r="K72" i="1"/>
  <c r="J72" i="1"/>
  <c r="G72" i="1"/>
  <c r="F72" i="1"/>
  <c r="O73" i="1"/>
  <c r="M73" i="1"/>
  <c r="N73" i="1" s="1"/>
  <c r="K73" i="1"/>
  <c r="J73" i="1"/>
  <c r="F73" i="1"/>
  <c r="G73" i="1" s="1"/>
  <c r="M74" i="1"/>
  <c r="O74" i="1" s="1"/>
  <c r="K74" i="1"/>
  <c r="J74" i="1"/>
  <c r="G74" i="1"/>
  <c r="F74" i="1"/>
  <c r="M75" i="1"/>
  <c r="O75" i="1" s="1"/>
  <c r="K75" i="1"/>
  <c r="J75" i="1"/>
  <c r="G75" i="1"/>
  <c r="F75" i="1"/>
  <c r="M76" i="1"/>
  <c r="O76" i="1" s="1"/>
  <c r="K76" i="1"/>
  <c r="J76" i="1"/>
  <c r="G76" i="1"/>
  <c r="F76" i="1"/>
  <c r="M77" i="1"/>
  <c r="O77" i="1" s="1"/>
  <c r="K77" i="1"/>
  <c r="J77" i="1"/>
  <c r="F77" i="1"/>
  <c r="G77" i="1" s="1"/>
  <c r="M78" i="1"/>
  <c r="O78" i="1" s="1"/>
  <c r="K78" i="1"/>
  <c r="J78" i="1"/>
  <c r="G78" i="1"/>
  <c r="F78" i="1"/>
  <c r="M79" i="1"/>
  <c r="O79" i="1" s="1"/>
  <c r="K79" i="1"/>
  <c r="J79" i="1"/>
  <c r="F79" i="1"/>
  <c r="G79" i="1" s="1"/>
  <c r="M81" i="1"/>
  <c r="O81" i="1" s="1"/>
  <c r="K81" i="1"/>
  <c r="J81" i="1"/>
  <c r="G81" i="1"/>
  <c r="F81" i="1"/>
  <c r="F93" i="1" s="1"/>
  <c r="M82" i="1"/>
  <c r="O82" i="1" s="1"/>
  <c r="K82" i="1"/>
  <c r="J82" i="1"/>
  <c r="G82" i="1"/>
  <c r="F82" i="1"/>
  <c r="M83" i="1"/>
  <c r="O83" i="1" s="1"/>
  <c r="K83" i="1"/>
  <c r="J83" i="1"/>
  <c r="G83" i="1"/>
  <c r="F83" i="1"/>
  <c r="M84" i="1"/>
  <c r="O84" i="1" s="1"/>
  <c r="K84" i="1"/>
  <c r="J84" i="1"/>
  <c r="G84" i="1"/>
  <c r="F84" i="1"/>
  <c r="M85" i="1"/>
  <c r="O85" i="1" s="1"/>
  <c r="K85" i="1"/>
  <c r="J85" i="1"/>
  <c r="G85" i="1"/>
  <c r="F85" i="1"/>
  <c r="M86" i="1"/>
  <c r="O86" i="1" s="1"/>
  <c r="K86" i="1"/>
  <c r="J86" i="1"/>
  <c r="G86" i="1"/>
  <c r="F86" i="1"/>
  <c r="M87" i="1"/>
  <c r="O87" i="1" s="1"/>
  <c r="K87" i="1"/>
  <c r="J87" i="1"/>
  <c r="F87" i="1"/>
  <c r="G87" i="1" s="1"/>
  <c r="M88" i="1"/>
  <c r="O88" i="1" s="1"/>
  <c r="K88" i="1"/>
  <c r="J88" i="1"/>
  <c r="G88" i="1"/>
  <c r="F88" i="1"/>
  <c r="M89" i="1"/>
  <c r="O89" i="1" s="1"/>
  <c r="K89" i="1"/>
  <c r="J89" i="1"/>
  <c r="F89" i="1"/>
  <c r="G89" i="1" s="1"/>
  <c r="M90" i="1"/>
  <c r="O90" i="1" s="1"/>
  <c r="K90" i="1"/>
  <c r="J90" i="1"/>
  <c r="G90" i="1"/>
  <c r="F90" i="1"/>
  <c r="M91" i="1"/>
  <c r="O91" i="1" s="1"/>
  <c r="K91" i="1"/>
  <c r="J91" i="1"/>
  <c r="G91" i="1"/>
  <c r="F91" i="1"/>
  <c r="M92" i="1"/>
  <c r="O92" i="1" s="1"/>
  <c r="K92" i="1"/>
  <c r="J92" i="1"/>
  <c r="G92" i="1"/>
  <c r="F92" i="1"/>
  <c r="M94" i="1"/>
  <c r="O94" i="1" s="1"/>
  <c r="K94" i="1"/>
  <c r="J94" i="1"/>
  <c r="G94" i="1"/>
  <c r="F94" i="1"/>
  <c r="M95" i="1"/>
  <c r="O95" i="1" s="1"/>
  <c r="K95" i="1"/>
  <c r="J95" i="1"/>
  <c r="F95" i="1"/>
  <c r="G95" i="1" s="1"/>
  <c r="M96" i="1"/>
  <c r="O96" i="1" s="1"/>
  <c r="K96" i="1"/>
  <c r="J96" i="1"/>
  <c r="F96" i="1"/>
  <c r="G96" i="1" s="1"/>
  <c r="M97" i="1"/>
  <c r="O97" i="1" s="1"/>
  <c r="K97" i="1"/>
  <c r="J97" i="1"/>
  <c r="G97" i="1"/>
  <c r="F97" i="1"/>
  <c r="M98" i="1"/>
  <c r="O98" i="1" s="1"/>
  <c r="K98" i="1"/>
  <c r="J98" i="1"/>
  <c r="G98" i="1"/>
  <c r="F98" i="1"/>
  <c r="M99" i="1"/>
  <c r="O99" i="1" s="1"/>
  <c r="K99" i="1"/>
  <c r="J99" i="1"/>
  <c r="G99" i="1"/>
  <c r="F99" i="1"/>
  <c r="O100" i="1"/>
  <c r="M100" i="1"/>
  <c r="N100" i="1" s="1"/>
  <c r="K100" i="1"/>
  <c r="J100" i="1"/>
  <c r="G100" i="1"/>
  <c r="F100" i="1"/>
  <c r="M101" i="1"/>
  <c r="O101" i="1" s="1"/>
  <c r="K101" i="1"/>
  <c r="J101" i="1"/>
  <c r="F101" i="1"/>
  <c r="G101" i="1" s="1"/>
  <c r="M102" i="1"/>
  <c r="O102" i="1" s="1"/>
  <c r="K102" i="1"/>
  <c r="J102" i="1"/>
  <c r="G102" i="1"/>
  <c r="F102" i="1"/>
  <c r="M103" i="1"/>
  <c r="O103" i="1" s="1"/>
  <c r="K103" i="1"/>
  <c r="J103" i="1"/>
  <c r="F103" i="1"/>
  <c r="G103" i="1" s="1"/>
  <c r="M104" i="1"/>
  <c r="O104" i="1" s="1"/>
  <c r="K104" i="1"/>
  <c r="J104" i="1"/>
  <c r="G104" i="1"/>
  <c r="F104" i="1"/>
  <c r="M105" i="1"/>
  <c r="O105" i="1" s="1"/>
  <c r="K105" i="1"/>
  <c r="J105" i="1"/>
  <c r="G105" i="1"/>
  <c r="F105" i="1"/>
  <c r="M107" i="1"/>
  <c r="O107" i="1" s="1"/>
  <c r="K107" i="1"/>
  <c r="J107" i="1"/>
  <c r="G107" i="1"/>
  <c r="F107" i="1"/>
  <c r="M108" i="1"/>
  <c r="O108" i="1" s="1"/>
  <c r="K108" i="1"/>
  <c r="J108" i="1"/>
  <c r="G108" i="1"/>
  <c r="F108" i="1"/>
  <c r="O109" i="1"/>
  <c r="M109" i="1"/>
  <c r="N109" i="1" s="1"/>
  <c r="K109" i="1"/>
  <c r="J109" i="1"/>
  <c r="F109" i="1"/>
  <c r="G109" i="1" s="1"/>
  <c r="M110" i="1"/>
  <c r="O110" i="1" s="1"/>
  <c r="K110" i="1"/>
  <c r="J110" i="1"/>
  <c r="F110" i="1"/>
  <c r="G110" i="1" s="1"/>
  <c r="M111" i="1"/>
  <c r="O111" i="1" s="1"/>
  <c r="K111" i="1"/>
  <c r="J111" i="1"/>
  <c r="G111" i="1"/>
  <c r="F111" i="1"/>
  <c r="M112" i="1"/>
  <c r="O112" i="1" s="1"/>
  <c r="K112" i="1"/>
  <c r="J112" i="1"/>
  <c r="G112" i="1"/>
  <c r="F112" i="1"/>
  <c r="M113" i="1"/>
  <c r="O113" i="1" s="1"/>
  <c r="K113" i="1"/>
  <c r="J113" i="1"/>
  <c r="G113" i="1"/>
  <c r="F113" i="1"/>
  <c r="M114" i="1"/>
  <c r="O114" i="1" s="1"/>
  <c r="K114" i="1"/>
  <c r="J114" i="1"/>
  <c r="G114" i="1"/>
  <c r="F114" i="1"/>
  <c r="M115" i="1"/>
  <c r="O115" i="1" s="1"/>
  <c r="K115" i="1"/>
  <c r="J115" i="1"/>
  <c r="G115" i="1"/>
  <c r="F115" i="1"/>
  <c r="M116" i="1"/>
  <c r="O116" i="1" s="1"/>
  <c r="K116" i="1"/>
  <c r="J116" i="1"/>
  <c r="F116" i="1"/>
  <c r="G116" i="1" s="1"/>
  <c r="M117" i="1"/>
  <c r="O117" i="1" s="1"/>
  <c r="K117" i="1"/>
  <c r="J117" i="1"/>
  <c r="G117" i="1"/>
  <c r="F117" i="1"/>
  <c r="M118" i="1"/>
  <c r="O118" i="1" s="1"/>
  <c r="K118" i="1"/>
  <c r="J118" i="1"/>
  <c r="G118" i="1"/>
  <c r="F118" i="1"/>
  <c r="M120" i="1"/>
  <c r="O120" i="1" s="1"/>
  <c r="K120" i="1"/>
  <c r="J120" i="1"/>
  <c r="G120" i="1"/>
  <c r="F120" i="1"/>
  <c r="M121" i="1"/>
  <c r="O121" i="1" s="1"/>
  <c r="K121" i="1"/>
  <c r="J121" i="1"/>
  <c r="F121" i="1"/>
  <c r="G121" i="1" s="1"/>
  <c r="M122" i="1"/>
  <c r="O122" i="1" s="1"/>
  <c r="K122" i="1"/>
  <c r="J122" i="1"/>
  <c r="G122" i="1"/>
  <c r="F122" i="1"/>
  <c r="M123" i="1"/>
  <c r="O123" i="1" s="1"/>
  <c r="K123" i="1"/>
  <c r="J123" i="1"/>
  <c r="G123" i="1"/>
  <c r="F123" i="1"/>
  <c r="M124" i="1"/>
  <c r="O124" i="1" s="1"/>
  <c r="K124" i="1"/>
  <c r="J124" i="1"/>
  <c r="F124" i="1"/>
  <c r="G124" i="1" s="1"/>
  <c r="M125" i="1"/>
  <c r="O125" i="1" s="1"/>
  <c r="K125" i="1"/>
  <c r="J125" i="1"/>
  <c r="G125" i="1"/>
  <c r="F125" i="1"/>
  <c r="M126" i="1"/>
  <c r="O126" i="1" s="1"/>
  <c r="K126" i="1"/>
  <c r="J126" i="1"/>
  <c r="G126" i="1"/>
  <c r="F126" i="1"/>
  <c r="M127" i="1"/>
  <c r="O127" i="1" s="1"/>
  <c r="K127" i="1"/>
  <c r="J127" i="1"/>
  <c r="G127" i="1"/>
  <c r="F127" i="1"/>
  <c r="M128" i="1"/>
  <c r="O128" i="1" s="1"/>
  <c r="K128" i="1"/>
  <c r="J128" i="1"/>
  <c r="F128" i="1"/>
  <c r="G128" i="1" s="1"/>
  <c r="M129" i="1"/>
  <c r="O129" i="1" s="1"/>
  <c r="K129" i="1"/>
  <c r="J129" i="1"/>
  <c r="F129" i="1"/>
  <c r="G129" i="1" s="1"/>
  <c r="M130" i="1"/>
  <c r="O130" i="1" s="1"/>
  <c r="K130" i="1"/>
  <c r="J130" i="1"/>
  <c r="F130" i="1"/>
  <c r="G130" i="1" s="1"/>
  <c r="M131" i="1"/>
  <c r="O131" i="1" s="1"/>
  <c r="K131" i="1"/>
  <c r="J131" i="1"/>
  <c r="G131" i="1"/>
  <c r="F131" i="1"/>
  <c r="M133" i="1"/>
  <c r="O133" i="1" s="1"/>
  <c r="K133" i="1"/>
  <c r="J133" i="1"/>
  <c r="F133" i="1"/>
  <c r="G133" i="1" s="1"/>
  <c r="M134" i="1"/>
  <c r="O134" i="1" s="1"/>
  <c r="K134" i="1"/>
  <c r="J134" i="1"/>
  <c r="G134" i="1"/>
  <c r="F134" i="1"/>
  <c r="M135" i="1"/>
  <c r="O135" i="1" s="1"/>
  <c r="K135" i="1"/>
  <c r="J135" i="1"/>
  <c r="G135" i="1"/>
  <c r="F135" i="1"/>
  <c r="M136" i="1"/>
  <c r="O136" i="1" s="1"/>
  <c r="K136" i="1"/>
  <c r="J136" i="1"/>
  <c r="F136" i="1"/>
  <c r="G136" i="1" s="1"/>
  <c r="M137" i="1"/>
  <c r="O137" i="1" s="1"/>
  <c r="K137" i="1"/>
  <c r="J137" i="1"/>
  <c r="G137" i="1"/>
  <c r="F137" i="1"/>
  <c r="M138" i="1"/>
  <c r="O138" i="1" s="1"/>
  <c r="K138" i="1"/>
  <c r="J138" i="1"/>
  <c r="G138" i="1"/>
  <c r="F138" i="1"/>
  <c r="M139" i="1"/>
  <c r="O139" i="1" s="1"/>
  <c r="K139" i="1"/>
  <c r="J139" i="1"/>
  <c r="G139" i="1"/>
  <c r="F139" i="1"/>
  <c r="M140" i="1"/>
  <c r="O140" i="1" s="1"/>
  <c r="K140" i="1"/>
  <c r="J140" i="1"/>
  <c r="G140" i="1"/>
  <c r="F140" i="1"/>
  <c r="M141" i="1"/>
  <c r="O141" i="1" s="1"/>
  <c r="K141" i="1"/>
  <c r="J141" i="1"/>
  <c r="G141" i="1"/>
  <c r="F141" i="1"/>
  <c r="M142" i="1"/>
  <c r="O142" i="1" s="1"/>
  <c r="K142" i="1"/>
  <c r="J142" i="1"/>
  <c r="F142" i="1"/>
  <c r="G142" i="1" s="1"/>
  <c r="M143" i="1"/>
  <c r="O143" i="1" s="1"/>
  <c r="K143" i="1"/>
  <c r="J143" i="1"/>
  <c r="G143" i="1"/>
  <c r="F143" i="1"/>
  <c r="M144" i="1"/>
  <c r="O144" i="1" s="1"/>
  <c r="K144" i="1"/>
  <c r="J144" i="1"/>
  <c r="F144" i="1"/>
  <c r="G144" i="1" s="1"/>
  <c r="M146" i="1"/>
  <c r="O146" i="1" s="1"/>
  <c r="K146" i="1"/>
  <c r="J146" i="1"/>
  <c r="F146" i="1"/>
  <c r="G146" i="1" s="1"/>
  <c r="M147" i="1"/>
  <c r="O147" i="1" s="1"/>
  <c r="K147" i="1"/>
  <c r="J147" i="1"/>
  <c r="F147" i="1"/>
  <c r="G147" i="1" s="1"/>
  <c r="M148" i="1"/>
  <c r="O148" i="1" s="1"/>
  <c r="K148" i="1"/>
  <c r="J148" i="1"/>
  <c r="G148" i="1"/>
  <c r="F148" i="1"/>
  <c r="M149" i="1"/>
  <c r="O149" i="1" s="1"/>
  <c r="K149" i="1"/>
  <c r="J149" i="1"/>
  <c r="G149" i="1"/>
  <c r="F149" i="1"/>
  <c r="M150" i="1"/>
  <c r="O150" i="1" s="1"/>
  <c r="K150" i="1"/>
  <c r="J150" i="1"/>
  <c r="G150" i="1"/>
  <c r="F150" i="1"/>
  <c r="O151" i="1"/>
  <c r="M151" i="1"/>
  <c r="N151" i="1" s="1"/>
  <c r="K151" i="1"/>
  <c r="J151" i="1"/>
  <c r="F151" i="1"/>
  <c r="G151" i="1" s="1"/>
  <c r="O152" i="1"/>
  <c r="M152" i="1"/>
  <c r="N152" i="1" s="1"/>
  <c r="K152" i="1"/>
  <c r="J152" i="1"/>
  <c r="F152" i="1"/>
  <c r="G152" i="1" s="1"/>
  <c r="M153" i="1"/>
  <c r="O153" i="1" s="1"/>
  <c r="K153" i="1"/>
  <c r="J153" i="1"/>
  <c r="F153" i="1"/>
  <c r="G153" i="1" s="1"/>
  <c r="M154" i="1"/>
  <c r="O154" i="1" s="1"/>
  <c r="K154" i="1"/>
  <c r="J154" i="1"/>
  <c r="F154" i="1"/>
  <c r="G154" i="1" s="1"/>
  <c r="M155" i="1"/>
  <c r="O155" i="1" s="1"/>
  <c r="K155" i="1"/>
  <c r="J155" i="1"/>
  <c r="G155" i="1"/>
  <c r="F155" i="1"/>
  <c r="O156" i="1"/>
  <c r="M156" i="1"/>
  <c r="N156" i="1" s="1"/>
  <c r="K156" i="1"/>
  <c r="J156" i="1"/>
  <c r="F156" i="1"/>
  <c r="G156" i="1" s="1"/>
  <c r="O157" i="1"/>
  <c r="M157" i="1"/>
  <c r="N157" i="1" s="1"/>
  <c r="K157" i="1"/>
  <c r="J157" i="1"/>
  <c r="F157" i="1"/>
  <c r="G157" i="1" s="1"/>
  <c r="M159" i="1"/>
  <c r="O159" i="1" s="1"/>
  <c r="K159" i="1"/>
  <c r="J159" i="1"/>
  <c r="G159" i="1"/>
  <c r="F159" i="1"/>
  <c r="O160" i="1"/>
  <c r="M160" i="1"/>
  <c r="N160" i="1" s="1"/>
  <c r="K160" i="1"/>
  <c r="J160" i="1"/>
  <c r="F160" i="1"/>
  <c r="G160" i="1" s="1"/>
  <c r="M161" i="1"/>
  <c r="O161" i="1" s="1"/>
  <c r="K161" i="1"/>
  <c r="K171" i="1" s="1"/>
  <c r="J161" i="1"/>
  <c r="F161" i="1"/>
  <c r="G161" i="1" s="1"/>
  <c r="M162" i="1"/>
  <c r="O162" i="1" s="1"/>
  <c r="K162" i="1"/>
  <c r="J162" i="1"/>
  <c r="G162" i="1"/>
  <c r="F162" i="1"/>
  <c r="M163" i="1"/>
  <c r="O163" i="1" s="1"/>
  <c r="K163" i="1"/>
  <c r="J163" i="1"/>
  <c r="G163" i="1"/>
  <c r="F163" i="1"/>
  <c r="M164" i="1"/>
  <c r="O164" i="1" s="1"/>
  <c r="K164" i="1"/>
  <c r="J164" i="1"/>
  <c r="G164" i="1"/>
  <c r="F164" i="1"/>
  <c r="M165" i="1"/>
  <c r="O165" i="1" s="1"/>
  <c r="K165" i="1"/>
  <c r="J165" i="1"/>
  <c r="F165" i="1"/>
  <c r="G165" i="1" s="1"/>
  <c r="M166" i="1"/>
  <c r="O166" i="1" s="1"/>
  <c r="K166" i="1"/>
  <c r="J166" i="1"/>
  <c r="G166" i="1"/>
  <c r="F166" i="1"/>
  <c r="M167" i="1"/>
  <c r="O167" i="1" s="1"/>
  <c r="K167" i="1"/>
  <c r="J167" i="1"/>
  <c r="G167" i="1"/>
  <c r="F167" i="1"/>
  <c r="M168" i="1"/>
  <c r="O168" i="1" s="1"/>
  <c r="K168" i="1"/>
  <c r="J168" i="1"/>
  <c r="G168" i="1"/>
  <c r="F168" i="1"/>
  <c r="M169" i="1"/>
  <c r="O169" i="1" s="1"/>
  <c r="K169" i="1"/>
  <c r="J169" i="1"/>
  <c r="G169" i="1"/>
  <c r="F169" i="1"/>
  <c r="M170" i="1"/>
  <c r="O170" i="1" s="1"/>
  <c r="K170" i="1"/>
  <c r="J170" i="1"/>
  <c r="F170" i="1"/>
  <c r="G170" i="1" s="1"/>
  <c r="M172" i="1"/>
  <c r="O172" i="1" s="1"/>
  <c r="K172" i="1"/>
  <c r="J172" i="1"/>
  <c r="G172" i="1"/>
  <c r="F172" i="1"/>
  <c r="M173" i="1"/>
  <c r="O173" i="1" s="1"/>
  <c r="K173" i="1"/>
  <c r="J173" i="1"/>
  <c r="G173" i="1"/>
  <c r="F173" i="1"/>
  <c r="M174" i="1"/>
  <c r="O174" i="1" s="1"/>
  <c r="K174" i="1"/>
  <c r="J174" i="1"/>
  <c r="G174" i="1"/>
  <c r="F174" i="1"/>
  <c r="M175" i="1"/>
  <c r="O175" i="1" s="1"/>
  <c r="K175" i="1"/>
  <c r="J175" i="1"/>
  <c r="G175" i="1"/>
  <c r="F175" i="1"/>
  <c r="M176" i="1"/>
  <c r="O176" i="1" s="1"/>
  <c r="K176" i="1"/>
  <c r="J176" i="1"/>
  <c r="G176" i="1"/>
  <c r="F176" i="1"/>
  <c r="O177" i="1"/>
  <c r="M177" i="1"/>
  <c r="N177" i="1" s="1"/>
  <c r="K177" i="1"/>
  <c r="J177" i="1"/>
  <c r="G177" i="1"/>
  <c r="F177" i="1"/>
  <c r="M178" i="1"/>
  <c r="O178" i="1" s="1"/>
  <c r="K178" i="1"/>
  <c r="J178" i="1"/>
  <c r="G178" i="1"/>
  <c r="F178" i="1"/>
  <c r="M179" i="1"/>
  <c r="O179" i="1" s="1"/>
  <c r="K179" i="1"/>
  <c r="J179" i="1"/>
  <c r="G179" i="1"/>
  <c r="F179" i="1"/>
  <c r="M180" i="1"/>
  <c r="O180" i="1" s="1"/>
  <c r="K180" i="1"/>
  <c r="J180" i="1"/>
  <c r="G180" i="1"/>
  <c r="F180" i="1"/>
  <c r="M181" i="1"/>
  <c r="O181" i="1" s="1"/>
  <c r="K181" i="1"/>
  <c r="J181" i="1"/>
  <c r="G181" i="1"/>
  <c r="F181" i="1"/>
  <c r="M182" i="1"/>
  <c r="O182" i="1" s="1"/>
  <c r="K182" i="1"/>
  <c r="J182" i="1"/>
  <c r="G182" i="1"/>
  <c r="F182" i="1"/>
  <c r="M183" i="1"/>
  <c r="O183" i="1" s="1"/>
  <c r="K183" i="1"/>
  <c r="J183" i="1"/>
  <c r="F183" i="1"/>
  <c r="G183" i="1" s="1"/>
  <c r="M185" i="1"/>
  <c r="O185" i="1" s="1"/>
  <c r="K185" i="1"/>
  <c r="J185" i="1"/>
  <c r="G185" i="1"/>
  <c r="F185" i="1"/>
  <c r="M186" i="1"/>
  <c r="O186" i="1" s="1"/>
  <c r="K186" i="1"/>
  <c r="J186" i="1"/>
  <c r="F186" i="1"/>
  <c r="G186" i="1" s="1"/>
  <c r="M187" i="1"/>
  <c r="O187" i="1" s="1"/>
  <c r="K187" i="1"/>
  <c r="J187" i="1"/>
  <c r="F187" i="1"/>
  <c r="G187" i="1" s="1"/>
  <c r="M188" i="1"/>
  <c r="O188" i="1" s="1"/>
  <c r="K188" i="1"/>
  <c r="J188" i="1"/>
  <c r="G188" i="1"/>
  <c r="F188" i="1"/>
  <c r="M189" i="1"/>
  <c r="O189" i="1" s="1"/>
  <c r="K189" i="1"/>
  <c r="J189" i="1"/>
  <c r="G189" i="1"/>
  <c r="F189" i="1"/>
  <c r="M190" i="1"/>
  <c r="O190" i="1" s="1"/>
  <c r="K190" i="1"/>
  <c r="J190" i="1"/>
  <c r="F190" i="1"/>
  <c r="G190" i="1" s="1"/>
  <c r="M191" i="1"/>
  <c r="O191" i="1" s="1"/>
  <c r="K191" i="1"/>
  <c r="J191" i="1"/>
  <c r="G191" i="1"/>
  <c r="F191" i="1"/>
  <c r="M192" i="1"/>
  <c r="O192" i="1" s="1"/>
  <c r="K192" i="1"/>
  <c r="J192" i="1"/>
  <c r="F192" i="1"/>
  <c r="G192" i="1" s="1"/>
  <c r="M193" i="1"/>
  <c r="O193" i="1" s="1"/>
  <c r="K193" i="1"/>
  <c r="J193" i="1"/>
  <c r="F193" i="1"/>
  <c r="G193" i="1" s="1"/>
  <c r="M194" i="1"/>
  <c r="O194" i="1" s="1"/>
  <c r="K194" i="1"/>
  <c r="J194" i="1"/>
  <c r="G194" i="1"/>
  <c r="F194" i="1"/>
  <c r="M195" i="1"/>
  <c r="O195" i="1" s="1"/>
  <c r="K195" i="1"/>
  <c r="J195" i="1"/>
  <c r="G195" i="1"/>
  <c r="F195" i="1"/>
  <c r="M196" i="1"/>
  <c r="O196" i="1" s="1"/>
  <c r="K196" i="1"/>
  <c r="J196" i="1"/>
  <c r="F196" i="1"/>
  <c r="G196" i="1" s="1"/>
  <c r="M198" i="1"/>
  <c r="O198" i="1" s="1"/>
  <c r="K198" i="1"/>
  <c r="J198" i="1"/>
  <c r="F198" i="1"/>
  <c r="G198" i="1" s="1"/>
  <c r="M199" i="1"/>
  <c r="O199" i="1" s="1"/>
  <c r="K199" i="1"/>
  <c r="J199" i="1"/>
  <c r="G199" i="1"/>
  <c r="F199" i="1"/>
  <c r="O200" i="1"/>
  <c r="M200" i="1"/>
  <c r="N200" i="1" s="1"/>
  <c r="K200" i="1"/>
  <c r="J200" i="1"/>
  <c r="G200" i="1"/>
  <c r="F200" i="1"/>
  <c r="M201" i="1"/>
  <c r="O201" i="1" s="1"/>
  <c r="K201" i="1"/>
  <c r="J201" i="1"/>
  <c r="G201" i="1"/>
  <c r="F201" i="1"/>
  <c r="M202" i="1"/>
  <c r="O202" i="1" s="1"/>
  <c r="K202" i="1"/>
  <c r="J202" i="1"/>
  <c r="G202" i="1"/>
  <c r="F202" i="1"/>
  <c r="M203" i="1"/>
  <c r="O203" i="1" s="1"/>
  <c r="K203" i="1"/>
  <c r="J203" i="1"/>
  <c r="F203" i="1"/>
  <c r="G203" i="1" s="1"/>
  <c r="M204" i="1"/>
  <c r="O204" i="1" s="1"/>
  <c r="K204" i="1"/>
  <c r="J204" i="1"/>
  <c r="G204" i="1"/>
  <c r="F204" i="1"/>
  <c r="M205" i="1"/>
  <c r="O205" i="1" s="1"/>
  <c r="K205" i="1"/>
  <c r="J205" i="1"/>
  <c r="G205" i="1"/>
  <c r="F205" i="1"/>
  <c r="M206" i="1"/>
  <c r="O206" i="1" s="1"/>
  <c r="K206" i="1"/>
  <c r="J206" i="1"/>
  <c r="G206" i="1"/>
  <c r="F206" i="1"/>
  <c r="M207" i="1"/>
  <c r="O207" i="1" s="1"/>
  <c r="K207" i="1"/>
  <c r="J207" i="1"/>
  <c r="G207" i="1"/>
  <c r="F207" i="1"/>
  <c r="M208" i="1"/>
  <c r="O208" i="1" s="1"/>
  <c r="K208" i="1"/>
  <c r="J208" i="1"/>
  <c r="G208" i="1"/>
  <c r="F208" i="1"/>
  <c r="M209" i="1"/>
  <c r="O209" i="1" s="1"/>
  <c r="K209" i="1"/>
  <c r="J209" i="1"/>
  <c r="G209" i="1"/>
  <c r="F209" i="1"/>
  <c r="M211" i="1"/>
  <c r="O211" i="1" s="1"/>
  <c r="K211" i="1"/>
  <c r="J211" i="1"/>
  <c r="G211" i="1"/>
  <c r="F211" i="1"/>
  <c r="M212" i="1"/>
  <c r="O212" i="1" s="1"/>
  <c r="K212" i="1"/>
  <c r="J212" i="1"/>
  <c r="G212" i="1"/>
  <c r="F212" i="1"/>
  <c r="M213" i="1"/>
  <c r="O213" i="1" s="1"/>
  <c r="K213" i="1"/>
  <c r="J213" i="1"/>
  <c r="G213" i="1"/>
  <c r="F213" i="1"/>
  <c r="M214" i="1"/>
  <c r="O214" i="1" s="1"/>
  <c r="K214" i="1"/>
  <c r="J214" i="1"/>
  <c r="G214" i="1"/>
  <c r="F214" i="1"/>
  <c r="M215" i="1"/>
  <c r="O215" i="1" s="1"/>
  <c r="K215" i="1"/>
  <c r="J215" i="1"/>
  <c r="G215" i="1"/>
  <c r="F215" i="1"/>
  <c r="M216" i="1"/>
  <c r="O216" i="1" s="1"/>
  <c r="K216" i="1"/>
  <c r="J216" i="1"/>
  <c r="G216" i="1"/>
  <c r="F216" i="1"/>
  <c r="O217" i="1"/>
  <c r="M217" i="1"/>
  <c r="N217" i="1" s="1"/>
  <c r="K217" i="1"/>
  <c r="J217" i="1"/>
  <c r="F217" i="1"/>
  <c r="G217" i="1" s="1"/>
  <c r="M218" i="1"/>
  <c r="O218" i="1" s="1"/>
  <c r="K218" i="1"/>
  <c r="J218" i="1"/>
  <c r="G218" i="1"/>
  <c r="F218" i="1"/>
  <c r="O219" i="1"/>
  <c r="M219" i="1"/>
  <c r="N219" i="1" s="1"/>
  <c r="K219" i="1"/>
  <c r="J219" i="1"/>
  <c r="F219" i="1"/>
  <c r="G219" i="1" s="1"/>
  <c r="M220" i="1"/>
  <c r="O220" i="1" s="1"/>
  <c r="K220" i="1"/>
  <c r="J220" i="1"/>
  <c r="G220" i="1"/>
  <c r="F220" i="1"/>
  <c r="M221" i="1"/>
  <c r="O221" i="1" s="1"/>
  <c r="K221" i="1"/>
  <c r="J221" i="1"/>
  <c r="G221" i="1"/>
  <c r="F221" i="1"/>
  <c r="M222" i="1"/>
  <c r="O222" i="1" s="1"/>
  <c r="K222" i="1"/>
  <c r="J222" i="1"/>
  <c r="G222" i="1"/>
  <c r="F222" i="1"/>
  <c r="M224" i="1"/>
  <c r="O224" i="1" s="1"/>
  <c r="K224" i="1"/>
  <c r="J224" i="1"/>
  <c r="G224" i="1"/>
  <c r="F224" i="1"/>
  <c r="M225" i="1"/>
  <c r="O225" i="1" s="1"/>
  <c r="K225" i="1"/>
  <c r="J225" i="1"/>
  <c r="G225" i="1"/>
  <c r="F225" i="1"/>
  <c r="M226" i="1"/>
  <c r="O226" i="1" s="1"/>
  <c r="K226" i="1"/>
  <c r="J226" i="1"/>
  <c r="G226" i="1"/>
  <c r="F226" i="1"/>
  <c r="M227" i="1"/>
  <c r="O227" i="1" s="1"/>
  <c r="K227" i="1"/>
  <c r="J227" i="1"/>
  <c r="G227" i="1"/>
  <c r="F227" i="1"/>
  <c r="M228" i="1"/>
  <c r="O228" i="1" s="1"/>
  <c r="K228" i="1"/>
  <c r="J228" i="1"/>
  <c r="F228" i="1"/>
  <c r="G228" i="1" s="1"/>
  <c r="M229" i="1"/>
  <c r="O229" i="1" s="1"/>
  <c r="K229" i="1"/>
  <c r="J229" i="1"/>
  <c r="G229" i="1"/>
  <c r="F229" i="1"/>
  <c r="M230" i="1"/>
  <c r="O230" i="1" s="1"/>
  <c r="K230" i="1"/>
  <c r="J230" i="1"/>
  <c r="G230" i="1"/>
  <c r="F230" i="1"/>
  <c r="M231" i="1"/>
  <c r="O231" i="1" s="1"/>
  <c r="K231" i="1"/>
  <c r="J231" i="1"/>
  <c r="G231" i="1"/>
  <c r="F231" i="1"/>
  <c r="M232" i="1"/>
  <c r="O232" i="1" s="1"/>
  <c r="K232" i="1"/>
  <c r="J232" i="1"/>
  <c r="G232" i="1"/>
  <c r="F232" i="1"/>
  <c r="M233" i="1"/>
  <c r="O233" i="1" s="1"/>
  <c r="K233" i="1"/>
  <c r="J233" i="1"/>
  <c r="G233" i="1"/>
  <c r="F233" i="1"/>
  <c r="M234" i="1"/>
  <c r="O234" i="1" s="1"/>
  <c r="K234" i="1"/>
  <c r="J234" i="1"/>
  <c r="G234" i="1"/>
  <c r="F234" i="1"/>
  <c r="M235" i="1"/>
  <c r="O235" i="1" s="1"/>
  <c r="K235" i="1"/>
  <c r="J235" i="1"/>
  <c r="F235" i="1"/>
  <c r="G235" i="1" s="1"/>
  <c r="M237" i="1"/>
  <c r="O237" i="1" s="1"/>
  <c r="K237" i="1"/>
  <c r="J237" i="1"/>
  <c r="G237" i="1"/>
  <c r="F237" i="1"/>
  <c r="M238" i="1"/>
  <c r="O238" i="1" s="1"/>
  <c r="K238" i="1"/>
  <c r="J238" i="1"/>
  <c r="F238" i="1"/>
  <c r="G238" i="1" s="1"/>
  <c r="M239" i="1"/>
  <c r="O239" i="1" s="1"/>
  <c r="K239" i="1"/>
  <c r="J239" i="1"/>
  <c r="G239" i="1"/>
  <c r="F239" i="1"/>
  <c r="M240" i="1"/>
  <c r="O240" i="1" s="1"/>
  <c r="K240" i="1"/>
  <c r="J240" i="1"/>
  <c r="G240" i="1"/>
  <c r="F240" i="1"/>
  <c r="O241" i="1"/>
  <c r="M241" i="1"/>
  <c r="N241" i="1" s="1"/>
  <c r="K241" i="1"/>
  <c r="J241" i="1"/>
  <c r="F241" i="1"/>
  <c r="G241" i="1" s="1"/>
  <c r="M242" i="1"/>
  <c r="O242" i="1" s="1"/>
  <c r="K242" i="1"/>
  <c r="J242" i="1"/>
  <c r="G242" i="1"/>
  <c r="F242" i="1"/>
  <c r="M243" i="1"/>
  <c r="O243" i="1" s="1"/>
  <c r="K243" i="1"/>
  <c r="J243" i="1"/>
  <c r="F243" i="1"/>
  <c r="G243" i="1" s="1"/>
  <c r="M244" i="1"/>
  <c r="O244" i="1" s="1"/>
  <c r="K244" i="1"/>
  <c r="J244" i="1"/>
  <c r="F244" i="1"/>
  <c r="G244" i="1" s="1"/>
  <c r="M245" i="1"/>
  <c r="O245" i="1" s="1"/>
  <c r="K245" i="1"/>
  <c r="J245" i="1"/>
  <c r="G245" i="1"/>
  <c r="F245" i="1"/>
  <c r="M246" i="1"/>
  <c r="O246" i="1" s="1"/>
  <c r="K246" i="1"/>
  <c r="J246" i="1"/>
  <c r="F246" i="1"/>
  <c r="G246" i="1" s="1"/>
  <c r="M247" i="1"/>
  <c r="O247" i="1" s="1"/>
  <c r="K247" i="1"/>
  <c r="J247" i="1"/>
  <c r="G247" i="1"/>
  <c r="F247" i="1"/>
  <c r="M248" i="1"/>
  <c r="O248" i="1" s="1"/>
  <c r="K248" i="1"/>
  <c r="J248" i="1"/>
  <c r="G248" i="1"/>
  <c r="F248" i="1"/>
  <c r="M250" i="1"/>
  <c r="O250" i="1" s="1"/>
  <c r="K250" i="1"/>
  <c r="J250" i="1"/>
  <c r="F250" i="1"/>
  <c r="G250" i="1" s="1"/>
  <c r="M251" i="1"/>
  <c r="O251" i="1" s="1"/>
  <c r="K251" i="1"/>
  <c r="J251" i="1"/>
  <c r="G251" i="1"/>
  <c r="F251" i="1"/>
  <c r="M252" i="1"/>
  <c r="O252" i="1" s="1"/>
  <c r="K252" i="1"/>
  <c r="J252" i="1"/>
  <c r="G252" i="1"/>
  <c r="F252" i="1"/>
  <c r="M253" i="1"/>
  <c r="O253" i="1" s="1"/>
  <c r="K253" i="1"/>
  <c r="J253" i="1"/>
  <c r="G253" i="1"/>
  <c r="F253" i="1"/>
  <c r="M254" i="1"/>
  <c r="O254" i="1" s="1"/>
  <c r="K254" i="1"/>
  <c r="J254" i="1"/>
  <c r="G254" i="1"/>
  <c r="F254" i="1"/>
  <c r="M255" i="1"/>
  <c r="O255" i="1" s="1"/>
  <c r="K255" i="1"/>
  <c r="J255" i="1"/>
  <c r="F255" i="1"/>
  <c r="G255" i="1" s="1"/>
  <c r="M256" i="1"/>
  <c r="O256" i="1" s="1"/>
  <c r="K256" i="1"/>
  <c r="J256" i="1"/>
  <c r="G256" i="1"/>
  <c r="F256" i="1"/>
  <c r="M257" i="1"/>
  <c r="O257" i="1" s="1"/>
  <c r="K257" i="1"/>
  <c r="J257" i="1"/>
  <c r="F257" i="1"/>
  <c r="G257" i="1" s="1"/>
  <c r="M258" i="1"/>
  <c r="O258" i="1" s="1"/>
  <c r="K258" i="1"/>
  <c r="J258" i="1"/>
  <c r="F258" i="1"/>
  <c r="G258" i="1" s="1"/>
  <c r="M259" i="1"/>
  <c r="O259" i="1" s="1"/>
  <c r="K259" i="1"/>
  <c r="J259" i="1"/>
  <c r="G259" i="1"/>
  <c r="F259" i="1"/>
  <c r="M260" i="1"/>
  <c r="O260" i="1" s="1"/>
  <c r="K260" i="1"/>
  <c r="J260" i="1"/>
  <c r="F260" i="1"/>
  <c r="G260" i="1" s="1"/>
  <c r="M261" i="1"/>
  <c r="O261" i="1" s="1"/>
  <c r="K261" i="1"/>
  <c r="J261" i="1"/>
  <c r="G261" i="1"/>
  <c r="F261" i="1"/>
  <c r="M263" i="1"/>
  <c r="O263" i="1" s="1"/>
  <c r="K263" i="1"/>
  <c r="J263" i="1"/>
  <c r="G263" i="1"/>
  <c r="F263" i="1"/>
  <c r="M264" i="1"/>
  <c r="O264" i="1" s="1"/>
  <c r="K264" i="1"/>
  <c r="J264" i="1"/>
  <c r="G264" i="1"/>
  <c r="F264" i="1"/>
  <c r="M265" i="1"/>
  <c r="O265" i="1" s="1"/>
  <c r="K265" i="1"/>
  <c r="J265" i="1"/>
  <c r="G265" i="1"/>
  <c r="F265" i="1"/>
  <c r="O266" i="1"/>
  <c r="M266" i="1"/>
  <c r="N266" i="1" s="1"/>
  <c r="K266" i="1"/>
  <c r="J266" i="1"/>
  <c r="F266" i="1"/>
  <c r="G266" i="1" s="1"/>
  <c r="M267" i="1"/>
  <c r="O267" i="1" s="1"/>
  <c r="K267" i="1"/>
  <c r="J267" i="1"/>
  <c r="G267" i="1"/>
  <c r="F267" i="1"/>
  <c r="M268" i="1"/>
  <c r="O268" i="1" s="1"/>
  <c r="K268" i="1"/>
  <c r="J268" i="1"/>
  <c r="F268" i="1"/>
  <c r="G268" i="1" s="1"/>
  <c r="M269" i="1"/>
  <c r="O269" i="1" s="1"/>
  <c r="K269" i="1"/>
  <c r="J269" i="1"/>
  <c r="G269" i="1"/>
  <c r="F269" i="1"/>
  <c r="M270" i="1"/>
  <c r="O270" i="1" s="1"/>
  <c r="K270" i="1"/>
  <c r="J270" i="1"/>
  <c r="F270" i="1"/>
  <c r="G270" i="1" s="1"/>
  <c r="M271" i="1"/>
  <c r="O271" i="1" s="1"/>
  <c r="K271" i="1"/>
  <c r="J271" i="1"/>
  <c r="F271" i="1"/>
  <c r="G271" i="1" s="1"/>
  <c r="M272" i="1"/>
  <c r="O272" i="1" s="1"/>
  <c r="K272" i="1"/>
  <c r="J272" i="1"/>
  <c r="G272" i="1"/>
  <c r="F272" i="1"/>
  <c r="M273" i="1"/>
  <c r="O273" i="1" s="1"/>
  <c r="K273" i="1"/>
  <c r="J273" i="1"/>
  <c r="G273" i="1"/>
  <c r="F273" i="1"/>
  <c r="M274" i="1"/>
  <c r="O274" i="1" s="1"/>
  <c r="K274" i="1"/>
  <c r="J274" i="1"/>
  <c r="G274" i="1"/>
  <c r="F274" i="1"/>
  <c r="M276" i="1"/>
  <c r="O276" i="1" s="1"/>
  <c r="K276" i="1"/>
  <c r="J276" i="1"/>
  <c r="G276" i="1"/>
  <c r="F276" i="1"/>
  <c r="M277" i="1"/>
  <c r="O277" i="1" s="1"/>
  <c r="K277" i="1"/>
  <c r="J277" i="1"/>
  <c r="F277" i="1"/>
  <c r="G277" i="1" s="1"/>
  <c r="M278" i="1"/>
  <c r="O278" i="1" s="1"/>
  <c r="K278" i="1"/>
  <c r="J278" i="1"/>
  <c r="G278" i="1"/>
  <c r="F278" i="1"/>
  <c r="M279" i="1"/>
  <c r="O279" i="1" s="1"/>
  <c r="K279" i="1"/>
  <c r="J279" i="1"/>
  <c r="F279" i="1"/>
  <c r="G279" i="1" s="1"/>
  <c r="M280" i="1"/>
  <c r="O280" i="1" s="1"/>
  <c r="K280" i="1"/>
  <c r="J280" i="1"/>
  <c r="G280" i="1"/>
  <c r="F280" i="1"/>
  <c r="M281" i="1"/>
  <c r="O281" i="1" s="1"/>
  <c r="K281" i="1"/>
  <c r="J281" i="1"/>
  <c r="F281" i="1"/>
  <c r="G281" i="1" s="1"/>
  <c r="M282" i="1"/>
  <c r="O282" i="1" s="1"/>
  <c r="K282" i="1"/>
  <c r="J282" i="1"/>
  <c r="F282" i="1"/>
  <c r="G282" i="1" s="1"/>
  <c r="M283" i="1"/>
  <c r="O283" i="1" s="1"/>
  <c r="K283" i="1"/>
  <c r="J283" i="1"/>
  <c r="G283" i="1"/>
  <c r="F283" i="1"/>
  <c r="M284" i="1"/>
  <c r="O284" i="1" s="1"/>
  <c r="K284" i="1"/>
  <c r="J284" i="1"/>
  <c r="G284" i="1"/>
  <c r="F284" i="1"/>
  <c r="M285" i="1"/>
  <c r="O285" i="1" s="1"/>
  <c r="K285" i="1"/>
  <c r="J285" i="1"/>
  <c r="G285" i="1"/>
  <c r="F285" i="1"/>
  <c r="M286" i="1"/>
  <c r="O286" i="1" s="1"/>
  <c r="K286" i="1"/>
  <c r="J286" i="1"/>
  <c r="G286" i="1"/>
  <c r="F286" i="1"/>
  <c r="M287" i="1"/>
  <c r="O287" i="1" s="1"/>
  <c r="K287" i="1"/>
  <c r="J287" i="1"/>
  <c r="G287" i="1"/>
  <c r="F287" i="1"/>
  <c r="M289" i="1"/>
  <c r="N289" i="1" s="1"/>
  <c r="K289" i="1"/>
  <c r="J289" i="1"/>
  <c r="F289" i="1"/>
  <c r="G289" i="1" s="1"/>
  <c r="M290" i="1"/>
  <c r="N290" i="1" s="1"/>
  <c r="K290" i="1"/>
  <c r="J290" i="1"/>
  <c r="F290" i="1"/>
  <c r="G290" i="1" s="1"/>
  <c r="M291" i="1"/>
  <c r="O291" i="1" s="1"/>
  <c r="K291" i="1"/>
  <c r="J291" i="1"/>
  <c r="G291" i="1"/>
  <c r="F291" i="1"/>
  <c r="M292" i="1"/>
  <c r="N292" i="1" s="1"/>
  <c r="K292" i="1"/>
  <c r="J292" i="1"/>
  <c r="F292" i="1"/>
  <c r="G292" i="1" s="1"/>
  <c r="M293" i="1"/>
  <c r="O293" i="1" s="1"/>
  <c r="K293" i="1"/>
  <c r="J293" i="1"/>
  <c r="G293" i="1"/>
  <c r="F293" i="1"/>
  <c r="M294" i="1"/>
  <c r="O294" i="1" s="1"/>
  <c r="K294" i="1"/>
  <c r="J294" i="1"/>
  <c r="G294" i="1"/>
  <c r="F294" i="1"/>
  <c r="M295" i="1"/>
  <c r="O295" i="1" s="1"/>
  <c r="K295" i="1"/>
  <c r="J295" i="1"/>
  <c r="G295" i="1"/>
  <c r="F295" i="1"/>
  <c r="M296" i="1"/>
  <c r="O296" i="1" s="1"/>
  <c r="K296" i="1"/>
  <c r="J296" i="1"/>
  <c r="G296" i="1"/>
  <c r="F296" i="1"/>
  <c r="M297" i="1"/>
  <c r="O297" i="1" s="1"/>
  <c r="K297" i="1"/>
  <c r="J297" i="1"/>
  <c r="G297" i="1"/>
  <c r="F297" i="1"/>
  <c r="M298" i="1"/>
  <c r="O298" i="1" s="1"/>
  <c r="K298" i="1"/>
  <c r="J298" i="1"/>
  <c r="G298" i="1"/>
  <c r="F298" i="1"/>
  <c r="M299" i="1"/>
  <c r="O299" i="1" s="1"/>
  <c r="K299" i="1"/>
  <c r="J299" i="1"/>
  <c r="F299" i="1"/>
  <c r="G299" i="1" s="1"/>
  <c r="M300" i="1"/>
  <c r="O300" i="1" s="1"/>
  <c r="K300" i="1"/>
  <c r="J300" i="1"/>
  <c r="G300" i="1"/>
  <c r="F300" i="1"/>
  <c r="M302" i="1"/>
  <c r="O302" i="1" s="1"/>
  <c r="K302" i="1"/>
  <c r="J302" i="1"/>
  <c r="F302" i="1"/>
  <c r="G302" i="1" s="1"/>
  <c r="M303" i="1"/>
  <c r="O303" i="1" s="1"/>
  <c r="K303" i="1"/>
  <c r="J303" i="1"/>
  <c r="F303" i="1"/>
  <c r="G303" i="1" s="1"/>
  <c r="M304" i="1"/>
  <c r="O304" i="1" s="1"/>
  <c r="K304" i="1"/>
  <c r="J304" i="1"/>
  <c r="F304" i="1"/>
  <c r="G304" i="1" s="1"/>
  <c r="M305" i="1"/>
  <c r="O305" i="1" s="1"/>
  <c r="K305" i="1"/>
  <c r="J305" i="1"/>
  <c r="G305" i="1"/>
  <c r="F305" i="1"/>
  <c r="M306" i="1"/>
  <c r="O306" i="1" s="1"/>
  <c r="K306" i="1"/>
  <c r="J306" i="1"/>
  <c r="F306" i="1"/>
  <c r="G306" i="1" s="1"/>
  <c r="M307" i="1"/>
  <c r="O307" i="1" s="1"/>
  <c r="K307" i="1"/>
  <c r="J307" i="1"/>
  <c r="G307" i="1"/>
  <c r="F307" i="1"/>
  <c r="M308" i="1"/>
  <c r="O308" i="1" s="1"/>
  <c r="K308" i="1"/>
  <c r="J308" i="1"/>
  <c r="F308" i="1"/>
  <c r="G308" i="1" s="1"/>
  <c r="M309" i="1"/>
  <c r="O309" i="1" s="1"/>
  <c r="K309" i="1"/>
  <c r="J309" i="1"/>
  <c r="F309" i="1"/>
  <c r="G309" i="1" s="1"/>
  <c r="M310" i="1"/>
  <c r="O310" i="1" s="1"/>
  <c r="K310" i="1"/>
  <c r="J310" i="1"/>
  <c r="F310" i="1"/>
  <c r="G310" i="1" s="1"/>
  <c r="M311" i="1"/>
  <c r="O311" i="1" s="1"/>
  <c r="K311" i="1"/>
  <c r="J311" i="1"/>
  <c r="F311" i="1"/>
  <c r="G311" i="1" s="1"/>
  <c r="O312" i="1"/>
  <c r="M312" i="1"/>
  <c r="N312" i="1" s="1"/>
  <c r="K312" i="1"/>
  <c r="J312" i="1"/>
  <c r="F312" i="1"/>
  <c r="G312" i="1" s="1"/>
  <c r="M313" i="1"/>
  <c r="O313" i="1" s="1"/>
  <c r="K313" i="1"/>
  <c r="J313" i="1"/>
  <c r="G313" i="1"/>
  <c r="F313" i="1"/>
  <c r="M315" i="1"/>
  <c r="O315" i="1" s="1"/>
  <c r="K315" i="1"/>
  <c r="J315" i="1"/>
  <c r="G315" i="1"/>
  <c r="F315" i="1"/>
  <c r="M316" i="1"/>
  <c r="O316" i="1" s="1"/>
  <c r="K316" i="1"/>
  <c r="J316" i="1"/>
  <c r="G316" i="1"/>
  <c r="F316" i="1"/>
  <c r="M317" i="1"/>
  <c r="O317" i="1" s="1"/>
  <c r="K317" i="1"/>
  <c r="J317" i="1"/>
  <c r="G317" i="1"/>
  <c r="F317" i="1"/>
  <c r="M318" i="1"/>
  <c r="O318" i="1" s="1"/>
  <c r="K318" i="1"/>
  <c r="J318" i="1"/>
  <c r="G318" i="1"/>
  <c r="F318" i="1"/>
  <c r="M319" i="1"/>
  <c r="O319" i="1" s="1"/>
  <c r="K319" i="1"/>
  <c r="J319" i="1"/>
  <c r="G319" i="1"/>
  <c r="F319" i="1"/>
  <c r="M320" i="1"/>
  <c r="O320" i="1" s="1"/>
  <c r="K320" i="1"/>
  <c r="J320" i="1"/>
  <c r="G320" i="1"/>
  <c r="F320" i="1"/>
  <c r="M321" i="1"/>
  <c r="O321" i="1" s="1"/>
  <c r="K321" i="1"/>
  <c r="J321" i="1"/>
  <c r="G321" i="1"/>
  <c r="F321" i="1"/>
  <c r="M322" i="1"/>
  <c r="O322" i="1" s="1"/>
  <c r="K322" i="1"/>
  <c r="J322" i="1"/>
  <c r="G322" i="1"/>
  <c r="F322" i="1"/>
  <c r="M323" i="1"/>
  <c r="O323" i="1" s="1"/>
  <c r="K323" i="1"/>
  <c r="J323" i="1"/>
  <c r="G323" i="1"/>
  <c r="F323" i="1"/>
  <c r="M324" i="1"/>
  <c r="O324" i="1" s="1"/>
  <c r="K324" i="1"/>
  <c r="J324" i="1"/>
  <c r="G324" i="1"/>
  <c r="F324" i="1"/>
  <c r="M325" i="1"/>
  <c r="O325" i="1" s="1"/>
  <c r="K325" i="1"/>
  <c r="J325" i="1"/>
  <c r="G325" i="1"/>
  <c r="F325" i="1"/>
  <c r="M326" i="1"/>
  <c r="O326" i="1" s="1"/>
  <c r="K326" i="1"/>
  <c r="J326" i="1"/>
  <c r="G326" i="1"/>
  <c r="F326" i="1"/>
  <c r="M328" i="1"/>
  <c r="O328" i="1" s="1"/>
  <c r="K328" i="1"/>
  <c r="J328" i="1"/>
  <c r="F328" i="1"/>
  <c r="G328" i="1" s="1"/>
  <c r="O329" i="1"/>
  <c r="M329" i="1"/>
  <c r="N329" i="1" s="1"/>
  <c r="K329" i="1"/>
  <c r="J329" i="1"/>
  <c r="F329" i="1"/>
  <c r="G329" i="1" s="1"/>
  <c r="M330" i="1"/>
  <c r="O330" i="1" s="1"/>
  <c r="K330" i="1"/>
  <c r="J330" i="1"/>
  <c r="G330" i="1"/>
  <c r="F330" i="1"/>
  <c r="M331" i="1"/>
  <c r="O331" i="1" s="1"/>
  <c r="K331" i="1"/>
  <c r="J331" i="1"/>
  <c r="G331" i="1"/>
  <c r="F331" i="1"/>
  <c r="M332" i="1"/>
  <c r="O332" i="1" s="1"/>
  <c r="K332" i="1"/>
  <c r="J332" i="1"/>
  <c r="F332" i="1"/>
  <c r="G332" i="1" s="1"/>
  <c r="M333" i="1"/>
  <c r="O333" i="1" s="1"/>
  <c r="K333" i="1"/>
  <c r="J333" i="1"/>
  <c r="G333" i="1"/>
  <c r="F333" i="1"/>
  <c r="M334" i="1"/>
  <c r="O334" i="1" s="1"/>
  <c r="K334" i="1"/>
  <c r="J334" i="1"/>
  <c r="F334" i="1"/>
  <c r="G334" i="1" s="1"/>
  <c r="M335" i="1"/>
  <c r="O335" i="1" s="1"/>
  <c r="K335" i="1"/>
  <c r="J335" i="1"/>
  <c r="G335" i="1"/>
  <c r="F335" i="1"/>
  <c r="M336" i="1"/>
  <c r="O336" i="1" s="1"/>
  <c r="K336" i="1"/>
  <c r="J336" i="1"/>
  <c r="G336" i="1"/>
  <c r="F336" i="1"/>
  <c r="M337" i="1"/>
  <c r="O337" i="1" s="1"/>
  <c r="K337" i="1"/>
  <c r="J337" i="1"/>
  <c r="G337" i="1"/>
  <c r="F337" i="1"/>
  <c r="M338" i="1"/>
  <c r="O338" i="1" s="1"/>
  <c r="K338" i="1"/>
  <c r="J338" i="1"/>
  <c r="G338" i="1"/>
  <c r="F338" i="1"/>
  <c r="M339" i="1"/>
  <c r="O339" i="1" s="1"/>
  <c r="K339" i="1"/>
  <c r="J339" i="1"/>
  <c r="G339" i="1"/>
  <c r="F339" i="1"/>
  <c r="M341" i="1"/>
  <c r="O341" i="1" s="1"/>
  <c r="K341" i="1"/>
  <c r="J341" i="1"/>
  <c r="G341" i="1"/>
  <c r="F341" i="1"/>
  <c r="M342" i="1"/>
  <c r="O342" i="1" s="1"/>
  <c r="K342" i="1"/>
  <c r="J342" i="1"/>
  <c r="G342" i="1"/>
  <c r="F342" i="1"/>
  <c r="M343" i="1"/>
  <c r="O343" i="1" s="1"/>
  <c r="K343" i="1"/>
  <c r="J343" i="1"/>
  <c r="G343" i="1"/>
  <c r="F343" i="1"/>
  <c r="O344" i="1"/>
  <c r="M344" i="1"/>
  <c r="N344" i="1" s="1"/>
  <c r="K344" i="1"/>
  <c r="J344" i="1"/>
  <c r="G344" i="1"/>
  <c r="F344" i="1"/>
  <c r="M345" i="1"/>
  <c r="O345" i="1" s="1"/>
  <c r="K345" i="1"/>
  <c r="J345" i="1"/>
  <c r="G345" i="1"/>
  <c r="F345" i="1"/>
  <c r="M346" i="1"/>
  <c r="O346" i="1" s="1"/>
  <c r="K346" i="1"/>
  <c r="J346" i="1"/>
  <c r="G346" i="1"/>
  <c r="F346" i="1"/>
  <c r="M347" i="1"/>
  <c r="O347" i="1" s="1"/>
  <c r="K347" i="1"/>
  <c r="J347" i="1"/>
  <c r="G347" i="1"/>
  <c r="F347" i="1"/>
  <c r="M348" i="1"/>
  <c r="O348" i="1" s="1"/>
  <c r="K348" i="1"/>
  <c r="J348" i="1"/>
  <c r="G348" i="1"/>
  <c r="F348" i="1"/>
  <c r="M349" i="1"/>
  <c r="O349" i="1" s="1"/>
  <c r="K349" i="1"/>
  <c r="J349" i="1"/>
  <c r="G349" i="1"/>
  <c r="F349" i="1"/>
  <c r="M350" i="1"/>
  <c r="O350" i="1" s="1"/>
  <c r="K350" i="1"/>
  <c r="J350" i="1"/>
  <c r="G350" i="1"/>
  <c r="F350" i="1"/>
  <c r="M351" i="1"/>
  <c r="O351" i="1" s="1"/>
  <c r="K351" i="1"/>
  <c r="J351" i="1"/>
  <c r="G351" i="1"/>
  <c r="F351" i="1"/>
  <c r="M352" i="1"/>
  <c r="O352" i="1" s="1"/>
  <c r="K352" i="1"/>
  <c r="J352" i="1"/>
  <c r="F352" i="1"/>
  <c r="G352" i="1" s="1"/>
  <c r="M354" i="1"/>
  <c r="O354" i="1" s="1"/>
  <c r="K354" i="1"/>
  <c r="J354" i="1"/>
  <c r="G354" i="1"/>
  <c r="F354" i="1"/>
  <c r="M355" i="1"/>
  <c r="O355" i="1" s="1"/>
  <c r="K355" i="1"/>
  <c r="J355" i="1"/>
  <c r="G355" i="1"/>
  <c r="F355" i="1"/>
  <c r="M356" i="1"/>
  <c r="O356" i="1" s="1"/>
  <c r="K356" i="1"/>
  <c r="J356" i="1"/>
  <c r="G356" i="1"/>
  <c r="F356" i="1"/>
  <c r="M357" i="1"/>
  <c r="O357" i="1" s="1"/>
  <c r="K357" i="1"/>
  <c r="J357" i="1"/>
  <c r="G357" i="1"/>
  <c r="F357" i="1"/>
  <c r="O358" i="1"/>
  <c r="M358" i="1"/>
  <c r="N358" i="1" s="1"/>
  <c r="K358" i="1"/>
  <c r="J358" i="1"/>
  <c r="G358" i="1"/>
  <c r="F358" i="1"/>
  <c r="M359" i="1"/>
  <c r="O359" i="1" s="1"/>
  <c r="K359" i="1"/>
  <c r="J359" i="1"/>
  <c r="G359" i="1"/>
  <c r="F359" i="1"/>
  <c r="M360" i="1"/>
  <c r="O360" i="1" s="1"/>
  <c r="K360" i="1"/>
  <c r="J360" i="1"/>
  <c r="F360" i="1"/>
  <c r="G360" i="1" s="1"/>
  <c r="M361" i="1"/>
  <c r="O361" i="1" s="1"/>
  <c r="K361" i="1"/>
  <c r="J361" i="1"/>
  <c r="G361" i="1"/>
  <c r="F361" i="1"/>
  <c r="M362" i="1"/>
  <c r="O362" i="1" s="1"/>
  <c r="K362" i="1"/>
  <c r="J362" i="1"/>
  <c r="G362" i="1"/>
  <c r="F362" i="1"/>
  <c r="M363" i="1"/>
  <c r="O363" i="1" s="1"/>
  <c r="K363" i="1"/>
  <c r="J363" i="1"/>
  <c r="G363" i="1"/>
  <c r="F363" i="1"/>
  <c r="M364" i="1"/>
  <c r="O364" i="1" s="1"/>
  <c r="K364" i="1"/>
  <c r="J364" i="1"/>
  <c r="G364" i="1"/>
  <c r="F364" i="1"/>
  <c r="O365" i="1"/>
  <c r="M365" i="1"/>
  <c r="N365" i="1" s="1"/>
  <c r="K365" i="1"/>
  <c r="J365" i="1"/>
  <c r="G365" i="1"/>
  <c r="F365" i="1"/>
  <c r="M367" i="1"/>
  <c r="O367" i="1" s="1"/>
  <c r="K367" i="1"/>
  <c r="J367" i="1"/>
  <c r="F367" i="1"/>
  <c r="G367" i="1" s="1"/>
  <c r="M368" i="1"/>
  <c r="O368" i="1" s="1"/>
  <c r="K368" i="1"/>
  <c r="J368" i="1"/>
  <c r="F368" i="1"/>
  <c r="G368" i="1" s="1"/>
  <c r="M369" i="1"/>
  <c r="O369" i="1" s="1"/>
  <c r="K369" i="1"/>
  <c r="J369" i="1"/>
  <c r="F369" i="1"/>
  <c r="G369" i="1" s="1"/>
  <c r="O370" i="1"/>
  <c r="M370" i="1"/>
  <c r="N370" i="1" s="1"/>
  <c r="K370" i="1"/>
  <c r="J370" i="1"/>
  <c r="F370" i="1"/>
  <c r="G370" i="1" s="1"/>
  <c r="M371" i="1"/>
  <c r="O371" i="1" s="1"/>
  <c r="K371" i="1"/>
  <c r="J371" i="1"/>
  <c r="G371" i="1"/>
  <c r="F371" i="1"/>
  <c r="M372" i="1"/>
  <c r="O372" i="1" s="1"/>
  <c r="K372" i="1"/>
  <c r="J372" i="1"/>
  <c r="G372" i="1"/>
  <c r="F372" i="1"/>
  <c r="O373" i="1"/>
  <c r="M373" i="1"/>
  <c r="N373" i="1" s="1"/>
  <c r="K373" i="1"/>
  <c r="J373" i="1"/>
  <c r="G373" i="1"/>
  <c r="F373" i="1"/>
  <c r="M374" i="1"/>
  <c r="O374" i="1" s="1"/>
  <c r="K374" i="1"/>
  <c r="J374" i="1"/>
  <c r="G374" i="1"/>
  <c r="F374" i="1"/>
  <c r="M375" i="1"/>
  <c r="O375" i="1" s="1"/>
  <c r="K375" i="1"/>
  <c r="J375" i="1"/>
  <c r="G375" i="1"/>
  <c r="F375" i="1"/>
  <c r="O376" i="1"/>
  <c r="M376" i="1"/>
  <c r="N376" i="1" s="1"/>
  <c r="K376" i="1"/>
  <c r="J376" i="1"/>
  <c r="F376" i="1"/>
  <c r="G376" i="1" s="1"/>
  <c r="M377" i="1"/>
  <c r="O377" i="1" s="1"/>
  <c r="K377" i="1"/>
  <c r="J377" i="1"/>
  <c r="G377" i="1"/>
  <c r="F377" i="1"/>
  <c r="M378" i="1"/>
  <c r="O378" i="1" s="1"/>
  <c r="K378" i="1"/>
  <c r="J378" i="1"/>
  <c r="F378" i="1"/>
  <c r="G378" i="1" s="1"/>
  <c r="M380" i="1"/>
  <c r="O380" i="1" s="1"/>
  <c r="K380" i="1"/>
  <c r="J380" i="1"/>
  <c r="F380" i="1"/>
  <c r="G380" i="1" s="1"/>
  <c r="M381" i="1"/>
  <c r="O381" i="1" s="1"/>
  <c r="K381" i="1"/>
  <c r="J381" i="1"/>
  <c r="F381" i="1"/>
  <c r="G381" i="1" s="1"/>
  <c r="M382" i="1"/>
  <c r="O382" i="1" s="1"/>
  <c r="K382" i="1"/>
  <c r="J382" i="1"/>
  <c r="G382" i="1"/>
  <c r="F382" i="1"/>
  <c r="M383" i="1"/>
  <c r="O383" i="1" s="1"/>
  <c r="K383" i="1"/>
  <c r="J383" i="1"/>
  <c r="G383" i="1"/>
  <c r="F383" i="1"/>
  <c r="M384" i="1"/>
  <c r="O384" i="1" s="1"/>
  <c r="K384" i="1"/>
  <c r="J384" i="1"/>
  <c r="G384" i="1"/>
  <c r="F384" i="1"/>
  <c r="M385" i="1"/>
  <c r="O385" i="1" s="1"/>
  <c r="K385" i="1"/>
  <c r="J385" i="1"/>
  <c r="G385" i="1"/>
  <c r="F385" i="1"/>
  <c r="M386" i="1"/>
  <c r="O386" i="1" s="1"/>
  <c r="K386" i="1"/>
  <c r="J386" i="1"/>
  <c r="G386" i="1"/>
  <c r="F386" i="1"/>
  <c r="M387" i="1"/>
  <c r="O387" i="1" s="1"/>
  <c r="K387" i="1"/>
  <c r="J387" i="1"/>
  <c r="G387" i="1"/>
  <c r="F387" i="1"/>
  <c r="M388" i="1"/>
  <c r="O388" i="1" s="1"/>
  <c r="K388" i="1"/>
  <c r="J388" i="1"/>
  <c r="G388" i="1"/>
  <c r="F388" i="1"/>
  <c r="M389" i="1"/>
  <c r="O389" i="1" s="1"/>
  <c r="K389" i="1"/>
  <c r="J389" i="1"/>
  <c r="G389" i="1"/>
  <c r="F389" i="1"/>
  <c r="M390" i="1"/>
  <c r="O390" i="1" s="1"/>
  <c r="K390" i="1"/>
  <c r="J390" i="1"/>
  <c r="G390" i="1"/>
  <c r="F390" i="1"/>
  <c r="M391" i="1"/>
  <c r="O391" i="1" s="1"/>
  <c r="K391" i="1"/>
  <c r="J391" i="1"/>
  <c r="G391" i="1"/>
  <c r="F391" i="1"/>
  <c r="M393" i="1"/>
  <c r="O393" i="1" s="1"/>
  <c r="K393" i="1"/>
  <c r="J393" i="1"/>
  <c r="G393" i="1"/>
  <c r="F393" i="1"/>
  <c r="M394" i="1"/>
  <c r="O394" i="1" s="1"/>
  <c r="K394" i="1"/>
  <c r="J394" i="1"/>
  <c r="G394" i="1"/>
  <c r="F394" i="1"/>
  <c r="M395" i="1"/>
  <c r="O395" i="1" s="1"/>
  <c r="K395" i="1"/>
  <c r="J395" i="1"/>
  <c r="G395" i="1"/>
  <c r="F395" i="1"/>
  <c r="M396" i="1"/>
  <c r="O396" i="1" s="1"/>
  <c r="K396" i="1"/>
  <c r="J396" i="1"/>
  <c r="G396" i="1"/>
  <c r="F396" i="1"/>
  <c r="M397" i="1"/>
  <c r="O397" i="1" s="1"/>
  <c r="K397" i="1"/>
  <c r="J397" i="1"/>
  <c r="G397" i="1"/>
  <c r="F397" i="1"/>
  <c r="M398" i="1"/>
  <c r="O398" i="1" s="1"/>
  <c r="K398" i="1"/>
  <c r="J398" i="1"/>
  <c r="G398" i="1"/>
  <c r="F398" i="1"/>
  <c r="M399" i="1"/>
  <c r="O399" i="1" s="1"/>
  <c r="K399" i="1"/>
  <c r="J399" i="1"/>
  <c r="G399" i="1"/>
  <c r="F399" i="1"/>
  <c r="M400" i="1"/>
  <c r="O400" i="1" s="1"/>
  <c r="K400" i="1"/>
  <c r="J400" i="1"/>
  <c r="G400" i="1"/>
  <c r="F400" i="1"/>
  <c r="M401" i="1"/>
  <c r="O401" i="1" s="1"/>
  <c r="K401" i="1"/>
  <c r="J401" i="1"/>
  <c r="G401" i="1"/>
  <c r="F401" i="1"/>
  <c r="M402" i="1"/>
  <c r="O402" i="1" s="1"/>
  <c r="K402" i="1"/>
  <c r="J402" i="1"/>
  <c r="G402" i="1"/>
  <c r="F402" i="1"/>
  <c r="M403" i="1"/>
  <c r="O403" i="1" s="1"/>
  <c r="K403" i="1"/>
  <c r="J403" i="1"/>
  <c r="G403" i="1"/>
  <c r="F403" i="1"/>
  <c r="M404" i="1"/>
  <c r="O404" i="1" s="1"/>
  <c r="K404" i="1"/>
  <c r="J404" i="1"/>
  <c r="G404" i="1"/>
  <c r="F404" i="1"/>
  <c r="M406" i="1"/>
  <c r="O406" i="1" s="1"/>
  <c r="K406" i="1"/>
  <c r="J406" i="1"/>
  <c r="G406" i="1"/>
  <c r="F406" i="1"/>
  <c r="M407" i="1"/>
  <c r="O407" i="1" s="1"/>
  <c r="K407" i="1"/>
  <c r="J407" i="1"/>
  <c r="F407" i="1"/>
  <c r="G407" i="1" s="1"/>
  <c r="M408" i="1"/>
  <c r="O408" i="1" s="1"/>
  <c r="K408" i="1"/>
  <c r="J408" i="1"/>
  <c r="G408" i="1"/>
  <c r="F408" i="1"/>
  <c r="M409" i="1"/>
  <c r="O409" i="1" s="1"/>
  <c r="K409" i="1"/>
  <c r="J409" i="1"/>
  <c r="G409" i="1"/>
  <c r="F409" i="1"/>
  <c r="M410" i="1"/>
  <c r="O410" i="1" s="1"/>
  <c r="K410" i="1"/>
  <c r="J410" i="1"/>
  <c r="G410" i="1"/>
  <c r="F410" i="1"/>
  <c r="M411" i="1"/>
  <c r="O411" i="1" s="1"/>
  <c r="K411" i="1"/>
  <c r="J411" i="1"/>
  <c r="G411" i="1"/>
  <c r="F411" i="1"/>
  <c r="M412" i="1"/>
  <c r="O412" i="1" s="1"/>
  <c r="K412" i="1"/>
  <c r="J412" i="1"/>
  <c r="G412" i="1"/>
  <c r="F412" i="1"/>
  <c r="M413" i="1"/>
  <c r="O413" i="1" s="1"/>
  <c r="K413" i="1"/>
  <c r="J413" i="1"/>
  <c r="G413" i="1"/>
  <c r="F413" i="1"/>
  <c r="M414" i="1"/>
  <c r="O414" i="1" s="1"/>
  <c r="K414" i="1"/>
  <c r="J414" i="1"/>
  <c r="G414" i="1"/>
  <c r="F414" i="1"/>
  <c r="M415" i="1"/>
  <c r="O415" i="1" s="1"/>
  <c r="K415" i="1"/>
  <c r="J415" i="1"/>
  <c r="G415" i="1"/>
  <c r="F415" i="1"/>
  <c r="M416" i="1"/>
  <c r="O416" i="1" s="1"/>
  <c r="K416" i="1"/>
  <c r="J416" i="1"/>
  <c r="G416" i="1"/>
  <c r="F416" i="1"/>
  <c r="M417" i="1"/>
  <c r="O417" i="1" s="1"/>
  <c r="K417" i="1"/>
  <c r="J417" i="1"/>
  <c r="G417" i="1"/>
  <c r="F417" i="1"/>
  <c r="M419" i="1"/>
  <c r="O419" i="1" s="1"/>
  <c r="K419" i="1"/>
  <c r="J419" i="1"/>
  <c r="G419" i="1"/>
  <c r="F419" i="1"/>
  <c r="O420" i="1"/>
  <c r="M420" i="1"/>
  <c r="N420" i="1" s="1"/>
  <c r="K420" i="1"/>
  <c r="J420" i="1"/>
  <c r="G420" i="1"/>
  <c r="F420" i="1"/>
  <c r="M421" i="1"/>
  <c r="O421" i="1" s="1"/>
  <c r="K421" i="1"/>
  <c r="J421" i="1"/>
  <c r="G421" i="1"/>
  <c r="F421" i="1"/>
  <c r="M422" i="1"/>
  <c r="O422" i="1" s="1"/>
  <c r="K422" i="1"/>
  <c r="J422" i="1"/>
  <c r="F422" i="1"/>
  <c r="G422" i="1" s="1"/>
  <c r="M423" i="1"/>
  <c r="O423" i="1" s="1"/>
  <c r="K423" i="1"/>
  <c r="J423" i="1"/>
  <c r="G423" i="1"/>
  <c r="F423" i="1"/>
  <c r="M424" i="1"/>
  <c r="O424" i="1" s="1"/>
  <c r="K424" i="1"/>
  <c r="J424" i="1"/>
  <c r="F424" i="1"/>
  <c r="G424" i="1" s="1"/>
  <c r="M425" i="1"/>
  <c r="O425" i="1" s="1"/>
  <c r="K425" i="1"/>
  <c r="J425" i="1"/>
  <c r="G425" i="1"/>
  <c r="F425" i="1"/>
  <c r="M426" i="1"/>
  <c r="O426" i="1" s="1"/>
  <c r="K426" i="1"/>
  <c r="J426" i="1"/>
  <c r="F426" i="1"/>
  <c r="G426" i="1" s="1"/>
  <c r="M427" i="1"/>
  <c r="O427" i="1" s="1"/>
  <c r="K427" i="1"/>
  <c r="J427" i="1"/>
  <c r="G427" i="1"/>
  <c r="F427" i="1"/>
  <c r="M428" i="1"/>
  <c r="O428" i="1" s="1"/>
  <c r="K428" i="1"/>
  <c r="J428" i="1"/>
  <c r="G428" i="1"/>
  <c r="F428" i="1"/>
  <c r="M429" i="1"/>
  <c r="O429" i="1" s="1"/>
  <c r="K429" i="1"/>
  <c r="J429" i="1"/>
  <c r="G429" i="1"/>
  <c r="F429" i="1"/>
  <c r="M430" i="1"/>
  <c r="O430" i="1" s="1"/>
  <c r="K430" i="1"/>
  <c r="J430" i="1"/>
  <c r="F430" i="1"/>
  <c r="G430" i="1" s="1"/>
  <c r="M432" i="1"/>
  <c r="O432" i="1" s="1"/>
  <c r="K432" i="1"/>
  <c r="J432" i="1"/>
  <c r="G432" i="1"/>
  <c r="F432" i="1"/>
  <c r="M433" i="1"/>
  <c r="O433" i="1" s="1"/>
  <c r="K433" i="1"/>
  <c r="J433" i="1"/>
  <c r="G433" i="1"/>
  <c r="F433" i="1"/>
  <c r="M434" i="1"/>
  <c r="O434" i="1" s="1"/>
  <c r="K434" i="1"/>
  <c r="J434" i="1"/>
  <c r="F434" i="1"/>
  <c r="G434" i="1" s="1"/>
  <c r="M435" i="1"/>
  <c r="O435" i="1" s="1"/>
  <c r="K435" i="1"/>
  <c r="J435" i="1"/>
  <c r="G435" i="1"/>
  <c r="F435" i="1"/>
  <c r="M436" i="1"/>
  <c r="O436" i="1" s="1"/>
  <c r="K436" i="1"/>
  <c r="J436" i="1"/>
  <c r="G436" i="1"/>
  <c r="F436" i="1"/>
  <c r="M437" i="1"/>
  <c r="O437" i="1" s="1"/>
  <c r="K437" i="1"/>
  <c r="J437" i="1"/>
  <c r="G437" i="1"/>
  <c r="F437" i="1"/>
  <c r="M438" i="1"/>
  <c r="O438" i="1" s="1"/>
  <c r="K438" i="1"/>
  <c r="J438" i="1"/>
  <c r="F438" i="1"/>
  <c r="G438" i="1" s="1"/>
  <c r="M439" i="1"/>
  <c r="O439" i="1" s="1"/>
  <c r="K439" i="1"/>
  <c r="J439" i="1"/>
  <c r="F439" i="1"/>
  <c r="G439" i="1" s="1"/>
  <c r="M440" i="1"/>
  <c r="O440" i="1" s="1"/>
  <c r="K440" i="1"/>
  <c r="J440" i="1"/>
  <c r="G440" i="1"/>
  <c r="F440" i="1"/>
  <c r="M441" i="1"/>
  <c r="O441" i="1" s="1"/>
  <c r="K441" i="1"/>
  <c r="J441" i="1"/>
  <c r="G441" i="1"/>
  <c r="F441" i="1"/>
  <c r="M442" i="1"/>
  <c r="O442" i="1" s="1"/>
  <c r="K442" i="1"/>
  <c r="J442" i="1"/>
  <c r="G442" i="1"/>
  <c r="F442" i="1"/>
  <c r="M443" i="1"/>
  <c r="O443" i="1" s="1"/>
  <c r="K443" i="1"/>
  <c r="J443" i="1"/>
  <c r="G443" i="1"/>
  <c r="F443" i="1"/>
  <c r="M445" i="1"/>
  <c r="O445" i="1" s="1"/>
  <c r="K445" i="1"/>
  <c r="J445" i="1"/>
  <c r="G445" i="1"/>
  <c r="F445" i="1"/>
  <c r="M446" i="1"/>
  <c r="O446" i="1" s="1"/>
  <c r="K446" i="1"/>
  <c r="J446" i="1"/>
  <c r="F446" i="1"/>
  <c r="G446" i="1" s="1"/>
  <c r="M447" i="1"/>
  <c r="O447" i="1" s="1"/>
  <c r="K447" i="1"/>
  <c r="J447" i="1"/>
  <c r="G447" i="1"/>
  <c r="F447" i="1"/>
  <c r="M448" i="1"/>
  <c r="O448" i="1" s="1"/>
  <c r="K448" i="1"/>
  <c r="J448" i="1"/>
  <c r="G448" i="1"/>
  <c r="F448" i="1"/>
  <c r="M449" i="1"/>
  <c r="O449" i="1" s="1"/>
  <c r="K449" i="1"/>
  <c r="J449" i="1"/>
  <c r="G449" i="1"/>
  <c r="F449" i="1"/>
  <c r="M450" i="1"/>
  <c r="O450" i="1" s="1"/>
  <c r="K450" i="1"/>
  <c r="J450" i="1"/>
  <c r="G450" i="1"/>
  <c r="F450" i="1"/>
  <c r="M451" i="1"/>
  <c r="O451" i="1" s="1"/>
  <c r="K451" i="1"/>
  <c r="J451" i="1"/>
  <c r="G451" i="1"/>
  <c r="F451" i="1"/>
  <c r="M452" i="1"/>
  <c r="O452" i="1" s="1"/>
  <c r="K452" i="1"/>
  <c r="J452" i="1"/>
  <c r="G452" i="1"/>
  <c r="F452" i="1"/>
  <c r="M453" i="1"/>
  <c r="O453" i="1" s="1"/>
  <c r="K453" i="1"/>
  <c r="J453" i="1"/>
  <c r="G453" i="1"/>
  <c r="F453" i="1"/>
  <c r="M454" i="1"/>
  <c r="O454" i="1" s="1"/>
  <c r="K454" i="1"/>
  <c r="J454" i="1"/>
  <c r="F454" i="1"/>
  <c r="G454" i="1" s="1"/>
  <c r="M455" i="1"/>
  <c r="O455" i="1" s="1"/>
  <c r="K455" i="1"/>
  <c r="J455" i="1"/>
  <c r="F455" i="1"/>
  <c r="G455" i="1" s="1"/>
  <c r="M456" i="1"/>
  <c r="O456" i="1" s="1"/>
  <c r="K456" i="1"/>
  <c r="J456" i="1"/>
  <c r="G456" i="1"/>
  <c r="F456" i="1"/>
  <c r="M458" i="1"/>
  <c r="O458" i="1" s="1"/>
  <c r="K458" i="1"/>
  <c r="J458" i="1"/>
  <c r="F458" i="1"/>
  <c r="G458" i="1" s="1"/>
  <c r="M459" i="1"/>
  <c r="O459" i="1" s="1"/>
  <c r="K459" i="1"/>
  <c r="J459" i="1"/>
  <c r="G459" i="1"/>
  <c r="F459" i="1"/>
  <c r="M460" i="1"/>
  <c r="O460" i="1" s="1"/>
  <c r="K460" i="1"/>
  <c r="J460" i="1"/>
  <c r="F460" i="1"/>
  <c r="G460" i="1" s="1"/>
  <c r="M461" i="1"/>
  <c r="O461" i="1" s="1"/>
  <c r="K461" i="1"/>
  <c r="J461" i="1"/>
  <c r="G461" i="1"/>
  <c r="F461" i="1"/>
  <c r="M462" i="1"/>
  <c r="O462" i="1" s="1"/>
  <c r="K462" i="1"/>
  <c r="J462" i="1"/>
  <c r="G462" i="1"/>
  <c r="F462" i="1"/>
  <c r="M463" i="1"/>
  <c r="O463" i="1" s="1"/>
  <c r="K463" i="1"/>
  <c r="J463" i="1"/>
  <c r="G463" i="1"/>
  <c r="F463" i="1"/>
  <c r="M464" i="1"/>
  <c r="O464" i="1" s="1"/>
  <c r="K464" i="1"/>
  <c r="J464" i="1"/>
  <c r="F464" i="1"/>
  <c r="G464" i="1" s="1"/>
  <c r="M465" i="1"/>
  <c r="O465" i="1" s="1"/>
  <c r="K465" i="1"/>
  <c r="J465" i="1"/>
  <c r="G465" i="1"/>
  <c r="F465" i="1"/>
  <c r="M466" i="1"/>
  <c r="O466" i="1" s="1"/>
  <c r="K466" i="1"/>
  <c r="J466" i="1"/>
  <c r="G466" i="1"/>
  <c r="F466" i="1"/>
  <c r="M467" i="1"/>
  <c r="O467" i="1" s="1"/>
  <c r="K467" i="1"/>
  <c r="J467" i="1"/>
  <c r="F467" i="1"/>
  <c r="G467" i="1" s="1"/>
  <c r="M468" i="1"/>
  <c r="O468" i="1" s="1"/>
  <c r="K468" i="1"/>
  <c r="J468" i="1"/>
  <c r="G468" i="1"/>
  <c r="F468" i="1"/>
  <c r="M469" i="1"/>
  <c r="O469" i="1" s="1"/>
  <c r="K469" i="1"/>
  <c r="J469" i="1"/>
  <c r="G469" i="1"/>
  <c r="F469" i="1"/>
  <c r="M471" i="1"/>
  <c r="O471" i="1" s="1"/>
  <c r="K471" i="1"/>
  <c r="J471" i="1"/>
  <c r="G471" i="1"/>
  <c r="F471" i="1"/>
  <c r="M472" i="1"/>
  <c r="O472" i="1" s="1"/>
  <c r="K472" i="1"/>
  <c r="J472" i="1"/>
  <c r="G472" i="1"/>
  <c r="F472" i="1"/>
  <c r="M473" i="1"/>
  <c r="O473" i="1" s="1"/>
  <c r="K473" i="1"/>
  <c r="J473" i="1"/>
  <c r="G473" i="1"/>
  <c r="F473" i="1"/>
  <c r="M474" i="1"/>
  <c r="O474" i="1" s="1"/>
  <c r="K474" i="1"/>
  <c r="J474" i="1"/>
  <c r="F474" i="1"/>
  <c r="G474" i="1" s="1"/>
  <c r="M475" i="1"/>
  <c r="O475" i="1" s="1"/>
  <c r="K475" i="1"/>
  <c r="J475" i="1"/>
  <c r="G475" i="1"/>
  <c r="F475" i="1"/>
  <c r="M476" i="1"/>
  <c r="O476" i="1" s="1"/>
  <c r="K476" i="1"/>
  <c r="J476" i="1"/>
  <c r="G476" i="1"/>
  <c r="F476" i="1"/>
  <c r="M477" i="1"/>
  <c r="O477" i="1" s="1"/>
  <c r="K477" i="1"/>
  <c r="J477" i="1"/>
  <c r="G477" i="1"/>
  <c r="F477" i="1"/>
  <c r="M478" i="1"/>
  <c r="O478" i="1" s="1"/>
  <c r="K478" i="1"/>
  <c r="J478" i="1"/>
  <c r="G478" i="1"/>
  <c r="F478" i="1"/>
  <c r="M479" i="1"/>
  <c r="O479" i="1" s="1"/>
  <c r="K479" i="1"/>
  <c r="J479" i="1"/>
  <c r="F479" i="1"/>
  <c r="G479" i="1" s="1"/>
  <c r="M480" i="1"/>
  <c r="O480" i="1" s="1"/>
  <c r="K480" i="1"/>
  <c r="J480" i="1"/>
  <c r="G480" i="1"/>
  <c r="F480" i="1"/>
  <c r="M481" i="1"/>
  <c r="O481" i="1" s="1"/>
  <c r="K481" i="1"/>
  <c r="J481" i="1"/>
  <c r="G481" i="1"/>
  <c r="F481" i="1"/>
  <c r="M482" i="1"/>
  <c r="O482" i="1" s="1"/>
  <c r="K482" i="1"/>
  <c r="J482" i="1"/>
  <c r="G482" i="1"/>
  <c r="F482" i="1"/>
  <c r="M484" i="1"/>
  <c r="O484" i="1" s="1"/>
  <c r="K484" i="1"/>
  <c r="J484" i="1"/>
  <c r="G484" i="1"/>
  <c r="F484" i="1"/>
  <c r="M485" i="1"/>
  <c r="O485" i="1" s="1"/>
  <c r="K485" i="1"/>
  <c r="J485" i="1"/>
  <c r="F485" i="1"/>
  <c r="G485" i="1" s="1"/>
  <c r="M486" i="1"/>
  <c r="O486" i="1" s="1"/>
  <c r="K486" i="1"/>
  <c r="J486" i="1"/>
  <c r="G486" i="1"/>
  <c r="F486" i="1"/>
  <c r="M487" i="1"/>
  <c r="O487" i="1" s="1"/>
  <c r="K487" i="1"/>
  <c r="J487" i="1"/>
  <c r="G487" i="1"/>
  <c r="F487" i="1"/>
  <c r="M488" i="1"/>
  <c r="O488" i="1" s="1"/>
  <c r="K488" i="1"/>
  <c r="J488" i="1"/>
  <c r="G488" i="1"/>
  <c r="F488" i="1"/>
  <c r="M489" i="1"/>
  <c r="O489" i="1" s="1"/>
  <c r="K489" i="1"/>
  <c r="J489" i="1"/>
  <c r="G489" i="1"/>
  <c r="F489" i="1"/>
  <c r="M490" i="1"/>
  <c r="O490" i="1" s="1"/>
  <c r="K490" i="1"/>
  <c r="J490" i="1"/>
  <c r="F490" i="1"/>
  <c r="G490" i="1" s="1"/>
  <c r="M491" i="1"/>
  <c r="O491" i="1" s="1"/>
  <c r="K491" i="1"/>
  <c r="J491" i="1"/>
  <c r="G491" i="1"/>
  <c r="F491" i="1"/>
  <c r="M492" i="1"/>
  <c r="O492" i="1" s="1"/>
  <c r="K492" i="1"/>
  <c r="J492" i="1"/>
  <c r="G492" i="1"/>
  <c r="F492" i="1"/>
  <c r="M493" i="1"/>
  <c r="O493" i="1" s="1"/>
  <c r="K493" i="1"/>
  <c r="J493" i="1"/>
  <c r="G493" i="1"/>
  <c r="F493" i="1"/>
  <c r="M494" i="1"/>
  <c r="O494" i="1" s="1"/>
  <c r="K494" i="1"/>
  <c r="J494" i="1"/>
  <c r="G494" i="1"/>
  <c r="F494" i="1"/>
  <c r="M495" i="1"/>
  <c r="O495" i="1" s="1"/>
  <c r="K495" i="1"/>
  <c r="J495" i="1"/>
  <c r="G495" i="1"/>
  <c r="F495" i="1"/>
  <c r="M497" i="1"/>
  <c r="O497" i="1" s="1"/>
  <c r="K497" i="1"/>
  <c r="J497" i="1"/>
  <c r="F497" i="1"/>
  <c r="G497" i="1" s="1"/>
  <c r="M498" i="1"/>
  <c r="O498" i="1" s="1"/>
  <c r="K498" i="1"/>
  <c r="J498" i="1"/>
  <c r="G498" i="1"/>
  <c r="F498" i="1"/>
  <c r="M499" i="1"/>
  <c r="O499" i="1" s="1"/>
  <c r="K499" i="1"/>
  <c r="J499" i="1"/>
  <c r="F499" i="1"/>
  <c r="G499" i="1" s="1"/>
  <c r="M500" i="1"/>
  <c r="O500" i="1" s="1"/>
  <c r="K500" i="1"/>
  <c r="J500" i="1"/>
  <c r="F500" i="1"/>
  <c r="G500" i="1" s="1"/>
  <c r="M501" i="1"/>
  <c r="N501" i="1" s="1"/>
  <c r="K501" i="1"/>
  <c r="J501" i="1"/>
  <c r="F501" i="1"/>
  <c r="G501" i="1" s="1"/>
  <c r="M502" i="1"/>
  <c r="O502" i="1" s="1"/>
  <c r="K502" i="1"/>
  <c r="J502" i="1"/>
  <c r="G502" i="1"/>
  <c r="F502" i="1"/>
  <c r="M503" i="1"/>
  <c r="O503" i="1" s="1"/>
  <c r="K503" i="1"/>
  <c r="J503" i="1"/>
  <c r="F503" i="1"/>
  <c r="G503" i="1" s="1"/>
  <c r="M504" i="1"/>
  <c r="O504" i="1" s="1"/>
  <c r="K504" i="1"/>
  <c r="J504" i="1"/>
  <c r="G504" i="1"/>
  <c r="F504" i="1"/>
  <c r="M505" i="1"/>
  <c r="O505" i="1" s="1"/>
  <c r="K505" i="1"/>
  <c r="J505" i="1"/>
  <c r="G505" i="1"/>
  <c r="F505" i="1"/>
  <c r="M506" i="1"/>
  <c r="O506" i="1" s="1"/>
  <c r="K506" i="1"/>
  <c r="J506" i="1"/>
  <c r="F506" i="1"/>
  <c r="G506" i="1" s="1"/>
  <c r="M507" i="1"/>
  <c r="O507" i="1" s="1"/>
  <c r="K507" i="1"/>
  <c r="J507" i="1"/>
  <c r="G507" i="1"/>
  <c r="F507" i="1"/>
  <c r="M508" i="1"/>
  <c r="O508" i="1" s="1"/>
  <c r="K508" i="1"/>
  <c r="J508" i="1"/>
  <c r="G508" i="1"/>
  <c r="F508" i="1"/>
  <c r="M510" i="1"/>
  <c r="O510" i="1" s="1"/>
  <c r="K510" i="1"/>
  <c r="J510" i="1"/>
  <c r="F510" i="1"/>
  <c r="G510" i="1" s="1"/>
  <c r="M511" i="1"/>
  <c r="O511" i="1" s="1"/>
  <c r="K511" i="1"/>
  <c r="J511" i="1"/>
  <c r="F511" i="1"/>
  <c r="G511" i="1" s="1"/>
  <c r="M512" i="1"/>
  <c r="O512" i="1" s="1"/>
  <c r="K512" i="1"/>
  <c r="J512" i="1"/>
  <c r="F512" i="1"/>
  <c r="G512" i="1" s="1"/>
  <c r="M513" i="1"/>
  <c r="O513" i="1" s="1"/>
  <c r="K513" i="1"/>
  <c r="J513" i="1"/>
  <c r="F513" i="1"/>
  <c r="G513" i="1" s="1"/>
  <c r="M514" i="1"/>
  <c r="O514" i="1" s="1"/>
  <c r="K514" i="1"/>
  <c r="J514" i="1"/>
  <c r="G514" i="1"/>
  <c r="F514" i="1"/>
  <c r="M515" i="1"/>
  <c r="O515" i="1" s="1"/>
  <c r="K515" i="1"/>
  <c r="J515" i="1"/>
  <c r="F515" i="1"/>
  <c r="G515" i="1" s="1"/>
  <c r="M516" i="1"/>
  <c r="O516" i="1" s="1"/>
  <c r="K516" i="1"/>
  <c r="J516" i="1"/>
  <c r="F516" i="1"/>
  <c r="G516" i="1" s="1"/>
  <c r="M517" i="1"/>
  <c r="O517" i="1" s="1"/>
  <c r="K517" i="1"/>
  <c r="J517" i="1"/>
  <c r="F517" i="1"/>
  <c r="G517" i="1" s="1"/>
  <c r="M518" i="1"/>
  <c r="O518" i="1" s="1"/>
  <c r="K518" i="1"/>
  <c r="J518" i="1"/>
  <c r="F518" i="1"/>
  <c r="G518" i="1" s="1"/>
  <c r="M519" i="1"/>
  <c r="O519" i="1" s="1"/>
  <c r="K519" i="1"/>
  <c r="J519" i="1"/>
  <c r="G519" i="1"/>
  <c r="F519" i="1"/>
  <c r="M520" i="1"/>
  <c r="O520" i="1" s="1"/>
  <c r="K520" i="1"/>
  <c r="J520" i="1"/>
  <c r="G520" i="1"/>
  <c r="F520" i="1"/>
  <c r="F275" i="1" l="1"/>
  <c r="F470" i="1"/>
  <c r="G470" i="1" s="1"/>
  <c r="K132" i="1"/>
  <c r="K969" i="1"/>
  <c r="F839" i="1"/>
  <c r="K800" i="1"/>
  <c r="F995" i="1"/>
  <c r="K930" i="1"/>
  <c r="K631" i="1"/>
  <c r="K496" i="1"/>
  <c r="F457" i="1"/>
  <c r="K444" i="1"/>
  <c r="K197" i="1"/>
  <c r="K184" i="1"/>
  <c r="F106" i="1"/>
  <c r="G106" i="1" s="1"/>
  <c r="K891" i="1"/>
  <c r="K605" i="1"/>
  <c r="F579" i="1"/>
  <c r="F353" i="1"/>
  <c r="K340" i="1"/>
  <c r="K327" i="1"/>
  <c r="K301" i="1"/>
  <c r="K262" i="1"/>
  <c r="K145" i="1"/>
  <c r="K93" i="1"/>
  <c r="F54" i="1"/>
  <c r="F878" i="1"/>
  <c r="K865" i="1"/>
  <c r="K813" i="1"/>
  <c r="K748" i="1"/>
  <c r="K592" i="1"/>
  <c r="K553" i="1"/>
  <c r="K995" i="1"/>
  <c r="F956" i="1"/>
  <c r="K839" i="1"/>
  <c r="F774" i="1"/>
  <c r="K761" i="1"/>
  <c r="K683" i="1"/>
  <c r="K379" i="1"/>
  <c r="K106" i="1"/>
  <c r="K67" i="1"/>
  <c r="F917" i="1"/>
  <c r="F826" i="1"/>
  <c r="K579" i="1"/>
  <c r="F327" i="1"/>
  <c r="K249" i="1"/>
  <c r="F184" i="1"/>
  <c r="F171" i="1"/>
  <c r="K41" i="1"/>
  <c r="K878" i="1"/>
  <c r="F722" i="1"/>
  <c r="F566" i="1"/>
  <c r="K353" i="1"/>
  <c r="F418" i="1"/>
  <c r="K1021" i="1"/>
  <c r="F1008" i="1"/>
  <c r="F982" i="1"/>
  <c r="G982" i="1" s="1"/>
  <c r="K956" i="1"/>
  <c r="F943" i="1"/>
  <c r="F904" i="1"/>
  <c r="G904" i="1" s="1"/>
  <c r="K774" i="1"/>
  <c r="K709" i="1"/>
  <c r="K696" i="1"/>
  <c r="F657" i="1"/>
  <c r="F644" i="1"/>
  <c r="F119" i="1"/>
  <c r="F748" i="1"/>
  <c r="K509" i="1"/>
  <c r="K457" i="1"/>
  <c r="F366" i="1"/>
  <c r="K366" i="1"/>
  <c r="K288" i="1"/>
  <c r="F249" i="1"/>
  <c r="F236" i="1"/>
  <c r="F223" i="1"/>
  <c r="K483" i="1"/>
  <c r="F405" i="1"/>
  <c r="K314" i="1"/>
  <c r="K158" i="1"/>
  <c r="F41" i="1"/>
  <c r="K470" i="1"/>
  <c r="F431" i="1"/>
  <c r="K392" i="1"/>
  <c r="K275" i="1"/>
  <c r="K210" i="1"/>
  <c r="K119" i="1"/>
  <c r="K917" i="1"/>
  <c r="F852" i="1"/>
  <c r="K826" i="1"/>
  <c r="F670" i="1"/>
  <c r="K618" i="1"/>
  <c r="K236" i="1"/>
  <c r="K223" i="1"/>
  <c r="K80" i="1"/>
  <c r="K54" i="1"/>
  <c r="K982" i="1"/>
  <c r="K722" i="1"/>
  <c r="K566" i="1"/>
  <c r="K418" i="1"/>
  <c r="K405" i="1"/>
  <c r="K1008" i="1"/>
  <c r="F969" i="1"/>
  <c r="K943" i="1"/>
  <c r="F930" i="1"/>
  <c r="K904" i="1"/>
  <c r="F800" i="1"/>
  <c r="K787" i="1"/>
  <c r="K657" i="1"/>
  <c r="K644" i="1"/>
  <c r="F496" i="1"/>
  <c r="K431" i="1"/>
  <c r="F891" i="1"/>
  <c r="K852" i="1"/>
  <c r="O802" i="1"/>
  <c r="K670" i="1"/>
  <c r="O145" i="1"/>
  <c r="O982" i="1"/>
  <c r="F288" i="1"/>
  <c r="M67" i="1"/>
  <c r="M106" i="1"/>
  <c r="O106" i="1" s="1"/>
  <c r="M145" i="1"/>
  <c r="M184" i="1"/>
  <c r="M223" i="1"/>
  <c r="M262" i="1"/>
  <c r="O262" i="1" s="1"/>
  <c r="M301" i="1"/>
  <c r="O301" i="1" s="1"/>
  <c r="M340" i="1"/>
  <c r="M379" i="1"/>
  <c r="M418" i="1"/>
  <c r="M457" i="1"/>
  <c r="M496" i="1"/>
  <c r="M579" i="1"/>
  <c r="M631" i="1"/>
  <c r="M683" i="1"/>
  <c r="O683" i="1" s="1"/>
  <c r="M735" i="1"/>
  <c r="M787" i="1"/>
  <c r="M839" i="1"/>
  <c r="M891" i="1"/>
  <c r="M943" i="1"/>
  <c r="M995" i="1"/>
  <c r="J54" i="1"/>
  <c r="J106" i="1"/>
  <c r="J158" i="1"/>
  <c r="J210" i="1"/>
  <c r="J262" i="1"/>
  <c r="J314" i="1"/>
  <c r="J366" i="1"/>
  <c r="J418" i="1"/>
  <c r="J470" i="1"/>
  <c r="J522" i="1"/>
  <c r="J579" i="1"/>
  <c r="J631" i="1"/>
  <c r="J683" i="1"/>
  <c r="J735" i="1"/>
  <c r="J787" i="1"/>
  <c r="J839" i="1"/>
  <c r="J891" i="1"/>
  <c r="J943" i="1"/>
  <c r="J995" i="1"/>
  <c r="F605" i="1"/>
  <c r="F709" i="1"/>
  <c r="F1021" i="1"/>
  <c r="G1021" i="1" s="1"/>
  <c r="F132" i="1"/>
  <c r="F158" i="1"/>
  <c r="F392" i="1"/>
  <c r="G392" i="1" s="1"/>
  <c r="F509" i="1"/>
  <c r="G509" i="1" s="1"/>
  <c r="G970" i="1"/>
  <c r="N893" i="1"/>
  <c r="M566" i="1"/>
  <c r="M618" i="1"/>
  <c r="O618" i="1" s="1"/>
  <c r="M670" i="1"/>
  <c r="M722" i="1"/>
  <c r="M774" i="1"/>
  <c r="O774" i="1" s="1"/>
  <c r="M826" i="1"/>
  <c r="O826" i="1" s="1"/>
  <c r="M878" i="1"/>
  <c r="M930" i="1"/>
  <c r="M982" i="1"/>
  <c r="J67" i="1"/>
  <c r="J119" i="1"/>
  <c r="J171" i="1"/>
  <c r="J223" i="1"/>
  <c r="J275" i="1"/>
  <c r="J327" i="1"/>
  <c r="J379" i="1"/>
  <c r="J431" i="1"/>
  <c r="J483" i="1"/>
  <c r="J540" i="1"/>
  <c r="J592" i="1"/>
  <c r="J644" i="1"/>
  <c r="J696" i="1"/>
  <c r="J748" i="1"/>
  <c r="J800" i="1"/>
  <c r="J852" i="1"/>
  <c r="J904" i="1"/>
  <c r="J956" i="1"/>
  <c r="J1008" i="1"/>
  <c r="F483" i="1"/>
  <c r="F80" i="1"/>
  <c r="G80" i="1" s="1"/>
  <c r="F197" i="1"/>
  <c r="F314" i="1"/>
  <c r="M54" i="1"/>
  <c r="M93" i="1"/>
  <c r="M132" i="1"/>
  <c r="O132" i="1" s="1"/>
  <c r="M171" i="1"/>
  <c r="O171" i="1" s="1"/>
  <c r="M210" i="1"/>
  <c r="M249" i="1"/>
  <c r="O249" i="1" s="1"/>
  <c r="M288" i="1"/>
  <c r="O288" i="1" s="1"/>
  <c r="M327" i="1"/>
  <c r="M366" i="1"/>
  <c r="M405" i="1"/>
  <c r="M444" i="1"/>
  <c r="M483" i="1"/>
  <c r="F592" i="1"/>
  <c r="G592" i="1" s="1"/>
  <c r="F696" i="1"/>
  <c r="F210" i="1"/>
  <c r="M553" i="1"/>
  <c r="M605" i="1"/>
  <c r="M657" i="1"/>
  <c r="O657" i="1" s="1"/>
  <c r="M709" i="1"/>
  <c r="O709" i="1" s="1"/>
  <c r="M761" i="1"/>
  <c r="O761" i="1" s="1"/>
  <c r="M813" i="1"/>
  <c r="O813" i="1" s="1"/>
  <c r="M865" i="1"/>
  <c r="M917" i="1"/>
  <c r="M969" i="1"/>
  <c r="M1021" i="1"/>
  <c r="O1021" i="1" s="1"/>
  <c r="J28" i="1"/>
  <c r="J80" i="1"/>
  <c r="J132" i="1"/>
  <c r="J184" i="1"/>
  <c r="J236" i="1"/>
  <c r="J288" i="1"/>
  <c r="J340" i="1"/>
  <c r="J392" i="1"/>
  <c r="J444" i="1"/>
  <c r="J496" i="1"/>
  <c r="J553" i="1"/>
  <c r="J605" i="1"/>
  <c r="J657" i="1"/>
  <c r="J709" i="1"/>
  <c r="J761" i="1"/>
  <c r="J813" i="1"/>
  <c r="J865" i="1"/>
  <c r="J917" i="1"/>
  <c r="J969" i="1"/>
  <c r="J1021" i="1"/>
  <c r="F67" i="1"/>
  <c r="F145" i="1"/>
  <c r="F262" i="1"/>
  <c r="F301" i="1"/>
  <c r="F340" i="1"/>
  <c r="F379" i="1"/>
  <c r="F631" i="1"/>
  <c r="F735" i="1"/>
  <c r="F787" i="1"/>
  <c r="M41" i="1"/>
  <c r="M80" i="1"/>
  <c r="O80" i="1" s="1"/>
  <c r="M119" i="1"/>
  <c r="M158" i="1"/>
  <c r="M197" i="1"/>
  <c r="O197" i="1" s="1"/>
  <c r="M236" i="1"/>
  <c r="M275" i="1"/>
  <c r="M314" i="1"/>
  <c r="O314" i="1" s="1"/>
  <c r="M353" i="1"/>
  <c r="M392" i="1"/>
  <c r="O392" i="1" s="1"/>
  <c r="M431" i="1"/>
  <c r="M470" i="1"/>
  <c r="O470" i="1" s="1"/>
  <c r="M509" i="1"/>
  <c r="O509" i="1" s="1"/>
  <c r="M592" i="1"/>
  <c r="O592" i="1" s="1"/>
  <c r="M644" i="1"/>
  <c r="O644" i="1" s="1"/>
  <c r="M696" i="1"/>
  <c r="M748" i="1"/>
  <c r="M800" i="1"/>
  <c r="O800" i="1" s="1"/>
  <c r="M852" i="1"/>
  <c r="M904" i="1"/>
  <c r="O904" i="1" s="1"/>
  <c r="M956" i="1"/>
  <c r="M1008" i="1"/>
  <c r="J41" i="1"/>
  <c r="J93" i="1"/>
  <c r="J145" i="1"/>
  <c r="J197" i="1"/>
  <c r="J249" i="1"/>
  <c r="J301" i="1"/>
  <c r="J353" i="1"/>
  <c r="J405" i="1"/>
  <c r="J457" i="1"/>
  <c r="J509" i="1"/>
  <c r="J566" i="1"/>
  <c r="J618" i="1"/>
  <c r="J670" i="1"/>
  <c r="J722" i="1"/>
  <c r="J774" i="1"/>
  <c r="J826" i="1"/>
  <c r="J878" i="1"/>
  <c r="J930" i="1"/>
  <c r="J982" i="1"/>
  <c r="J1034" i="1"/>
  <c r="F444" i="1"/>
  <c r="F618" i="1"/>
  <c r="G618" i="1" s="1"/>
  <c r="N1025" i="1"/>
  <c r="N1009" i="1"/>
  <c r="N970" i="1"/>
  <c r="N875" i="1"/>
  <c r="O815" i="1"/>
  <c r="N724" i="1"/>
  <c r="O583" i="1"/>
  <c r="N580" i="1"/>
  <c r="N535" i="1"/>
  <c r="N529" i="1"/>
  <c r="N530" i="1"/>
  <c r="N533" i="1"/>
  <c r="N536" i="1"/>
  <c r="N539" i="1"/>
  <c r="N543" i="1"/>
  <c r="N545" i="1"/>
  <c r="N547" i="1"/>
  <c r="N550" i="1"/>
  <c r="N554" i="1"/>
  <c r="N557" i="1"/>
  <c r="N560" i="1"/>
  <c r="N562" i="1"/>
  <c r="N564" i="1"/>
  <c r="N568" i="1"/>
  <c r="N571" i="1"/>
  <c r="N573" i="1"/>
  <c r="N575" i="1"/>
  <c r="N577" i="1"/>
  <c r="N581" i="1"/>
  <c r="N585" i="1"/>
  <c r="N588" i="1"/>
  <c r="N590" i="1"/>
  <c r="N593" i="1"/>
  <c r="N596" i="1"/>
  <c r="N597" i="1"/>
  <c r="N598" i="1"/>
  <c r="N599" i="1"/>
  <c r="N600" i="1"/>
  <c r="N601" i="1"/>
  <c r="N602" i="1"/>
  <c r="N603" i="1"/>
  <c r="N604" i="1"/>
  <c r="N606" i="1"/>
  <c r="N607" i="1"/>
  <c r="N608" i="1"/>
  <c r="N609" i="1"/>
  <c r="N610" i="1"/>
  <c r="N611" i="1"/>
  <c r="N613" i="1"/>
  <c r="N615" i="1"/>
  <c r="N616" i="1"/>
  <c r="N617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2" i="1"/>
  <c r="N633" i="1"/>
  <c r="N634" i="1"/>
  <c r="N637" i="1"/>
  <c r="N638" i="1"/>
  <c r="N639" i="1"/>
  <c r="N640" i="1"/>
  <c r="N641" i="1"/>
  <c r="N642" i="1"/>
  <c r="N643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9" i="1"/>
  <c r="N660" i="1"/>
  <c r="N661" i="1"/>
  <c r="N662" i="1"/>
  <c r="N663" i="1"/>
  <c r="N664" i="1"/>
  <c r="N665" i="1"/>
  <c r="N666" i="1"/>
  <c r="N667" i="1"/>
  <c r="N668" i="1"/>
  <c r="N669" i="1"/>
  <c r="N671" i="1"/>
  <c r="N672" i="1"/>
  <c r="N673" i="1"/>
  <c r="N674" i="1"/>
  <c r="N675" i="1"/>
  <c r="N676" i="1"/>
  <c r="N677" i="1"/>
  <c r="N678" i="1"/>
  <c r="N681" i="1"/>
  <c r="N682" i="1"/>
  <c r="N685" i="1"/>
  <c r="N687" i="1"/>
  <c r="N688" i="1"/>
  <c r="N690" i="1"/>
  <c r="N692" i="1"/>
  <c r="N693" i="1"/>
  <c r="N694" i="1"/>
  <c r="N695" i="1"/>
  <c r="N697" i="1"/>
  <c r="N698" i="1"/>
  <c r="N699" i="1"/>
  <c r="N701" i="1"/>
  <c r="N703" i="1"/>
  <c r="N704" i="1"/>
  <c r="N705" i="1"/>
  <c r="N706" i="1"/>
  <c r="N707" i="1"/>
  <c r="N708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3" i="1"/>
  <c r="N725" i="1"/>
  <c r="N726" i="1"/>
  <c r="N727" i="1"/>
  <c r="N728" i="1"/>
  <c r="N729" i="1"/>
  <c r="N730" i="1"/>
  <c r="N732" i="1"/>
  <c r="N733" i="1"/>
  <c r="N734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3" i="1"/>
  <c r="N764" i="1"/>
  <c r="N765" i="1"/>
  <c r="N766" i="1"/>
  <c r="N767" i="1"/>
  <c r="N768" i="1"/>
  <c r="N769" i="1"/>
  <c r="N770" i="1"/>
  <c r="N771" i="1"/>
  <c r="N772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8" i="1"/>
  <c r="N789" i="1"/>
  <c r="N790" i="1"/>
  <c r="N791" i="1"/>
  <c r="N792" i="1"/>
  <c r="N793" i="1"/>
  <c r="N794" i="1"/>
  <c r="N795" i="1"/>
  <c r="N796" i="1"/>
  <c r="N798" i="1"/>
  <c r="N801" i="1"/>
  <c r="N804" i="1"/>
  <c r="N806" i="1"/>
  <c r="N808" i="1"/>
  <c r="N811" i="1"/>
  <c r="N814" i="1"/>
  <c r="N816" i="1"/>
  <c r="N818" i="1"/>
  <c r="N820" i="1"/>
  <c r="N822" i="1"/>
  <c r="N824" i="1"/>
  <c r="N827" i="1"/>
  <c r="N829" i="1"/>
  <c r="N831" i="1"/>
  <c r="N833" i="1"/>
  <c r="N835" i="1"/>
  <c r="N837" i="1"/>
  <c r="N840" i="1"/>
  <c r="N842" i="1"/>
  <c r="N846" i="1"/>
  <c r="N849" i="1"/>
  <c r="N851" i="1"/>
  <c r="N854" i="1"/>
  <c r="N856" i="1"/>
  <c r="N858" i="1"/>
  <c r="N860" i="1"/>
  <c r="N862" i="1"/>
  <c r="N867" i="1"/>
  <c r="N878" i="1" s="1"/>
  <c r="N869" i="1"/>
  <c r="N871" i="1"/>
  <c r="N873" i="1"/>
  <c r="N877" i="1"/>
  <c r="N881" i="1"/>
  <c r="N883" i="1"/>
  <c r="N885" i="1"/>
  <c r="N887" i="1"/>
  <c r="N889" i="1"/>
  <c r="N892" i="1"/>
  <c r="N894" i="1"/>
  <c r="N896" i="1"/>
  <c r="N899" i="1"/>
  <c r="N901" i="1"/>
  <c r="N903" i="1"/>
  <c r="N906" i="1"/>
  <c r="N908" i="1"/>
  <c r="N910" i="1"/>
  <c r="N912" i="1"/>
  <c r="N915" i="1"/>
  <c r="N920" i="1"/>
  <c r="N922" i="1"/>
  <c r="N924" i="1"/>
  <c r="N926" i="1"/>
  <c r="N928" i="1"/>
  <c r="N932" i="1"/>
  <c r="N934" i="1"/>
  <c r="N936" i="1"/>
  <c r="N938" i="1"/>
  <c r="N940" i="1"/>
  <c r="N942" i="1"/>
  <c r="N945" i="1"/>
  <c r="N947" i="1"/>
  <c r="N949" i="1"/>
  <c r="N951" i="1"/>
  <c r="N953" i="1"/>
  <c r="N955" i="1"/>
  <c r="N958" i="1"/>
  <c r="N960" i="1"/>
  <c r="N962" i="1"/>
  <c r="N964" i="1"/>
  <c r="N966" i="1"/>
  <c r="N968" i="1"/>
  <c r="N971" i="1"/>
  <c r="N973" i="1"/>
  <c r="N975" i="1"/>
  <c r="N977" i="1"/>
  <c r="N979" i="1"/>
  <c r="N981" i="1"/>
  <c r="N984" i="1"/>
  <c r="N986" i="1"/>
  <c r="N988" i="1"/>
  <c r="N990" i="1"/>
  <c r="N992" i="1"/>
  <c r="N994" i="1"/>
  <c r="N997" i="1"/>
  <c r="N999" i="1"/>
  <c r="N1001" i="1"/>
  <c r="N1004" i="1"/>
  <c r="N1006" i="1"/>
  <c r="N1011" i="1"/>
  <c r="N1013" i="1"/>
  <c r="N1015" i="1"/>
  <c r="N1017" i="1"/>
  <c r="N1019" i="1"/>
  <c r="N1022" i="1"/>
  <c r="N1024" i="1"/>
  <c r="N1027" i="1"/>
  <c r="N1030" i="1"/>
  <c r="N1032" i="1"/>
  <c r="O501" i="1"/>
  <c r="N335" i="1"/>
  <c r="N326" i="1"/>
  <c r="N297" i="1"/>
  <c r="O292" i="1"/>
  <c r="O290" i="1"/>
  <c r="O289" i="1"/>
  <c r="O69" i="1"/>
  <c r="N17" i="1"/>
  <c r="N18" i="1"/>
  <c r="N19" i="1"/>
  <c r="N20" i="1"/>
  <c r="N21" i="1"/>
  <c r="N22" i="1"/>
  <c r="N23" i="1"/>
  <c r="N24" i="1"/>
  <c r="N25" i="1"/>
  <c r="N26" i="1"/>
  <c r="N27" i="1"/>
  <c r="N29" i="1"/>
  <c r="N30" i="1"/>
  <c r="N31" i="1"/>
  <c r="N32" i="1"/>
  <c r="N33" i="1"/>
  <c r="N34" i="1"/>
  <c r="N35" i="1"/>
  <c r="N36" i="1"/>
  <c r="N38" i="1"/>
  <c r="N39" i="1"/>
  <c r="N40" i="1"/>
  <c r="N42" i="1"/>
  <c r="N43" i="1"/>
  <c r="N44" i="1"/>
  <c r="N45" i="1"/>
  <c r="N46" i="1"/>
  <c r="N47" i="1"/>
  <c r="N48" i="1"/>
  <c r="N49" i="1"/>
  <c r="N50" i="1"/>
  <c r="N51" i="1"/>
  <c r="N52" i="1"/>
  <c r="N53" i="1"/>
  <c r="N55" i="1"/>
  <c r="N56" i="1"/>
  <c r="N57" i="1"/>
  <c r="N58" i="1"/>
  <c r="N59" i="1"/>
  <c r="N60" i="1"/>
  <c r="N61" i="1"/>
  <c r="N62" i="1"/>
  <c r="N63" i="1"/>
  <c r="N64" i="1"/>
  <c r="N65" i="1"/>
  <c r="N68" i="1"/>
  <c r="N70" i="1"/>
  <c r="N71" i="1"/>
  <c r="N72" i="1"/>
  <c r="N74" i="1"/>
  <c r="N75" i="1"/>
  <c r="N76" i="1"/>
  <c r="N77" i="1"/>
  <c r="N78" i="1"/>
  <c r="N79" i="1"/>
  <c r="N81" i="1"/>
  <c r="N82" i="1"/>
  <c r="N83" i="1"/>
  <c r="N84" i="1"/>
  <c r="N85" i="1"/>
  <c r="N86" i="1"/>
  <c r="N87" i="1"/>
  <c r="N88" i="1"/>
  <c r="N89" i="1"/>
  <c r="N90" i="1"/>
  <c r="N91" i="1"/>
  <c r="N92" i="1"/>
  <c r="N94" i="1"/>
  <c r="N95" i="1"/>
  <c r="N96" i="1"/>
  <c r="N97" i="1"/>
  <c r="N98" i="1"/>
  <c r="N99" i="1"/>
  <c r="N101" i="1"/>
  <c r="N102" i="1"/>
  <c r="N103" i="1"/>
  <c r="N104" i="1"/>
  <c r="N105" i="1"/>
  <c r="N107" i="1"/>
  <c r="N108" i="1"/>
  <c r="N110" i="1"/>
  <c r="N111" i="1"/>
  <c r="N112" i="1"/>
  <c r="N113" i="1"/>
  <c r="N114" i="1"/>
  <c r="N115" i="1"/>
  <c r="N116" i="1"/>
  <c r="N117" i="1"/>
  <c r="N118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6" i="1"/>
  <c r="N147" i="1"/>
  <c r="N148" i="1"/>
  <c r="N149" i="1"/>
  <c r="N150" i="1"/>
  <c r="N153" i="1"/>
  <c r="N154" i="1"/>
  <c r="N155" i="1"/>
  <c r="N159" i="1"/>
  <c r="N161" i="1"/>
  <c r="N162" i="1"/>
  <c r="N163" i="1"/>
  <c r="N164" i="1"/>
  <c r="N165" i="1"/>
  <c r="N166" i="1"/>
  <c r="N167" i="1"/>
  <c r="N168" i="1"/>
  <c r="N169" i="1"/>
  <c r="N170" i="1"/>
  <c r="N172" i="1"/>
  <c r="N173" i="1"/>
  <c r="N174" i="1"/>
  <c r="N175" i="1"/>
  <c r="N176" i="1"/>
  <c r="N178" i="1"/>
  <c r="N179" i="1"/>
  <c r="N180" i="1"/>
  <c r="N181" i="1"/>
  <c r="N182" i="1"/>
  <c r="N183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8" i="1"/>
  <c r="N199" i="1"/>
  <c r="N201" i="1"/>
  <c r="N202" i="1"/>
  <c r="N203" i="1"/>
  <c r="N204" i="1"/>
  <c r="N205" i="1"/>
  <c r="N206" i="1"/>
  <c r="N207" i="1"/>
  <c r="N208" i="1"/>
  <c r="N209" i="1"/>
  <c r="N211" i="1"/>
  <c r="N212" i="1"/>
  <c r="N213" i="1"/>
  <c r="N214" i="1"/>
  <c r="N215" i="1"/>
  <c r="N216" i="1"/>
  <c r="N218" i="1"/>
  <c r="N220" i="1"/>
  <c r="N221" i="1"/>
  <c r="N222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7" i="1"/>
  <c r="N238" i="1"/>
  <c r="N239" i="1"/>
  <c r="N240" i="1"/>
  <c r="N242" i="1"/>
  <c r="N243" i="1"/>
  <c r="N244" i="1"/>
  <c r="N245" i="1"/>
  <c r="N246" i="1"/>
  <c r="N247" i="1"/>
  <c r="N248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3" i="1"/>
  <c r="N264" i="1"/>
  <c r="N265" i="1"/>
  <c r="N267" i="1"/>
  <c r="N268" i="1"/>
  <c r="N269" i="1"/>
  <c r="N270" i="1"/>
  <c r="N271" i="1"/>
  <c r="N272" i="1"/>
  <c r="N273" i="1"/>
  <c r="N274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91" i="1"/>
  <c r="N293" i="1"/>
  <c r="N294" i="1"/>
  <c r="N295" i="1"/>
  <c r="N296" i="1"/>
  <c r="N298" i="1"/>
  <c r="N299" i="1"/>
  <c r="N300" i="1"/>
  <c r="N302" i="1"/>
  <c r="N303" i="1"/>
  <c r="N304" i="1"/>
  <c r="N305" i="1"/>
  <c r="N306" i="1"/>
  <c r="N307" i="1"/>
  <c r="N308" i="1"/>
  <c r="N309" i="1"/>
  <c r="N310" i="1"/>
  <c r="N311" i="1"/>
  <c r="N313" i="1"/>
  <c r="N315" i="1"/>
  <c r="N316" i="1"/>
  <c r="N317" i="1"/>
  <c r="N318" i="1"/>
  <c r="N319" i="1"/>
  <c r="N320" i="1"/>
  <c r="N321" i="1"/>
  <c r="N322" i="1"/>
  <c r="N323" i="1"/>
  <c r="N324" i="1"/>
  <c r="N325" i="1"/>
  <c r="N328" i="1"/>
  <c r="N330" i="1"/>
  <c r="N331" i="1"/>
  <c r="N332" i="1"/>
  <c r="N333" i="1"/>
  <c r="N334" i="1"/>
  <c r="N336" i="1"/>
  <c r="N337" i="1"/>
  <c r="N338" i="1"/>
  <c r="N339" i="1"/>
  <c r="N341" i="1"/>
  <c r="N342" i="1"/>
  <c r="N343" i="1"/>
  <c r="N345" i="1"/>
  <c r="N346" i="1"/>
  <c r="N347" i="1"/>
  <c r="N348" i="1"/>
  <c r="N349" i="1"/>
  <c r="N350" i="1"/>
  <c r="N351" i="1"/>
  <c r="N352" i="1"/>
  <c r="N354" i="1"/>
  <c r="N355" i="1"/>
  <c r="N356" i="1"/>
  <c r="N357" i="1"/>
  <c r="N359" i="1"/>
  <c r="N360" i="1"/>
  <c r="N361" i="1"/>
  <c r="N362" i="1"/>
  <c r="N363" i="1"/>
  <c r="N364" i="1"/>
  <c r="N367" i="1"/>
  <c r="N368" i="1"/>
  <c r="N369" i="1"/>
  <c r="N371" i="1"/>
  <c r="N372" i="1"/>
  <c r="N374" i="1"/>
  <c r="N375" i="1"/>
  <c r="N377" i="1"/>
  <c r="N378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9" i="1"/>
  <c r="N421" i="1"/>
  <c r="N422" i="1"/>
  <c r="N423" i="1"/>
  <c r="N424" i="1"/>
  <c r="N425" i="1"/>
  <c r="N426" i="1"/>
  <c r="N427" i="1"/>
  <c r="N428" i="1"/>
  <c r="N429" i="1"/>
  <c r="N430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7" i="1"/>
  <c r="N498" i="1"/>
  <c r="N499" i="1"/>
  <c r="N500" i="1"/>
  <c r="N502" i="1"/>
  <c r="N503" i="1"/>
  <c r="N504" i="1"/>
  <c r="N505" i="1"/>
  <c r="N506" i="1"/>
  <c r="N507" i="1"/>
  <c r="N508" i="1"/>
  <c r="N510" i="1"/>
  <c r="N511" i="1"/>
  <c r="N512" i="1"/>
  <c r="N513" i="1"/>
  <c r="N514" i="1"/>
  <c r="N515" i="1"/>
  <c r="N516" i="1"/>
  <c r="N517" i="1"/>
  <c r="N518" i="1"/>
  <c r="N519" i="1"/>
  <c r="N520" i="1"/>
  <c r="O521" i="1"/>
  <c r="N917" i="1" l="1"/>
  <c r="N891" i="1"/>
  <c r="N566" i="1"/>
  <c r="N995" i="1"/>
  <c r="N969" i="1"/>
  <c r="N943" i="1"/>
  <c r="N774" i="1"/>
  <c r="N670" i="1"/>
  <c r="N553" i="1"/>
  <c r="N904" i="1"/>
  <c r="N865" i="1"/>
  <c r="N930" i="1"/>
  <c r="N696" i="1"/>
  <c r="N579" i="1"/>
  <c r="N1008" i="1"/>
  <c r="N956" i="1"/>
  <c r="N813" i="1"/>
  <c r="N839" i="1"/>
  <c r="N314" i="1"/>
  <c r="N171" i="1"/>
  <c r="N605" i="1"/>
  <c r="N709" i="1"/>
  <c r="N592" i="1"/>
  <c r="N618" i="1"/>
  <c r="N735" i="1"/>
  <c r="N722" i="1"/>
  <c r="N852" i="1"/>
  <c r="N826" i="1"/>
  <c r="N644" i="1"/>
  <c r="N631" i="1"/>
  <c r="N761" i="1"/>
  <c r="N748" i="1"/>
  <c r="N657" i="1"/>
  <c r="N982" i="1"/>
  <c r="N800" i="1"/>
  <c r="N787" i="1"/>
  <c r="N683" i="1"/>
  <c r="N1021" i="1"/>
  <c r="N184" i="1"/>
  <c r="N210" i="1"/>
  <c r="N197" i="1"/>
  <c r="N41" i="1"/>
  <c r="N353" i="1"/>
  <c r="N223" i="1"/>
  <c r="N67" i="1"/>
  <c r="N54" i="1"/>
  <c r="N366" i="1"/>
  <c r="N80" i="1"/>
  <c r="N236" i="1"/>
  <c r="N327" i="1"/>
  <c r="N340" i="1"/>
  <c r="N249" i="1"/>
  <c r="N379" i="1"/>
  <c r="N275" i="1"/>
  <c r="N262" i="1"/>
  <c r="N106" i="1"/>
  <c r="N93" i="1"/>
  <c r="N301" i="1"/>
  <c r="N288" i="1"/>
  <c r="N119" i="1"/>
  <c r="N158" i="1"/>
  <c r="N145" i="1"/>
  <c r="N132" i="1"/>
  <c r="N431" i="1"/>
  <c r="N418" i="1"/>
  <c r="N405" i="1"/>
  <c r="N392" i="1"/>
  <c r="N509" i="1"/>
  <c r="N496" i="1"/>
  <c r="N483" i="1"/>
  <c r="N470" i="1"/>
  <c r="N457" i="1"/>
  <c r="N444" i="1"/>
  <c r="M1033" i="1"/>
  <c r="M528" i="1"/>
  <c r="M521" i="1"/>
  <c r="M16" i="1"/>
  <c r="O528" i="1" l="1"/>
  <c r="M540" i="1"/>
  <c r="O540" i="1" s="1"/>
  <c r="O1033" i="1"/>
  <c r="M1034" i="1"/>
  <c r="O1034" i="1" s="1"/>
  <c r="O16" i="1"/>
  <c r="M28" i="1"/>
  <c r="O28" i="1" s="1"/>
  <c r="M522" i="1"/>
  <c r="O522" i="1" s="1"/>
  <c r="K1033" i="1"/>
  <c r="K1034" i="1" s="1"/>
  <c r="J1033" i="1"/>
  <c r="K528" i="1"/>
  <c r="K540" i="1" s="1"/>
  <c r="J528" i="1"/>
  <c r="K16" i="1"/>
  <c r="K28" i="1" s="1"/>
  <c r="G1033" i="1" l="1"/>
  <c r="G521" i="1"/>
  <c r="G16" i="1"/>
  <c r="J16" i="1" l="1"/>
  <c r="K521" i="1"/>
  <c r="K522" i="1" s="1"/>
  <c r="J521" i="1"/>
  <c r="F1033" i="1" l="1"/>
  <c r="F1034" i="1" s="1"/>
  <c r="G1034" i="1" s="1"/>
  <c r="F528" i="1"/>
  <c r="G528" i="1" l="1"/>
  <c r="F540" i="1"/>
  <c r="N528" i="1"/>
  <c r="N540" i="1" s="1"/>
  <c r="N1033" i="1"/>
  <c r="N1034" i="1" s="1"/>
  <c r="F521" i="1"/>
  <c r="F522" i="1" s="1"/>
  <c r="G522" i="1" s="1"/>
  <c r="F16" i="1" l="1"/>
  <c r="F28" i="1" s="1"/>
  <c r="N16" i="1" l="1"/>
  <c r="N28" i="1" s="1"/>
  <c r="N521" i="1"/>
  <c r="N522" i="1" l="1"/>
</calcChain>
</file>

<file path=xl/sharedStrings.xml><?xml version="1.0" encoding="utf-8"?>
<sst xmlns="http://schemas.openxmlformats.org/spreadsheetml/2006/main" count="2021" uniqueCount="140">
  <si>
    <t>Division</t>
  </si>
  <si>
    <t>Division Manager</t>
  </si>
  <si>
    <t>a</t>
  </si>
  <si>
    <t>b</t>
  </si>
  <si>
    <t>d</t>
  </si>
  <si>
    <t>Division manager remarks:</t>
  </si>
  <si>
    <t>Manhours Consumption Report</t>
  </si>
  <si>
    <t>Department</t>
  </si>
  <si>
    <t>Projects</t>
  </si>
  <si>
    <t>Area</t>
  </si>
  <si>
    <t>Team</t>
  </si>
  <si>
    <t>Team Leader</t>
  </si>
  <si>
    <t>Percentage deviation</t>
  </si>
  <si>
    <t>c = b - a</t>
  </si>
  <si>
    <t>to</t>
  </si>
  <si>
    <t>Reporting period from</t>
  </si>
  <si>
    <t>Project report -&gt; Manhours Consumption</t>
  </si>
  <si>
    <t>Project No.</t>
  </si>
  <si>
    <t>Planned</t>
  </si>
  <si>
    <t>Consumed</t>
  </si>
  <si>
    <t>Deviation</t>
  </si>
  <si>
    <t xml:space="preserve">Total mh consumption on cut-off date
</t>
  </si>
  <si>
    <t xml:space="preserve">Remaining Discipline Budget
</t>
  </si>
  <si>
    <t>Percentage  Discipline 
Total Budget consumption on cut-off date</t>
  </si>
  <si>
    <t>i</t>
  </si>
  <si>
    <t>e</t>
  </si>
  <si>
    <t>Expected total mh consumption on Project end</t>
  </si>
  <si>
    <t xml:space="preserve">k = j - e </t>
  </si>
  <si>
    <t xml:space="preserve">l = j / e </t>
  </si>
  <si>
    <t>Expected percentage Discipline 
Total Budget consumption on Project end</t>
  </si>
  <si>
    <r>
      <t xml:space="preserve">Discipline 
Total Budget </t>
    </r>
    <r>
      <rPr>
        <i/>
        <strike/>
        <sz val="8.5"/>
        <rFont val="Arial"/>
        <family val="2"/>
      </rPr>
      <t xml:space="preserve">
</t>
    </r>
    <r>
      <rPr>
        <sz val="8"/>
        <rFont val="Arial"/>
        <family val="2"/>
      </rPr>
      <t>NOTE 1</t>
    </r>
  </si>
  <si>
    <r>
      <t xml:space="preserve">Estimate to complete 
</t>
    </r>
    <r>
      <rPr>
        <sz val="8"/>
        <rFont val="Arial"/>
        <family val="2"/>
      </rPr>
      <t>NOTE 2</t>
    </r>
  </si>
  <si>
    <r>
      <rPr>
        <b/>
        <sz val="10"/>
        <rFont val="Arial"/>
        <family val="2"/>
      </rPr>
      <t xml:space="preserve">Expected deviation from Discipline 
Total Budget on Project end </t>
    </r>
    <r>
      <rPr>
        <b/>
        <strike/>
        <sz val="10"/>
        <color rgb="FFFF0000"/>
        <rFont val="Arial"/>
        <family val="2"/>
        <charset val="238"/>
      </rPr>
      <t/>
    </r>
  </si>
  <si>
    <t>Employee</t>
  </si>
  <si>
    <t xml:space="preserve">
Notes:
1. Discipline Total Budget is set on Project start and then in-/decreased during Project life cycle based on Contract amendments, extensions, agreed with Client extra works etc.
2. Based on current PMT02.
</t>
  </si>
  <si>
    <t>Project report -&gt; Manhours Cost</t>
  </si>
  <si>
    <r>
      <t xml:space="preserve">Discipline 
Total Budget 
</t>
    </r>
    <r>
      <rPr>
        <sz val="8"/>
        <rFont val="Arial"/>
        <family val="2"/>
        <charset val="238"/>
      </rPr>
      <t>NOTE 1</t>
    </r>
  </si>
  <si>
    <t xml:space="preserve">
Total mh cost on cut-off date
</t>
  </si>
  <si>
    <r>
      <rPr>
        <i/>
        <strike/>
        <sz val="8.5"/>
        <rFont val="Arial"/>
        <family val="2"/>
        <charset val="238"/>
      </rPr>
      <t xml:space="preserve"> </t>
    </r>
    <r>
      <rPr>
        <b/>
        <sz val="10"/>
        <rFont val="Arial"/>
        <family val="2"/>
        <charset val="238"/>
      </rPr>
      <t>Percentage  Discipline 
Total Budget consumption on cut-off date</t>
    </r>
  </si>
  <si>
    <r>
      <t xml:space="preserve">Estimate to complete </t>
    </r>
    <r>
      <rPr>
        <i/>
        <strike/>
        <sz val="10"/>
        <rFont val="Arial"/>
        <family val="2"/>
        <charset val="238"/>
      </rPr>
      <t xml:space="preserve">
</t>
    </r>
    <r>
      <rPr>
        <sz val="8"/>
        <rFont val="Arial"/>
        <family val="2"/>
        <charset val="238"/>
      </rPr>
      <t>NOTE 2</t>
    </r>
  </si>
  <si>
    <r>
      <t xml:space="preserve">Expected total mh cost on Project end
</t>
    </r>
    <r>
      <rPr>
        <b/>
        <strike/>
        <sz val="10"/>
        <color rgb="FFFF0000"/>
        <rFont val="Arial"/>
        <family val="2"/>
        <charset val="238"/>
      </rPr>
      <t/>
    </r>
  </si>
  <si>
    <t>Expected deviation from Discipline 
Total Budget on Project end</t>
  </si>
  <si>
    <t>f</t>
  </si>
  <si>
    <t>g = f / e</t>
  </si>
  <si>
    <t>h = e - f</t>
  </si>
  <si>
    <t>j = f + i</t>
  </si>
  <si>
    <t>Technology</t>
  </si>
  <si>
    <t xml:space="preserve">Mechanical &amp; Process </t>
  </si>
  <si>
    <t>Mechanical</t>
  </si>
  <si>
    <t>Piotr Stanislawek</t>
  </si>
  <si>
    <t>Robert Kowalczyk - Mechanical</t>
  </si>
  <si>
    <t>D198</t>
  </si>
  <si>
    <t>Stanislawek, Piotr</t>
  </si>
  <si>
    <t>Gniwek, Robert</t>
  </si>
  <si>
    <t>Krzysztofowicz, Jaroslaw</t>
  </si>
  <si>
    <t>Reszka, Bartlomiej</t>
  </si>
  <si>
    <t>Trakul, Tomasz</t>
  </si>
  <si>
    <t>Kowalewski, Michal</t>
  </si>
  <si>
    <t>Borowski, Jacek</t>
  </si>
  <si>
    <t>Lubbe, Aleksander</t>
  </si>
  <si>
    <t>Lubbe, Romuald</t>
  </si>
  <si>
    <t>Pieklik, Mariusz</t>
  </si>
  <si>
    <t>Szafner, Sebastian</t>
  </si>
  <si>
    <t>D889</t>
  </si>
  <si>
    <t>E556</t>
  </si>
  <si>
    <t>E599</t>
  </si>
  <si>
    <t>E872</t>
  </si>
  <si>
    <t>E934</t>
  </si>
  <si>
    <t>F236</t>
  </si>
  <si>
    <t>F295</t>
  </si>
  <si>
    <t>F808</t>
  </si>
  <si>
    <t>F944</t>
  </si>
  <si>
    <t>F958</t>
  </si>
  <si>
    <t>G164</t>
  </si>
  <si>
    <t>G263</t>
  </si>
  <si>
    <t>G429</t>
  </si>
  <si>
    <t>G492</t>
  </si>
  <si>
    <t>G493</t>
  </si>
  <si>
    <t>H204</t>
  </si>
  <si>
    <t>H808</t>
  </si>
  <si>
    <t>H919</t>
  </si>
  <si>
    <t>J225</t>
  </si>
  <si>
    <t>J258</t>
  </si>
  <si>
    <t>J399</t>
  </si>
  <si>
    <t>J500</t>
  </si>
  <si>
    <t>K094</t>
  </si>
  <si>
    <t>K121</t>
  </si>
  <si>
    <t>K153</t>
  </si>
  <si>
    <t>K282</t>
  </si>
  <si>
    <t>K325</t>
  </si>
  <si>
    <t>K392</t>
  </si>
  <si>
    <t>K403</t>
  </si>
  <si>
    <t>K504</t>
  </si>
  <si>
    <t>K740</t>
  </si>
  <si>
    <t>K840</t>
  </si>
  <si>
    <t>N386</t>
  </si>
  <si>
    <t>N485</t>
  </si>
  <si>
    <t>N665</t>
  </si>
  <si>
    <t>N694</t>
  </si>
  <si>
    <t>N706</t>
  </si>
  <si>
    <t>N707</t>
  </si>
  <si>
    <t>D198 Suma</t>
  </si>
  <si>
    <t>D889 Suma</t>
  </si>
  <si>
    <t>E556 Suma</t>
  </si>
  <si>
    <t>E599 Suma</t>
  </si>
  <si>
    <t>E872 Suma</t>
  </si>
  <si>
    <t>E934 Suma</t>
  </si>
  <si>
    <t>F236 Suma</t>
  </si>
  <si>
    <t>F295 Suma</t>
  </si>
  <si>
    <t>F808 Suma</t>
  </si>
  <si>
    <t>F944 Suma</t>
  </si>
  <si>
    <t>F958 Suma</t>
  </si>
  <si>
    <t>G164 Suma</t>
  </si>
  <si>
    <t>G263 Suma</t>
  </si>
  <si>
    <t>G429 Suma</t>
  </si>
  <si>
    <t>G492 Suma</t>
  </si>
  <si>
    <t>G493 Suma</t>
  </si>
  <si>
    <t>H204 Suma</t>
  </si>
  <si>
    <t>H808 Suma</t>
  </si>
  <si>
    <t>H919 Suma</t>
  </si>
  <si>
    <t>J225 Suma</t>
  </si>
  <si>
    <t>J258 Suma</t>
  </si>
  <si>
    <t>J399 Suma</t>
  </si>
  <si>
    <t>J500 Suma</t>
  </si>
  <si>
    <t>K094 Suma</t>
  </si>
  <si>
    <t>K121 Suma</t>
  </si>
  <si>
    <t>K153 Suma</t>
  </si>
  <si>
    <t>K282 Suma</t>
  </si>
  <si>
    <t>K325 Suma</t>
  </si>
  <si>
    <t>K392 Suma</t>
  </si>
  <si>
    <t>K403 Suma</t>
  </si>
  <si>
    <t>K504 Suma</t>
  </si>
  <si>
    <t>K740 Suma</t>
  </si>
  <si>
    <t>K840 Suma</t>
  </si>
  <si>
    <t>N386 Suma</t>
  </si>
  <si>
    <t>N485 Suma</t>
  </si>
  <si>
    <t>N665 Suma</t>
  </si>
  <si>
    <t>N694 Suma</t>
  </si>
  <si>
    <t>N706 Suma</t>
  </si>
  <si>
    <t>N707 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</si>
</sst>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\ &quot;€&quot;"/>
    <numFmt numFmtId="165" formatCode="_-* #,##0.00\ &quot;€&quot;_-;\-* #,##0.00\ &quot;€&quot;_-;_-* &quot;-&quot;??\ &quot;€&quot;_-;_-@_-"/>
    <numFmt numFmtId="166" formatCode="0.0%"/>
  </numFmts>
  <fonts count="25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2"/>
      <color rgb="FFFF000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0" tint="-0.249977111117893"/>
      <name val="Arial"/>
      <family val="2"/>
      <charset val="238"/>
    </font>
    <font>
      <sz val="8"/>
      <name val="Arial"/>
      <family val="2"/>
      <charset val="238"/>
    </font>
    <font>
      <sz val="11"/>
      <color rgb="FF3F3F7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trike/>
      <sz val="10"/>
      <color rgb="FFFF0000"/>
      <name val="Arial"/>
      <family val="2"/>
      <charset val="238"/>
    </font>
    <font>
      <i/>
      <strike/>
      <sz val="8.5"/>
      <name val="Arial"/>
      <family val="2"/>
    </font>
    <font>
      <sz val="8"/>
      <name val="Arial"/>
      <family val="2"/>
    </font>
    <font>
      <b/>
      <strike/>
      <sz val="10"/>
      <name val="Arial"/>
      <family val="2"/>
    </font>
    <font>
      <u/>
      <sz val="10"/>
      <color theme="10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13"/>
      <name val="Arial"/>
      <family val="2"/>
      <charset val="238"/>
    </font>
    <font>
      <sz val="11"/>
      <name val="Arial"/>
      <family val="2"/>
      <charset val="238"/>
    </font>
    <font>
      <i/>
      <strike/>
      <sz val="8.5"/>
      <name val="Arial"/>
      <family val="2"/>
      <charset val="238"/>
    </font>
    <font>
      <i/>
      <strike/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9">
    <xf numFmtId="0" fontId="0" fillId="0" borderId="0"/>
    <xf numFmtId="9" fontId="5" fillId="0" borderId="0" applyFont="0" applyFill="0" applyBorder="0" applyAlignment="0" applyProtection="0"/>
    <xf numFmtId="0" fontId="11" fillId="3" borderId="1" applyNumberFormat="0" applyAlignment="0" applyProtection="0"/>
    <xf numFmtId="0" fontId="12" fillId="2" borderId="0" applyNumberFormat="0" applyBorder="0" applyAlignment="0" applyProtection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2" fillId="0" borderId="0"/>
    <xf numFmtId="9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0" borderId="0"/>
    <xf numFmtId="0" fontId="1" fillId="0" borderId="0"/>
  </cellStyleXfs>
  <cellXfs count="62">
    <xf numFmtId="0" fontId="0" fillId="0" borderId="0" xfId="0"/>
    <xf numFmtId="0" fontId="21" fillId="0" borderId="2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 applyProtection="1">
      <alignment horizontal="left" vertical="top"/>
      <protection locked="0"/>
    </xf>
    <xf numFmtId="0" fontId="21" fillId="0" borderId="5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 applyProtection="1">
      <alignment horizontal="left" vertical="top"/>
      <protection locked="0"/>
    </xf>
    <xf numFmtId="0" fontId="21" fillId="0" borderId="10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 applyProtection="1">
      <alignment horizontal="left" vertical="top"/>
      <protection locked="0"/>
    </xf>
    <xf numFmtId="2" fontId="3" fillId="0" borderId="2" xfId="0" applyNumberFormat="1" applyFont="1" applyBorder="1" applyAlignment="1" applyProtection="1">
      <alignment horizontal="center" vertical="center" wrapText="1"/>
    </xf>
    <xf numFmtId="2" fontId="3" fillId="0" borderId="3" xfId="0" applyNumberFormat="1" applyFont="1" applyBorder="1" applyAlignment="1" applyProtection="1">
      <alignment horizontal="center" vertical="center" wrapText="1"/>
    </xf>
    <xf numFmtId="0" fontId="0" fillId="0" borderId="3" xfId="0" applyBorder="1" applyProtection="1"/>
    <xf numFmtId="0" fontId="0" fillId="0" borderId="0" xfId="0" applyBorder="1" applyProtection="1"/>
    <xf numFmtId="0" fontId="0" fillId="0" borderId="5" xfId="0" applyBorder="1" applyProtection="1"/>
    <xf numFmtId="0" fontId="20" fillId="0" borderId="2" xfId="0" applyFont="1" applyBorder="1" applyAlignment="1" applyProtection="1">
      <alignment horizontal="center" vertical="center"/>
    </xf>
    <xf numFmtId="0" fontId="20" fillId="0" borderId="4" xfId="0" applyFont="1" applyBorder="1" applyAlignment="1" applyProtection="1">
      <alignment horizontal="center" vertical="center"/>
    </xf>
    <xf numFmtId="0" fontId="20" fillId="0" borderId="0" xfId="0" applyFont="1" applyBorder="1" applyAlignment="1" applyProtection="1">
      <alignment horizontal="center" vertical="center"/>
    </xf>
    <xf numFmtId="0" fontId="0" fillId="0" borderId="0" xfId="0" applyProtection="1"/>
    <xf numFmtId="14" fontId="4" fillId="0" borderId="6" xfId="0" applyNumberFormat="1" applyFont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4" fontId="4" fillId="0" borderId="7" xfId="0" applyNumberFormat="1" applyFont="1" applyBorder="1" applyAlignment="1" applyProtection="1">
      <alignment horizontal="center" vertical="center"/>
    </xf>
    <xf numFmtId="14" fontId="4" fillId="0" borderId="8" xfId="0" applyNumberFormat="1" applyFont="1" applyBorder="1" applyAlignment="1" applyProtection="1">
      <alignment horizontal="center" vertical="center"/>
    </xf>
    <xf numFmtId="2" fontId="3" fillId="0" borderId="0" xfId="0" applyNumberFormat="1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5" fillId="0" borderId="4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0" fontId="10" fillId="0" borderId="3" xfId="0" applyFont="1" applyBorder="1" applyAlignment="1" applyProtection="1">
      <alignment horizontal="left" vertical="distributed" wrapText="1"/>
    </xf>
    <xf numFmtId="0" fontId="0" fillId="0" borderId="3" xfId="0" applyBorder="1" applyAlignment="1" applyProtection="1">
      <alignment horizontal="left" vertical="distributed" wrapText="1"/>
    </xf>
    <xf numFmtId="0" fontId="4" fillId="0" borderId="10" xfId="0" applyFont="1" applyBorder="1" applyAlignment="1" applyProtection="1">
      <alignment horizontal="center" vertical="center"/>
    </xf>
    <xf numFmtId="0" fontId="18" fillId="0" borderId="11" xfId="16" applyBorder="1" applyAlignment="1" applyProtection="1">
      <alignment horizontal="center" vertical="center"/>
    </xf>
    <xf numFmtId="0" fontId="18" fillId="0" borderId="0" xfId="16" applyBorder="1" applyAlignment="1" applyProtection="1">
      <alignment horizontal="center" vertical="center"/>
    </xf>
    <xf numFmtId="0" fontId="0" fillId="0" borderId="0" xfId="0" applyAlignment="1" applyProtection="1">
      <alignment horizontal="left" vertical="distributed" wrapText="1"/>
    </xf>
    <xf numFmtId="0" fontId="4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left"/>
    </xf>
    <xf numFmtId="0" fontId="6" fillId="0" borderId="0" xfId="0" applyFont="1" applyBorder="1" applyProtection="1"/>
    <xf numFmtId="0" fontId="7" fillId="0" borderId="0" xfId="0" applyFont="1" applyBorder="1" applyProtection="1"/>
    <xf numFmtId="164" fontId="0" fillId="0" borderId="0" xfId="0" applyNumberFormat="1" applyBorder="1" applyProtection="1"/>
    <xf numFmtId="10" fontId="0" fillId="0" borderId="0" xfId="0" applyNumberFormat="1" applyBorder="1" applyProtection="1"/>
    <xf numFmtId="3" fontId="0" fillId="0" borderId="0" xfId="0" applyNumberFormat="1" applyBorder="1" applyProtection="1"/>
    <xf numFmtId="0" fontId="6" fillId="4" borderId="12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5" borderId="12" xfId="0" applyFont="1" applyFill="1" applyBorder="1" applyAlignment="1" applyProtection="1">
      <alignment horizontal="center" vertical="center" wrapText="1"/>
    </xf>
    <xf numFmtId="0" fontId="17" fillId="4" borderId="12" xfId="0" applyFont="1" applyFill="1" applyBorder="1" applyAlignment="1" applyProtection="1">
      <alignment horizontal="center" vertical="center" wrapText="1"/>
    </xf>
    <xf numFmtId="3" fontId="8" fillId="0" borderId="12" xfId="0" applyNumberFormat="1" applyFont="1" applyBorder="1" applyAlignment="1" applyProtection="1">
      <alignment horizontal="center" vertical="center"/>
    </xf>
    <xf numFmtId="166" fontId="8" fillId="0" borderId="12" xfId="0" applyNumberFormat="1" applyFont="1" applyBorder="1" applyAlignment="1" applyProtection="1">
      <alignment horizontal="center" vertical="center"/>
    </xf>
    <xf numFmtId="166" fontId="8" fillId="5" borderId="12" xfId="0" applyNumberFormat="1" applyFont="1" applyFill="1" applyBorder="1" applyAlignment="1" applyProtection="1">
      <alignment horizontal="center" vertical="center"/>
    </xf>
    <xf numFmtId="3" fontId="8" fillId="5" borderId="12" xfId="0" applyNumberFormat="1" applyFont="1" applyFill="1" applyBorder="1" applyAlignment="1" applyProtection="1">
      <alignment horizontal="center" vertical="center"/>
    </xf>
    <xf numFmtId="10" fontId="9" fillId="0" borderId="0" xfId="0" applyNumberFormat="1" applyFont="1" applyBorder="1" applyProtection="1"/>
    <xf numFmtId="10" fontId="0" fillId="0" borderId="0" xfId="1" applyNumberFormat="1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left"/>
    </xf>
    <xf numFmtId="3" fontId="24" fillId="0" borderId="12" xfId="0" applyNumberFormat="1" applyFont="1" applyBorder="1" applyAlignment="1" applyProtection="1">
      <alignment horizontal="center" vertical="center"/>
    </xf>
    <xf numFmtId="0" fontId="4" fillId="4" borderId="12" xfId="0" applyFont="1" applyFill="1" applyBorder="1" applyAlignment="1" applyProtection="1">
      <alignment horizontal="center" vertical="center" wrapText="1"/>
    </xf>
    <xf numFmtId="0" fontId="4" fillId="5" borderId="12" xfId="0" applyFont="1" applyFill="1" applyBorder="1" applyAlignment="1" applyProtection="1">
      <alignment horizontal="center" vertical="center" wrapText="1"/>
    </xf>
    <xf numFmtId="0" fontId="21" fillId="0" borderId="4" xfId="0" applyFont="1" applyBorder="1" applyAlignment="1" applyProtection="1">
      <alignment horizontal="left" vertical="top"/>
      <protection locked="0"/>
    </xf>
    <xf numFmtId="0" fontId="21" fillId="0" borderId="9" xfId="0" applyFont="1" applyBorder="1" applyAlignment="1" applyProtection="1">
      <alignment horizontal="left" vertical="top"/>
      <protection locked="0"/>
    </xf>
    <xf numFmtId="0" fontId="21" fillId="0" borderId="11" xfId="0" applyFont="1" applyBorder="1" applyAlignment="1" applyProtection="1">
      <alignment horizontal="left" vertical="top"/>
      <protection locked="0"/>
    </xf>
  </cellXfs>
  <cellStyles count="19">
    <cellStyle name="Dane wejściowe 2" xfId="2"/>
    <cellStyle name="Hiperłącze" xfId="16" builtinId="8"/>
    <cellStyle name="Neutralne 2" xfId="3"/>
    <cellStyle name="Normal 2" xfId="4"/>
    <cellStyle name="Normalny" xfId="0" builtinId="0"/>
    <cellStyle name="Normalny 2" xfId="5"/>
    <cellStyle name="Normalny 2 2" xfId="6"/>
    <cellStyle name="Normalny 2 2 2" xfId="7"/>
    <cellStyle name="Normalny 2 3" xfId="8"/>
    <cellStyle name="Normalny 3" xfId="9"/>
    <cellStyle name="Normalny 3 2" xfId="10"/>
    <cellStyle name="Normalny 3 2 2" xfId="18"/>
    <cellStyle name="Normalny 3 3" xfId="17"/>
    <cellStyle name="Normalny 4" xfId="11"/>
    <cellStyle name="Normalny 5" xfId="12"/>
    <cellStyle name="Normalny 6" xfId="13"/>
    <cellStyle name="Procentowy" xfId="1" builtinId="5"/>
    <cellStyle name="Procentowy 2" xfId="14"/>
    <cellStyle name="Walutowy 2" xfId="15"/>
  </cellStyles>
  <dxfs count="374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7</xdr:row>
          <xdr:rowOff>152400</xdr:rowOff>
        </xdr:from>
        <xdr:to>
          <xdr:col>15</xdr:col>
          <xdr:colOff>0</xdr:colOff>
          <xdr:row>8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Template"/>
  <dimension ref="A1:XFC1211"/>
  <sheetViews>
    <sheetView showGridLines="0" tabSelected="1" topLeftCell="A982" zoomScale="70" zoomScaleNormal="70" workbookViewId="0">
      <selection activeCell="A1035" sqref="A1035:XFD1035"/>
    </sheetView>
  </sheetViews>
  <sheetFormatPr defaultColWidth="9.140625" defaultRowHeight="12.75" zeroHeight="1" outlineLevelRow="2" x14ac:dyDescent="0.2"/>
  <cols>
    <col min="1" max="1" width="5.7109375" style="15" customWidth="1"/>
    <col min="2" max="2" width="17.28515625" style="15" customWidth="1"/>
    <col min="3" max="3" width="36" style="15" customWidth="1"/>
    <col min="4" max="15" width="16.7109375" style="15" customWidth="1"/>
    <col min="16" max="16" width="5.7109375" style="15" customWidth="1"/>
    <col min="17" max="37" width="16.85546875" style="15" hidden="1" customWidth="1"/>
    <col min="38" max="38" width="18.85546875" style="15" hidden="1" customWidth="1"/>
    <col min="39" max="40" width="20.28515625" style="15" hidden="1" customWidth="1"/>
    <col min="41" max="42" width="26.42578125" style="15" hidden="1" customWidth="1"/>
    <col min="43" max="187" width="10.5703125" style="15" hidden="1" customWidth="1"/>
    <col min="188" max="189" width="15.42578125" style="15" hidden="1" customWidth="1"/>
    <col min="190" max="16383" width="9.140625" style="15"/>
    <col min="16384" max="16384" width="0.42578125" style="15" customWidth="1"/>
  </cols>
  <sheetData>
    <row r="1" spans="1:19" s="10" customFormat="1" ht="16.5" thickBot="1" x14ac:dyDescent="0.25">
      <c r="A1" s="7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9"/>
    </row>
    <row r="2" spans="1:19" s="10" customFormat="1" ht="33.75" customHeight="1" thickBot="1" x14ac:dyDescent="0.25">
      <c r="A2" s="11"/>
      <c r="B2" s="12" t="s">
        <v>6</v>
      </c>
      <c r="C2" s="13"/>
      <c r="D2" s="14"/>
      <c r="E2" s="15"/>
      <c r="F2" s="16" t="s">
        <v>15</v>
      </c>
      <c r="G2" s="17"/>
      <c r="H2" s="18">
        <v>42826</v>
      </c>
      <c r="I2" s="18" t="s">
        <v>14</v>
      </c>
      <c r="J2" s="19">
        <v>42841</v>
      </c>
      <c r="K2" s="20"/>
      <c r="L2" s="20"/>
      <c r="M2" s="20"/>
      <c r="N2" s="20"/>
    </row>
    <row r="3" spans="1:19" s="10" customFormat="1" ht="33.75" customHeight="1" thickBot="1" x14ac:dyDescent="0.25">
      <c r="A3" s="11"/>
      <c r="B3" s="21" t="s">
        <v>7</v>
      </c>
      <c r="C3" s="22" t="s">
        <v>8</v>
      </c>
      <c r="D3" s="23"/>
      <c r="E3" s="20"/>
      <c r="F3" s="15"/>
      <c r="G3" s="15"/>
      <c r="H3" s="15"/>
      <c r="I3" s="15"/>
      <c r="J3" s="15"/>
      <c r="K3" s="20"/>
      <c r="L3" s="20"/>
      <c r="M3" s="20"/>
      <c r="N3" s="20"/>
    </row>
    <row r="4" spans="1:19" s="10" customFormat="1" ht="33.75" customHeight="1" thickBot="1" x14ac:dyDescent="0.25">
      <c r="A4" s="11"/>
      <c r="B4" s="21" t="s">
        <v>9</v>
      </c>
      <c r="C4" s="22" t="s">
        <v>46</v>
      </c>
      <c r="D4" s="23"/>
      <c r="E4" s="20"/>
      <c r="F4" s="24" t="s">
        <v>5</v>
      </c>
      <c r="G4" s="24"/>
      <c r="N4" s="20"/>
    </row>
    <row r="5" spans="1:19" s="10" customFormat="1" ht="33.75" customHeight="1" x14ac:dyDescent="0.2">
      <c r="A5" s="11"/>
      <c r="B5" s="21" t="s">
        <v>0</v>
      </c>
      <c r="C5" s="25" t="s">
        <v>47</v>
      </c>
      <c r="D5" s="26"/>
      <c r="E5" s="20"/>
      <c r="F5" s="1"/>
      <c r="G5" s="2"/>
      <c r="H5" s="2"/>
      <c r="I5" s="2"/>
      <c r="J5" s="2"/>
      <c r="K5" s="2"/>
      <c r="L5" s="2"/>
      <c r="M5" s="2"/>
      <c r="N5" s="2"/>
      <c r="O5" s="59"/>
    </row>
    <row r="6" spans="1:19" s="10" customFormat="1" ht="33.75" customHeight="1" x14ac:dyDescent="0.2">
      <c r="A6" s="11"/>
      <c r="B6" s="27" t="s">
        <v>10</v>
      </c>
      <c r="C6" s="28" t="s">
        <v>48</v>
      </c>
      <c r="D6" s="23"/>
      <c r="E6" s="20"/>
      <c r="F6" s="3"/>
      <c r="G6" s="4"/>
      <c r="H6" s="4"/>
      <c r="I6" s="4"/>
      <c r="J6" s="4"/>
      <c r="K6" s="4"/>
      <c r="L6" s="4"/>
      <c r="M6" s="4"/>
      <c r="N6" s="4"/>
      <c r="O6" s="60"/>
    </row>
    <row r="7" spans="1:19" s="10" customFormat="1" ht="33.75" customHeight="1" thickBot="1" x14ac:dyDescent="0.25">
      <c r="A7" s="11"/>
      <c r="B7" s="27" t="s">
        <v>11</v>
      </c>
      <c r="C7" s="28" t="s">
        <v>49</v>
      </c>
      <c r="D7" s="23"/>
      <c r="E7" s="20"/>
      <c r="F7" s="5"/>
      <c r="G7" s="6"/>
      <c r="H7" s="6"/>
      <c r="I7" s="6"/>
      <c r="J7" s="6"/>
      <c r="K7" s="6"/>
      <c r="L7" s="6"/>
      <c r="M7" s="6"/>
      <c r="N7" s="6"/>
      <c r="O7" s="61"/>
    </row>
    <row r="8" spans="1:19" s="10" customFormat="1" ht="33.75" customHeight="1" x14ac:dyDescent="0.2">
      <c r="A8" s="11"/>
      <c r="B8" s="27" t="s">
        <v>1</v>
      </c>
      <c r="C8" s="29" t="s">
        <v>50</v>
      </c>
      <c r="D8" s="26"/>
      <c r="E8" s="20"/>
      <c r="F8" s="30" t="s">
        <v>34</v>
      </c>
      <c r="G8" s="31"/>
      <c r="H8" s="31"/>
      <c r="I8" s="31"/>
      <c r="J8" s="31"/>
      <c r="K8" s="31"/>
      <c r="L8" s="31"/>
      <c r="M8" s="31"/>
      <c r="N8" s="20"/>
    </row>
    <row r="9" spans="1:19" s="10" customFormat="1" ht="33.75" customHeight="1" thickBot="1" x14ac:dyDescent="0.25">
      <c r="A9" s="11"/>
      <c r="B9" s="32"/>
      <c r="C9" s="33"/>
      <c r="D9" s="34"/>
      <c r="E9" s="20"/>
      <c r="F9" s="35"/>
      <c r="G9" s="35"/>
      <c r="H9" s="35"/>
      <c r="I9" s="35"/>
      <c r="J9" s="35"/>
      <c r="K9" s="35"/>
      <c r="L9" s="35"/>
      <c r="M9" s="35"/>
      <c r="N9" s="20"/>
    </row>
    <row r="10" spans="1:19" s="10" customFormat="1" ht="15.75" x14ac:dyDescent="0.2">
      <c r="A10" s="11"/>
      <c r="B10" s="36"/>
      <c r="C10" s="26"/>
      <c r="D10" s="26"/>
      <c r="E10" s="20"/>
      <c r="F10" s="20"/>
      <c r="G10" s="20"/>
      <c r="H10" s="20"/>
      <c r="I10" s="20"/>
      <c r="J10" s="20"/>
      <c r="K10" s="20"/>
      <c r="L10" s="20"/>
      <c r="M10" s="20"/>
      <c r="N10" s="20"/>
    </row>
    <row r="11" spans="1:19" s="10" customFormat="1" x14ac:dyDescent="0.2">
      <c r="A11" s="11"/>
    </row>
    <row r="12" spans="1:19" s="10" customFormat="1" x14ac:dyDescent="0.2">
      <c r="A12" s="11"/>
      <c r="B12" s="37" t="s">
        <v>16</v>
      </c>
      <c r="C12" s="38"/>
      <c r="D12" s="38"/>
      <c r="E12" s="38"/>
      <c r="F12" s="39"/>
      <c r="G12" s="39"/>
      <c r="H12" s="40"/>
      <c r="K12" s="41"/>
      <c r="M12" s="42"/>
    </row>
    <row r="13" spans="1:19" s="10" customFormat="1" x14ac:dyDescent="0.2">
      <c r="A13" s="11"/>
    </row>
    <row r="14" spans="1:19" s="10" customFormat="1" x14ac:dyDescent="0.2">
      <c r="A14" s="11"/>
      <c r="B14" s="43"/>
      <c r="C14" s="43"/>
      <c r="D14" s="43" t="s">
        <v>2</v>
      </c>
      <c r="E14" s="43" t="s">
        <v>3</v>
      </c>
      <c r="F14" s="43" t="s">
        <v>13</v>
      </c>
      <c r="G14" s="43" t="s">
        <v>4</v>
      </c>
      <c r="H14" s="43" t="s">
        <v>25</v>
      </c>
      <c r="I14" s="43" t="s">
        <v>42</v>
      </c>
      <c r="J14" s="44" t="s">
        <v>43</v>
      </c>
      <c r="K14" s="44" t="s">
        <v>44</v>
      </c>
      <c r="L14" s="43" t="s">
        <v>24</v>
      </c>
      <c r="M14" s="43" t="s">
        <v>45</v>
      </c>
      <c r="N14" s="43" t="s">
        <v>27</v>
      </c>
      <c r="O14" s="43" t="s">
        <v>28</v>
      </c>
      <c r="P14" s="45"/>
    </row>
    <row r="15" spans="1:19" s="10" customFormat="1" ht="76.5" x14ac:dyDescent="0.2">
      <c r="A15" s="11"/>
      <c r="B15" s="46" t="s">
        <v>17</v>
      </c>
      <c r="C15" s="46" t="s">
        <v>33</v>
      </c>
      <c r="D15" s="46" t="s">
        <v>18</v>
      </c>
      <c r="E15" s="46" t="s">
        <v>19</v>
      </c>
      <c r="F15" s="46" t="s">
        <v>20</v>
      </c>
      <c r="G15" s="46" t="s">
        <v>12</v>
      </c>
      <c r="H15" s="46" t="s">
        <v>30</v>
      </c>
      <c r="I15" s="46" t="s">
        <v>21</v>
      </c>
      <c r="J15" s="47" t="s">
        <v>23</v>
      </c>
      <c r="K15" s="47" t="s">
        <v>22</v>
      </c>
      <c r="L15" s="46" t="s">
        <v>31</v>
      </c>
      <c r="M15" s="46" t="s">
        <v>26</v>
      </c>
      <c r="N15" s="48" t="s">
        <v>32</v>
      </c>
      <c r="O15" s="46" t="s">
        <v>29</v>
      </c>
    </row>
    <row r="16" spans="1:19" s="10" customFormat="1" hidden="1" outlineLevel="2" x14ac:dyDescent="0.2">
      <c r="A16" s="11"/>
      <c r="B16" s="49" t="s">
        <v>51</v>
      </c>
      <c r="C16" s="49" t="s">
        <v>52</v>
      </c>
      <c r="D16" s="49">
        <v>0</v>
      </c>
      <c r="E16" s="49">
        <v>0</v>
      </c>
      <c r="F16" s="49">
        <f>E16-D16</f>
        <v>0</v>
      </c>
      <c r="G16" s="50">
        <f>IF(D16=0,0,ABS(F16/D16))</f>
        <v>0</v>
      </c>
      <c r="H16" s="49">
        <v>1085.8500000000001</v>
      </c>
      <c r="I16" s="49">
        <v>165</v>
      </c>
      <c r="J16" s="51">
        <f>IF(H16=0,"No plan at start",I16/H16)</f>
        <v>0.151954689874292</v>
      </c>
      <c r="K16" s="52">
        <f>H16-I16</f>
        <v>920.85000000000014</v>
      </c>
      <c r="L16" s="49">
        <v>0</v>
      </c>
      <c r="M16" s="49">
        <f>I16+L16</f>
        <v>165</v>
      </c>
      <c r="N16" s="49">
        <f>M16-H16</f>
        <v>-920.85000000000014</v>
      </c>
      <c r="O16" s="50">
        <f>IF(H16=0,"No plan at start",M16/H16)</f>
        <v>0.151954689874292</v>
      </c>
      <c r="P16" s="53"/>
      <c r="Q16" s="54"/>
      <c r="R16" s="55"/>
      <c r="S16" s="55"/>
    </row>
    <row r="17" spans="1:19" s="10" customFormat="1" hidden="1" outlineLevel="2" x14ac:dyDescent="0.2">
      <c r="A17" s="11"/>
      <c r="B17" s="49" t="s">
        <v>51</v>
      </c>
      <c r="C17" s="49" t="s">
        <v>53</v>
      </c>
      <c r="D17" s="49">
        <v>0</v>
      </c>
      <c r="E17" s="49">
        <v>0</v>
      </c>
      <c r="F17" s="49">
        <f>E17-D17</f>
        <v>0</v>
      </c>
      <c r="G17" s="50">
        <f>IF(D17=0,0,ABS(F17/D17))</f>
        <v>0</v>
      </c>
      <c r="H17" s="49">
        <v>1085.8500000000001</v>
      </c>
      <c r="I17" s="49">
        <v>289.5</v>
      </c>
      <c r="J17" s="51">
        <f>IF(H17=0,"No plan at start",I17/H17)</f>
        <v>0.26661141041580327</v>
      </c>
      <c r="K17" s="52">
        <f>H17-I17</f>
        <v>796.35000000000014</v>
      </c>
      <c r="L17" s="49">
        <v>0</v>
      </c>
      <c r="M17" s="49">
        <f>I17+L17</f>
        <v>289.5</v>
      </c>
      <c r="N17" s="49">
        <f>M17-H17</f>
        <v>-796.35000000000014</v>
      </c>
      <c r="O17" s="50">
        <f>IF(H17=0,"No plan at start",M17/H17)</f>
        <v>0.26661141041580327</v>
      </c>
      <c r="P17" s="53"/>
      <c r="Q17" s="54"/>
      <c r="R17" s="55"/>
      <c r="S17" s="55"/>
    </row>
    <row r="18" spans="1:19" s="10" customFormat="1" hidden="1" outlineLevel="2" x14ac:dyDescent="0.2">
      <c r="A18" s="11"/>
      <c r="B18" s="49" t="s">
        <v>51</v>
      </c>
      <c r="C18" s="49" t="s">
        <v>54</v>
      </c>
      <c r="D18" s="49">
        <v>0</v>
      </c>
      <c r="E18" s="49">
        <v>0</v>
      </c>
      <c r="F18" s="49">
        <f>E18-D18</f>
        <v>0</v>
      </c>
      <c r="G18" s="50">
        <f>IF(D18=0,0,ABS(F18/D18))</f>
        <v>0</v>
      </c>
      <c r="H18" s="49">
        <v>0</v>
      </c>
      <c r="I18" s="49">
        <v>3</v>
      </c>
      <c r="J18" s="51" t="str">
        <f>IF(H18=0,"No plan at start",I18/H18)</f>
        <v>No plan at start</v>
      </c>
      <c r="K18" s="52">
        <f>H18-I18</f>
        <v>-3</v>
      </c>
      <c r="L18" s="49">
        <v>0</v>
      </c>
      <c r="M18" s="49">
        <f>I18+L18</f>
        <v>3</v>
      </c>
      <c r="N18" s="49">
        <f>M18-H18</f>
        <v>3</v>
      </c>
      <c r="O18" s="50" t="str">
        <f>IF(H18=0,"No plan at start",M18/H18)</f>
        <v>No plan at start</v>
      </c>
      <c r="P18" s="53"/>
      <c r="Q18" s="54"/>
      <c r="R18" s="55"/>
      <c r="S18" s="55"/>
    </row>
    <row r="19" spans="1:19" s="10" customFormat="1" hidden="1" outlineLevel="2" x14ac:dyDescent="0.2">
      <c r="A19" s="11"/>
      <c r="B19" s="49" t="s">
        <v>51</v>
      </c>
      <c r="C19" s="49" t="s">
        <v>55</v>
      </c>
      <c r="D19" s="49">
        <v>0</v>
      </c>
      <c r="E19" s="49">
        <v>0</v>
      </c>
      <c r="F19" s="49">
        <f>E19-D19</f>
        <v>0</v>
      </c>
      <c r="G19" s="50">
        <f>IF(D19=0,0,ABS(F19/D19))</f>
        <v>0</v>
      </c>
      <c r="H19" s="49">
        <v>0</v>
      </c>
      <c r="I19" s="49">
        <v>30.5</v>
      </c>
      <c r="J19" s="51" t="str">
        <f>IF(H19=0,"No plan at start",I19/H19)</f>
        <v>No plan at start</v>
      </c>
      <c r="K19" s="52">
        <f>H19-I19</f>
        <v>-30.5</v>
      </c>
      <c r="L19" s="49">
        <v>0</v>
      </c>
      <c r="M19" s="49">
        <f>I19+L19</f>
        <v>30.5</v>
      </c>
      <c r="N19" s="49">
        <f>M19-H19</f>
        <v>30.5</v>
      </c>
      <c r="O19" s="50" t="str">
        <f>IF(H19=0,"No plan at start",M19/H19)</f>
        <v>No plan at start</v>
      </c>
      <c r="P19" s="53"/>
      <c r="Q19" s="54"/>
      <c r="R19" s="55"/>
      <c r="S19" s="55"/>
    </row>
    <row r="20" spans="1:19" s="10" customFormat="1" hidden="1" outlineLevel="2" x14ac:dyDescent="0.2">
      <c r="A20" s="11"/>
      <c r="B20" s="49" t="s">
        <v>51</v>
      </c>
      <c r="C20" s="49" t="s">
        <v>56</v>
      </c>
      <c r="D20" s="49">
        <v>0</v>
      </c>
      <c r="E20" s="49">
        <v>0</v>
      </c>
      <c r="F20" s="49">
        <f>E20-D20</f>
        <v>0</v>
      </c>
      <c r="G20" s="50">
        <f>IF(D20=0,0,ABS(F20/D20))</f>
        <v>0</v>
      </c>
      <c r="H20" s="49">
        <v>0</v>
      </c>
      <c r="I20" s="49">
        <v>0</v>
      </c>
      <c r="J20" s="51" t="str">
        <f>IF(H20=0,"No plan at start",I20/H20)</f>
        <v>No plan at start</v>
      </c>
      <c r="K20" s="52">
        <f>H20-I20</f>
        <v>0</v>
      </c>
      <c r="L20" s="49">
        <v>0</v>
      </c>
      <c r="M20" s="49">
        <f>I20+L20</f>
        <v>0</v>
      </c>
      <c r="N20" s="49">
        <f>M20-H20</f>
        <v>0</v>
      </c>
      <c r="O20" s="50" t="str">
        <f>IF(H20=0,"No plan at start",M20/H20)</f>
        <v>No plan at start</v>
      </c>
      <c r="P20" s="53"/>
      <c r="Q20" s="54"/>
      <c r="R20" s="55"/>
      <c r="S20" s="55"/>
    </row>
    <row r="21" spans="1:19" s="10" customFormat="1" hidden="1" outlineLevel="2" x14ac:dyDescent="0.2">
      <c r="A21" s="11"/>
      <c r="B21" s="49" t="s">
        <v>51</v>
      </c>
      <c r="C21" s="49" t="s">
        <v>57</v>
      </c>
      <c r="D21" s="49">
        <v>0</v>
      </c>
      <c r="E21" s="49">
        <v>0</v>
      </c>
      <c r="F21" s="49">
        <f>E21-D21</f>
        <v>0</v>
      </c>
      <c r="G21" s="50">
        <f>IF(D21=0,0,ABS(F21/D21))</f>
        <v>0</v>
      </c>
      <c r="H21" s="49">
        <v>0</v>
      </c>
      <c r="I21" s="49">
        <v>0</v>
      </c>
      <c r="J21" s="51" t="str">
        <f>IF(H21=0,"No plan at start",I21/H21)</f>
        <v>No plan at start</v>
      </c>
      <c r="K21" s="52">
        <f>H21-I21</f>
        <v>0</v>
      </c>
      <c r="L21" s="49">
        <v>0</v>
      </c>
      <c r="M21" s="49">
        <f>I21+L21</f>
        <v>0</v>
      </c>
      <c r="N21" s="49">
        <f>M21-H21</f>
        <v>0</v>
      </c>
      <c r="O21" s="50" t="str">
        <f>IF(H21=0,"No plan at start",M21/H21)</f>
        <v>No plan at start</v>
      </c>
      <c r="P21" s="53"/>
      <c r="Q21" s="54"/>
      <c r="R21" s="55"/>
      <c r="S21" s="55"/>
    </row>
    <row r="22" spans="1:19" s="10" customFormat="1" hidden="1" outlineLevel="2" x14ac:dyDescent="0.2">
      <c r="A22" s="11"/>
      <c r="B22" s="49" t="s">
        <v>51</v>
      </c>
      <c r="C22" s="49" t="s">
        <v>48</v>
      </c>
      <c r="D22" s="49">
        <v>0</v>
      </c>
      <c r="E22" s="49">
        <v>0</v>
      </c>
      <c r="F22" s="49">
        <f>E22-D22</f>
        <v>0</v>
      </c>
      <c r="G22" s="50">
        <f>IF(D22=0,0,ABS(F22/D22))</f>
        <v>0</v>
      </c>
      <c r="H22" s="49">
        <v>0</v>
      </c>
      <c r="I22" s="49">
        <v>0</v>
      </c>
      <c r="J22" s="51" t="str">
        <f>IF(H22=0,"No plan at start",I22/H22)</f>
        <v>No plan at start</v>
      </c>
      <c r="K22" s="52">
        <f>H22-I22</f>
        <v>0</v>
      </c>
      <c r="L22" s="49">
        <v>0</v>
      </c>
      <c r="M22" s="49">
        <f>I22+L22</f>
        <v>0</v>
      </c>
      <c r="N22" s="49">
        <f>M22-H22</f>
        <v>0</v>
      </c>
      <c r="O22" s="50" t="str">
        <f>IF(H22=0,"No plan at start",M22/H22)</f>
        <v>No plan at start</v>
      </c>
      <c r="P22" s="53"/>
      <c r="Q22" s="54"/>
      <c r="R22" s="55"/>
      <c r="S22" s="55"/>
    </row>
    <row r="23" spans="1:19" s="10" customFormat="1" hidden="1" outlineLevel="2" x14ac:dyDescent="0.2">
      <c r="A23" s="11"/>
      <c r="B23" s="49" t="s">
        <v>51</v>
      </c>
      <c r="C23" s="49" t="s">
        <v>58</v>
      </c>
      <c r="D23" s="49">
        <v>0</v>
      </c>
      <c r="E23" s="49">
        <v>0</v>
      </c>
      <c r="F23" s="49">
        <f>E23-D23</f>
        <v>0</v>
      </c>
      <c r="G23" s="50">
        <f>IF(D23=0,0,ABS(F23/D23))</f>
        <v>0</v>
      </c>
      <c r="H23" s="49">
        <v>972.25000000000011</v>
      </c>
      <c r="I23" s="49">
        <v>333.25</v>
      </c>
      <c r="J23" s="51">
        <f>IF(H23=0,"No plan at start",I23/H23)</f>
        <v>0.34276163538184617</v>
      </c>
      <c r="K23" s="52">
        <f>H23-I23</f>
        <v>639.00000000000011</v>
      </c>
      <c r="L23" s="49">
        <v>0</v>
      </c>
      <c r="M23" s="49">
        <f>I23+L23</f>
        <v>333.25</v>
      </c>
      <c r="N23" s="49">
        <f>M23-H23</f>
        <v>-639.00000000000011</v>
      </c>
      <c r="O23" s="50">
        <f>IF(H23=0,"No plan at start",M23/H23)</f>
        <v>0.34276163538184617</v>
      </c>
      <c r="P23" s="53"/>
      <c r="Q23" s="54"/>
      <c r="R23" s="55"/>
      <c r="S23" s="55"/>
    </row>
    <row r="24" spans="1:19" s="10" customFormat="1" hidden="1" outlineLevel="2" x14ac:dyDescent="0.2">
      <c r="A24" s="11"/>
      <c r="B24" s="49" t="s">
        <v>51</v>
      </c>
      <c r="C24" s="49" t="s">
        <v>59</v>
      </c>
      <c r="D24" s="49">
        <v>0</v>
      </c>
      <c r="E24" s="49">
        <v>0</v>
      </c>
      <c r="F24" s="49">
        <f>E24-D24</f>
        <v>0</v>
      </c>
      <c r="G24" s="50">
        <f>IF(D24=0,0,ABS(F24/D24))</f>
        <v>0</v>
      </c>
      <c r="H24" s="49">
        <v>0</v>
      </c>
      <c r="I24" s="49">
        <v>0</v>
      </c>
      <c r="J24" s="51" t="str">
        <f>IF(H24=0,"No plan at start",I24/H24)</f>
        <v>No plan at start</v>
      </c>
      <c r="K24" s="52">
        <f>H24-I24</f>
        <v>0</v>
      </c>
      <c r="L24" s="49">
        <v>0</v>
      </c>
      <c r="M24" s="49">
        <f>I24+L24</f>
        <v>0</v>
      </c>
      <c r="N24" s="49">
        <f>M24-H24</f>
        <v>0</v>
      </c>
      <c r="O24" s="50" t="str">
        <f>IF(H24=0,"No plan at start",M24/H24)</f>
        <v>No plan at start</v>
      </c>
      <c r="P24" s="53"/>
      <c r="Q24" s="54"/>
      <c r="R24" s="55"/>
      <c r="S24" s="55"/>
    </row>
    <row r="25" spans="1:19" s="10" customFormat="1" hidden="1" outlineLevel="2" x14ac:dyDescent="0.2">
      <c r="A25" s="11"/>
      <c r="B25" s="49" t="s">
        <v>51</v>
      </c>
      <c r="C25" s="49" t="s">
        <v>60</v>
      </c>
      <c r="D25" s="49">
        <v>0</v>
      </c>
      <c r="E25" s="49">
        <v>0</v>
      </c>
      <c r="F25" s="49">
        <f>E25-D25</f>
        <v>0</v>
      </c>
      <c r="G25" s="50">
        <f>IF(D25=0,0,ABS(F25/D25))</f>
        <v>0</v>
      </c>
      <c r="H25" s="49">
        <v>0</v>
      </c>
      <c r="I25" s="49">
        <v>0</v>
      </c>
      <c r="J25" s="51" t="str">
        <f>IF(H25=0,"No plan at start",I25/H25)</f>
        <v>No plan at start</v>
      </c>
      <c r="K25" s="52">
        <f>H25-I25</f>
        <v>0</v>
      </c>
      <c r="L25" s="49">
        <v>0</v>
      </c>
      <c r="M25" s="49">
        <f>I25+L25</f>
        <v>0</v>
      </c>
      <c r="N25" s="49">
        <f>M25-H25</f>
        <v>0</v>
      </c>
      <c r="O25" s="50" t="str">
        <f>IF(H25=0,"No plan at start",M25/H25)</f>
        <v>No plan at start</v>
      </c>
      <c r="P25" s="53"/>
      <c r="Q25" s="54"/>
      <c r="R25" s="55"/>
      <c r="S25" s="55"/>
    </row>
    <row r="26" spans="1:19" s="10" customFormat="1" hidden="1" outlineLevel="2" x14ac:dyDescent="0.2">
      <c r="A26" s="11"/>
      <c r="B26" s="49" t="s">
        <v>51</v>
      </c>
      <c r="C26" s="49" t="s">
        <v>61</v>
      </c>
      <c r="D26" s="49">
        <v>0</v>
      </c>
      <c r="E26" s="49">
        <v>0</v>
      </c>
      <c r="F26" s="49">
        <f>E26-D26</f>
        <v>0</v>
      </c>
      <c r="G26" s="50">
        <f>IF(D26=0,0,ABS(F26/D26))</f>
        <v>0</v>
      </c>
      <c r="H26" s="49">
        <v>0</v>
      </c>
      <c r="I26" s="49">
        <v>0</v>
      </c>
      <c r="J26" s="51" t="str">
        <f>IF(H26=0,"No plan at start",I26/H26)</f>
        <v>No plan at start</v>
      </c>
      <c r="K26" s="52">
        <f>H26-I26</f>
        <v>0</v>
      </c>
      <c r="L26" s="49">
        <v>0</v>
      </c>
      <c r="M26" s="49">
        <f>I26+L26</f>
        <v>0</v>
      </c>
      <c r="N26" s="49">
        <f>M26-H26</f>
        <v>0</v>
      </c>
      <c r="O26" s="50" t="str">
        <f>IF(H26=0,"No plan at start",M26/H26)</f>
        <v>No plan at start</v>
      </c>
      <c r="P26" s="53"/>
      <c r="Q26" s="54"/>
      <c r="R26" s="55"/>
      <c r="S26" s="55"/>
    </row>
    <row r="27" spans="1:19" s="10" customFormat="1" hidden="1" outlineLevel="2" x14ac:dyDescent="0.2">
      <c r="A27" s="11"/>
      <c r="B27" s="49" t="s">
        <v>51</v>
      </c>
      <c r="C27" s="49" t="s">
        <v>62</v>
      </c>
      <c r="D27" s="49">
        <v>0</v>
      </c>
      <c r="E27" s="49">
        <v>0</v>
      </c>
      <c r="F27" s="49">
        <f>E27-D27</f>
        <v>0</v>
      </c>
      <c r="G27" s="50">
        <f>IF(D27=0,0,ABS(F27/D27))</f>
        <v>0</v>
      </c>
      <c r="H27" s="49">
        <v>0</v>
      </c>
      <c r="I27" s="49">
        <v>87.75</v>
      </c>
      <c r="J27" s="51" t="str">
        <f>IF(H27=0,"No plan at start",I27/H27)</f>
        <v>No plan at start</v>
      </c>
      <c r="K27" s="52">
        <f>H27-I27</f>
        <v>-87.75</v>
      </c>
      <c r="L27" s="49">
        <v>0</v>
      </c>
      <c r="M27" s="49">
        <f>I27+L27</f>
        <v>87.75</v>
      </c>
      <c r="N27" s="49">
        <f>M27-H27</f>
        <v>87.75</v>
      </c>
      <c r="O27" s="50" t="str">
        <f>IF(H27=0,"No plan at start",M27/H27)</f>
        <v>No plan at start</v>
      </c>
      <c r="P27" s="53"/>
      <c r="Q27" s="54"/>
      <c r="R27" s="55"/>
      <c r="S27" s="55"/>
    </row>
    <row r="28" spans="1:19" s="10" customFormat="1" outlineLevel="1" collapsed="1" x14ac:dyDescent="0.2">
      <c r="A28" s="11"/>
      <c r="B28" s="56" t="s">
        <v>101</v>
      </c>
      <c r="C28" s="49"/>
      <c r="D28" s="49">
        <f>SUBTOTAL(9,D16:D27)</f>
        <v>0</v>
      </c>
      <c r="E28" s="49">
        <f>SUBTOTAL(9,E16:E27)</f>
        <v>0</v>
      </c>
      <c r="F28" s="49">
        <f>SUBTOTAL(9,F16:F27)</f>
        <v>0</v>
      </c>
      <c r="G28" s="50">
        <f>IF(D28=0,0,ABS(F28/D28))</f>
        <v>0</v>
      </c>
      <c r="H28" s="49">
        <f>SUBTOTAL(9,H16:H27)</f>
        <v>3143.9500000000003</v>
      </c>
      <c r="I28" s="49">
        <f>SUBTOTAL(9,I16:I27)</f>
        <v>909</v>
      </c>
      <c r="J28" s="51">
        <f>IF(H28=0,"No plan at start",I28/H28)</f>
        <v>0.28912673547607309</v>
      </c>
      <c r="K28" s="52">
        <f>SUBTOTAL(9,K16:K27)</f>
        <v>2234.9500000000003</v>
      </c>
      <c r="L28" s="49">
        <f>SUBTOTAL(9,L16:L27)</f>
        <v>0</v>
      </c>
      <c r="M28" s="49">
        <f>SUBTOTAL(9,M16:M27)</f>
        <v>909</v>
      </c>
      <c r="N28" s="49">
        <f>SUBTOTAL(9,N16:N27)</f>
        <v>-2234.9500000000003</v>
      </c>
      <c r="O28" s="50">
        <f>IF(H28=0,"No plan at start",M28/H28)</f>
        <v>0.28912673547607309</v>
      </c>
      <c r="P28" s="53"/>
      <c r="Q28" s="54"/>
      <c r="R28" s="55"/>
      <c r="S28" s="55"/>
    </row>
    <row r="29" spans="1:19" s="10" customFormat="1" hidden="1" outlineLevel="2" x14ac:dyDescent="0.2">
      <c r="A29" s="11"/>
      <c r="B29" s="49" t="s">
        <v>63</v>
      </c>
      <c r="C29" s="49" t="s">
        <v>52</v>
      </c>
      <c r="D29" s="49">
        <v>0</v>
      </c>
      <c r="E29" s="49">
        <v>0</v>
      </c>
      <c r="F29" s="49">
        <f>E29-D29</f>
        <v>0</v>
      </c>
      <c r="G29" s="50">
        <f>IF(D29=0,0,ABS(F29/D29))</f>
        <v>0</v>
      </c>
      <c r="H29" s="49">
        <v>0</v>
      </c>
      <c r="I29" s="49">
        <v>0</v>
      </c>
      <c r="J29" s="51" t="str">
        <f>IF(H29=0,"No plan at start",I29/H29)</f>
        <v>No plan at start</v>
      </c>
      <c r="K29" s="52">
        <f>H29-I29</f>
        <v>0</v>
      </c>
      <c r="L29" s="49">
        <v>0</v>
      </c>
      <c r="M29" s="49">
        <f>I29+L29</f>
        <v>0</v>
      </c>
      <c r="N29" s="49">
        <f>M29-H29</f>
        <v>0</v>
      </c>
      <c r="O29" s="50" t="str">
        <f>IF(H29=0,"No plan at start",M29/H29)</f>
        <v>No plan at start</v>
      </c>
      <c r="P29" s="53"/>
      <c r="Q29" s="54"/>
      <c r="R29" s="55"/>
      <c r="S29" s="55"/>
    </row>
    <row r="30" spans="1:19" s="10" customFormat="1" hidden="1" outlineLevel="2" x14ac:dyDescent="0.2">
      <c r="A30" s="11"/>
      <c r="B30" s="49" t="s">
        <v>63</v>
      </c>
      <c r="C30" s="49" t="s">
        <v>53</v>
      </c>
      <c r="D30" s="49">
        <v>0</v>
      </c>
      <c r="E30" s="49">
        <v>0</v>
      </c>
      <c r="F30" s="49">
        <f>E30-D30</f>
        <v>0</v>
      </c>
      <c r="G30" s="50">
        <f>IF(D30=0,0,ABS(F30/D30))</f>
        <v>0</v>
      </c>
      <c r="H30" s="49">
        <v>0</v>
      </c>
      <c r="I30" s="49">
        <v>0</v>
      </c>
      <c r="J30" s="51" t="str">
        <f>IF(H30=0,"No plan at start",I30/H30)</f>
        <v>No plan at start</v>
      </c>
      <c r="K30" s="52">
        <f>H30-I30</f>
        <v>0</v>
      </c>
      <c r="L30" s="49">
        <v>0</v>
      </c>
      <c r="M30" s="49">
        <f>I30+L30</f>
        <v>0</v>
      </c>
      <c r="N30" s="49">
        <f>M30-H30</f>
        <v>0</v>
      </c>
      <c r="O30" s="50" t="str">
        <f>IF(H30=0,"No plan at start",M30/H30)</f>
        <v>No plan at start</v>
      </c>
      <c r="P30" s="53"/>
      <c r="Q30" s="54"/>
      <c r="R30" s="55"/>
      <c r="S30" s="55"/>
    </row>
    <row r="31" spans="1:19" s="10" customFormat="1" hidden="1" outlineLevel="2" x14ac:dyDescent="0.2">
      <c r="A31" s="11"/>
      <c r="B31" s="49" t="s">
        <v>63</v>
      </c>
      <c r="C31" s="49" t="s">
        <v>54</v>
      </c>
      <c r="D31" s="49">
        <v>0</v>
      </c>
      <c r="E31" s="49">
        <v>0</v>
      </c>
      <c r="F31" s="49">
        <f>E31-D31</f>
        <v>0</v>
      </c>
      <c r="G31" s="50">
        <f>IF(D31=0,0,ABS(F31/D31))</f>
        <v>0</v>
      </c>
      <c r="H31" s="49">
        <v>0</v>
      </c>
      <c r="I31" s="49">
        <v>0</v>
      </c>
      <c r="J31" s="51" t="str">
        <f>IF(H31=0,"No plan at start",I31/H31)</f>
        <v>No plan at start</v>
      </c>
      <c r="K31" s="52">
        <f>H31-I31</f>
        <v>0</v>
      </c>
      <c r="L31" s="49">
        <v>0</v>
      </c>
      <c r="M31" s="49">
        <f>I31+L31</f>
        <v>0</v>
      </c>
      <c r="N31" s="49">
        <f>M31-H31</f>
        <v>0</v>
      </c>
      <c r="O31" s="50" t="str">
        <f>IF(H31=0,"No plan at start",M31/H31)</f>
        <v>No plan at start</v>
      </c>
      <c r="P31" s="53"/>
      <c r="Q31" s="54"/>
      <c r="R31" s="55"/>
      <c r="S31" s="55"/>
    </row>
    <row r="32" spans="1:19" s="10" customFormat="1" hidden="1" outlineLevel="2" x14ac:dyDescent="0.2">
      <c r="A32" s="11"/>
      <c r="B32" s="49" t="s">
        <v>63</v>
      </c>
      <c r="C32" s="49" t="s">
        <v>55</v>
      </c>
      <c r="D32" s="49">
        <v>0</v>
      </c>
      <c r="E32" s="49">
        <v>0</v>
      </c>
      <c r="F32" s="49">
        <f>E32-D32</f>
        <v>0</v>
      </c>
      <c r="G32" s="50">
        <f>IF(D32=0,0,ABS(F32/D32))</f>
        <v>0</v>
      </c>
      <c r="H32" s="49">
        <v>0</v>
      </c>
      <c r="I32" s="49">
        <v>0</v>
      </c>
      <c r="J32" s="51" t="str">
        <f>IF(H32=0,"No plan at start",I32/H32)</f>
        <v>No plan at start</v>
      </c>
      <c r="K32" s="52">
        <f>H32-I32</f>
        <v>0</v>
      </c>
      <c r="L32" s="49">
        <v>0</v>
      </c>
      <c r="M32" s="49">
        <f>I32+L32</f>
        <v>0</v>
      </c>
      <c r="N32" s="49">
        <f>M32-H32</f>
        <v>0</v>
      </c>
      <c r="O32" s="50" t="str">
        <f>IF(H32=0,"No plan at start",M32/H32)</f>
        <v>No plan at start</v>
      </c>
      <c r="P32" s="53"/>
      <c r="Q32" s="54"/>
      <c r="R32" s="55"/>
      <c r="S32" s="55"/>
    </row>
    <row r="33" spans="1:19" s="10" customFormat="1" hidden="1" outlineLevel="2" x14ac:dyDescent="0.2">
      <c r="A33" s="11"/>
      <c r="B33" s="49" t="s">
        <v>63</v>
      </c>
      <c r="C33" s="49" t="s">
        <v>56</v>
      </c>
      <c r="D33" s="49">
        <v>0</v>
      </c>
      <c r="E33" s="49">
        <v>0</v>
      </c>
      <c r="F33" s="49">
        <f>E33-D33</f>
        <v>0</v>
      </c>
      <c r="G33" s="50">
        <f>IF(D33=0,0,ABS(F33/D33))</f>
        <v>0</v>
      </c>
      <c r="H33" s="49">
        <v>0</v>
      </c>
      <c r="I33" s="49">
        <v>0</v>
      </c>
      <c r="J33" s="51" t="str">
        <f>IF(H33=0,"No plan at start",I33/H33)</f>
        <v>No plan at start</v>
      </c>
      <c r="K33" s="52">
        <f>H33-I33</f>
        <v>0</v>
      </c>
      <c r="L33" s="49">
        <v>0</v>
      </c>
      <c r="M33" s="49">
        <f>I33+L33</f>
        <v>0</v>
      </c>
      <c r="N33" s="49">
        <f>M33-H33</f>
        <v>0</v>
      </c>
      <c r="O33" s="50" t="str">
        <f>IF(H33=0,"No plan at start",M33/H33)</f>
        <v>No plan at start</v>
      </c>
      <c r="P33" s="53"/>
      <c r="Q33" s="54"/>
      <c r="R33" s="55"/>
      <c r="S33" s="55"/>
    </row>
    <row r="34" spans="1:19" s="10" customFormat="1" hidden="1" outlineLevel="2" x14ac:dyDescent="0.2">
      <c r="A34" s="11"/>
      <c r="B34" s="49" t="s">
        <v>63</v>
      </c>
      <c r="C34" s="49" t="s">
        <v>57</v>
      </c>
      <c r="D34" s="49">
        <v>0</v>
      </c>
      <c r="E34" s="49">
        <v>0</v>
      </c>
      <c r="F34" s="49">
        <f>E34-D34</f>
        <v>0</v>
      </c>
      <c r="G34" s="50">
        <f>IF(D34=0,0,ABS(F34/D34))</f>
        <v>0</v>
      </c>
      <c r="H34" s="49">
        <v>0</v>
      </c>
      <c r="I34" s="49">
        <v>0</v>
      </c>
      <c r="J34" s="51" t="str">
        <f>IF(H34=0,"No plan at start",I34/H34)</f>
        <v>No plan at start</v>
      </c>
      <c r="K34" s="52">
        <f>H34-I34</f>
        <v>0</v>
      </c>
      <c r="L34" s="49">
        <v>0</v>
      </c>
      <c r="M34" s="49">
        <f>I34+L34</f>
        <v>0</v>
      </c>
      <c r="N34" s="49">
        <f>M34-H34</f>
        <v>0</v>
      </c>
      <c r="O34" s="50" t="str">
        <f>IF(H34=0,"No plan at start",M34/H34)</f>
        <v>No plan at start</v>
      </c>
      <c r="P34" s="53"/>
      <c r="Q34" s="54"/>
      <c r="R34" s="55"/>
      <c r="S34" s="55"/>
    </row>
    <row r="35" spans="1:19" s="10" customFormat="1" hidden="1" outlineLevel="2" x14ac:dyDescent="0.2">
      <c r="A35" s="11"/>
      <c r="B35" s="49" t="s">
        <v>63</v>
      </c>
      <c r="C35" s="49" t="s">
        <v>48</v>
      </c>
      <c r="D35" s="49">
        <v>0</v>
      </c>
      <c r="E35" s="49">
        <v>0</v>
      </c>
      <c r="F35" s="49">
        <f>E35-D35</f>
        <v>0</v>
      </c>
      <c r="G35" s="50">
        <f>IF(D35=0,0,ABS(F35/D35))</f>
        <v>0</v>
      </c>
      <c r="H35" s="49">
        <v>0</v>
      </c>
      <c r="I35" s="49">
        <v>0</v>
      </c>
      <c r="J35" s="51" t="str">
        <f>IF(H35=0,"No plan at start",I35/H35)</f>
        <v>No plan at start</v>
      </c>
      <c r="K35" s="52">
        <f>H35-I35</f>
        <v>0</v>
      </c>
      <c r="L35" s="49">
        <v>0</v>
      </c>
      <c r="M35" s="49">
        <f>I35+L35</f>
        <v>0</v>
      </c>
      <c r="N35" s="49">
        <f>M35-H35</f>
        <v>0</v>
      </c>
      <c r="O35" s="50" t="str">
        <f>IF(H35=0,"No plan at start",M35/H35)</f>
        <v>No plan at start</v>
      </c>
      <c r="P35" s="53"/>
      <c r="Q35" s="54"/>
      <c r="R35" s="55"/>
      <c r="S35" s="55"/>
    </row>
    <row r="36" spans="1:19" s="10" customFormat="1" hidden="1" outlineLevel="2" x14ac:dyDescent="0.2">
      <c r="A36" s="11"/>
      <c r="B36" s="49" t="s">
        <v>63</v>
      </c>
      <c r="C36" s="49" t="s">
        <v>58</v>
      </c>
      <c r="D36" s="49">
        <v>0</v>
      </c>
      <c r="E36" s="49">
        <v>0</v>
      </c>
      <c r="F36" s="49">
        <f>E36-D36</f>
        <v>0</v>
      </c>
      <c r="G36" s="50">
        <f>IF(D36=0,0,ABS(F36/D36))</f>
        <v>0</v>
      </c>
      <c r="H36" s="49">
        <v>0</v>
      </c>
      <c r="I36" s="49">
        <v>0</v>
      </c>
      <c r="J36" s="51" t="str">
        <f>IF(H36=0,"No plan at start",I36/H36)</f>
        <v>No plan at start</v>
      </c>
      <c r="K36" s="52">
        <f>H36-I36</f>
        <v>0</v>
      </c>
      <c r="L36" s="49">
        <v>0</v>
      </c>
      <c r="M36" s="49">
        <f>I36+L36</f>
        <v>0</v>
      </c>
      <c r="N36" s="49">
        <f>M36-H36</f>
        <v>0</v>
      </c>
      <c r="O36" s="50" t="str">
        <f>IF(H36=0,"No plan at start",M36/H36)</f>
        <v>No plan at start</v>
      </c>
      <c r="P36" s="53"/>
      <c r="Q36" s="54"/>
      <c r="R36" s="55"/>
      <c r="S36" s="55"/>
    </row>
    <row r="37" spans="1:19" s="10" customFormat="1" hidden="1" outlineLevel="2" x14ac:dyDescent="0.2">
      <c r="A37" s="11"/>
      <c r="B37" s="49" t="s">
        <v>63</v>
      </c>
      <c r="C37" s="49" t="s">
        <v>59</v>
      </c>
      <c r="D37" s="49">
        <v>0</v>
      </c>
      <c r="E37" s="49">
        <v>0</v>
      </c>
      <c r="F37" s="49">
        <f>E37-D37</f>
        <v>0</v>
      </c>
      <c r="G37" s="50">
        <f>IF(D37=0,0,ABS(F37/D37))</f>
        <v>0</v>
      </c>
      <c r="H37" s="49">
        <v>0</v>
      </c>
      <c r="I37" s="49">
        <v>0</v>
      </c>
      <c r="J37" s="51" t="str">
        <f>IF(H37=0,"No plan at start",I37/H37)</f>
        <v>No plan at start</v>
      </c>
      <c r="K37" s="52">
        <f>H37-I37</f>
        <v>0</v>
      </c>
      <c r="L37" s="49">
        <v>0</v>
      </c>
      <c r="M37" s="49">
        <f>I37+L37</f>
        <v>0</v>
      </c>
      <c r="N37" s="49">
        <f>M37-H37</f>
        <v>0</v>
      </c>
      <c r="O37" s="50" t="str">
        <f>IF(H37=0,"No plan at start",M37/H37)</f>
        <v>No plan at start</v>
      </c>
      <c r="P37" s="53"/>
      <c r="Q37" s="54"/>
      <c r="R37" s="55"/>
      <c r="S37" s="55"/>
    </row>
    <row r="38" spans="1:19" s="10" customFormat="1" hidden="1" outlineLevel="2" x14ac:dyDescent="0.2">
      <c r="A38" s="11"/>
      <c r="B38" s="49" t="s">
        <v>63</v>
      </c>
      <c r="C38" s="49" t="s">
        <v>60</v>
      </c>
      <c r="D38" s="49">
        <v>0</v>
      </c>
      <c r="E38" s="49">
        <v>0</v>
      </c>
      <c r="F38" s="49">
        <f>E38-D38</f>
        <v>0</v>
      </c>
      <c r="G38" s="50">
        <f>IF(D38=0,0,ABS(F38/D38))</f>
        <v>0</v>
      </c>
      <c r="H38" s="49">
        <v>0</v>
      </c>
      <c r="I38" s="49">
        <v>0</v>
      </c>
      <c r="J38" s="51" t="str">
        <f>IF(H38=0,"No plan at start",I38/H38)</f>
        <v>No plan at start</v>
      </c>
      <c r="K38" s="52">
        <f>H38-I38</f>
        <v>0</v>
      </c>
      <c r="L38" s="49">
        <v>0</v>
      </c>
      <c r="M38" s="49">
        <f>I38+L38</f>
        <v>0</v>
      </c>
      <c r="N38" s="49">
        <f>M38-H38</f>
        <v>0</v>
      </c>
      <c r="O38" s="50" t="str">
        <f>IF(H38=0,"No plan at start",M38/H38)</f>
        <v>No plan at start</v>
      </c>
      <c r="P38" s="53"/>
      <c r="Q38" s="54"/>
      <c r="R38" s="55"/>
      <c r="S38" s="55"/>
    </row>
    <row r="39" spans="1:19" s="10" customFormat="1" hidden="1" outlineLevel="2" x14ac:dyDescent="0.2">
      <c r="A39" s="11"/>
      <c r="B39" s="49" t="s">
        <v>63</v>
      </c>
      <c r="C39" s="49" t="s">
        <v>61</v>
      </c>
      <c r="D39" s="49">
        <v>0</v>
      </c>
      <c r="E39" s="49">
        <v>0</v>
      </c>
      <c r="F39" s="49">
        <f>E39-D39</f>
        <v>0</v>
      </c>
      <c r="G39" s="50">
        <f>IF(D39=0,0,ABS(F39/D39))</f>
        <v>0</v>
      </c>
      <c r="H39" s="49">
        <v>0</v>
      </c>
      <c r="I39" s="49">
        <v>0</v>
      </c>
      <c r="J39" s="51" t="str">
        <f>IF(H39=0,"No plan at start",I39/H39)</f>
        <v>No plan at start</v>
      </c>
      <c r="K39" s="52">
        <f>H39-I39</f>
        <v>0</v>
      </c>
      <c r="L39" s="49">
        <v>0</v>
      </c>
      <c r="M39" s="49">
        <f>I39+L39</f>
        <v>0</v>
      </c>
      <c r="N39" s="49">
        <f>M39-H39</f>
        <v>0</v>
      </c>
      <c r="O39" s="50" t="str">
        <f>IF(H39=0,"No plan at start",M39/H39)</f>
        <v>No plan at start</v>
      </c>
      <c r="P39" s="53"/>
      <c r="Q39" s="54"/>
      <c r="R39" s="55"/>
      <c r="S39" s="55"/>
    </row>
    <row r="40" spans="1:19" s="10" customFormat="1" hidden="1" outlineLevel="2" x14ac:dyDescent="0.2">
      <c r="A40" s="11"/>
      <c r="B40" s="49" t="s">
        <v>63</v>
      </c>
      <c r="C40" s="49" t="s">
        <v>62</v>
      </c>
      <c r="D40" s="49">
        <v>0</v>
      </c>
      <c r="E40" s="49">
        <v>0</v>
      </c>
      <c r="F40" s="49">
        <f>E40-D40</f>
        <v>0</v>
      </c>
      <c r="G40" s="50">
        <f>IF(D40=0,0,ABS(F40/D40))</f>
        <v>0</v>
      </c>
      <c r="H40" s="49">
        <v>0</v>
      </c>
      <c r="I40" s="49">
        <v>0</v>
      </c>
      <c r="J40" s="51" t="str">
        <f>IF(H40=0,"No plan at start",I40/H40)</f>
        <v>No plan at start</v>
      </c>
      <c r="K40" s="52">
        <f>H40-I40</f>
        <v>0</v>
      </c>
      <c r="L40" s="49">
        <v>0</v>
      </c>
      <c r="M40" s="49">
        <f>I40+L40</f>
        <v>0</v>
      </c>
      <c r="N40" s="49">
        <f>M40-H40</f>
        <v>0</v>
      </c>
      <c r="O40" s="50" t="str">
        <f>IF(H40=0,"No plan at start",M40/H40)</f>
        <v>No plan at start</v>
      </c>
      <c r="P40" s="53"/>
      <c r="Q40" s="54"/>
      <c r="R40" s="55"/>
      <c r="S40" s="55"/>
    </row>
    <row r="41" spans="1:19" s="10" customFormat="1" outlineLevel="1" collapsed="1" x14ac:dyDescent="0.2">
      <c r="A41" s="11"/>
      <c r="B41" s="56" t="s">
        <v>102</v>
      </c>
      <c r="C41" s="49"/>
      <c r="D41" s="49">
        <f>SUBTOTAL(9,D29:D40)</f>
        <v>0</v>
      </c>
      <c r="E41" s="49">
        <f>SUBTOTAL(9,E29:E40)</f>
        <v>0</v>
      </c>
      <c r="F41" s="49">
        <f>SUBTOTAL(9,F29:F40)</f>
        <v>0</v>
      </c>
      <c r="G41" s="50">
        <f>IF(D41=0,0,ABS(F41/D41))</f>
        <v>0</v>
      </c>
      <c r="H41" s="49">
        <f>SUBTOTAL(9,H29:H40)</f>
        <v>0</v>
      </c>
      <c r="I41" s="49">
        <f>SUBTOTAL(9,I29:I40)</f>
        <v>0</v>
      </c>
      <c r="J41" s="51" t="str">
        <f>IF(H41=0,"No plan at start",I41/H41)</f>
        <v>No plan at start</v>
      </c>
      <c r="K41" s="52">
        <f>SUBTOTAL(9,K29:K40)</f>
        <v>0</v>
      </c>
      <c r="L41" s="49">
        <f>SUBTOTAL(9,L29:L40)</f>
        <v>0</v>
      </c>
      <c r="M41" s="49">
        <f>SUBTOTAL(9,M29:M40)</f>
        <v>0</v>
      </c>
      <c r="N41" s="49">
        <f>SUBTOTAL(9,N29:N40)</f>
        <v>0</v>
      </c>
      <c r="O41" s="50" t="str">
        <f>IF(H41=0,"No plan at start",M41/H41)</f>
        <v>No plan at start</v>
      </c>
      <c r="P41" s="53"/>
      <c r="Q41" s="54"/>
      <c r="R41" s="55"/>
      <c r="S41" s="55"/>
    </row>
    <row r="42" spans="1:19" s="10" customFormat="1" hidden="1" outlineLevel="2" x14ac:dyDescent="0.2">
      <c r="A42" s="11"/>
      <c r="B42" s="49" t="s">
        <v>64</v>
      </c>
      <c r="C42" s="49" t="s">
        <v>52</v>
      </c>
      <c r="D42" s="49">
        <v>0</v>
      </c>
      <c r="E42" s="49">
        <v>0</v>
      </c>
      <c r="F42" s="49">
        <f>E42-D42</f>
        <v>0</v>
      </c>
      <c r="G42" s="50">
        <f>IF(D42=0,0,ABS(F42/D42))</f>
        <v>0</v>
      </c>
      <c r="H42" s="49">
        <v>0</v>
      </c>
      <c r="I42" s="49">
        <v>0</v>
      </c>
      <c r="J42" s="51" t="str">
        <f>IF(H42=0,"No plan at start",I42/H42)</f>
        <v>No plan at start</v>
      </c>
      <c r="K42" s="52">
        <f>H42-I42</f>
        <v>0</v>
      </c>
      <c r="L42" s="49">
        <v>0</v>
      </c>
      <c r="M42" s="49">
        <f>I42+L42</f>
        <v>0</v>
      </c>
      <c r="N42" s="49">
        <f>M42-H42</f>
        <v>0</v>
      </c>
      <c r="O42" s="50" t="str">
        <f>IF(H42=0,"No plan at start",M42/H42)</f>
        <v>No plan at start</v>
      </c>
      <c r="P42" s="53"/>
      <c r="Q42" s="54"/>
      <c r="R42" s="55"/>
      <c r="S42" s="55"/>
    </row>
    <row r="43" spans="1:19" s="10" customFormat="1" hidden="1" outlineLevel="2" x14ac:dyDescent="0.2">
      <c r="A43" s="11"/>
      <c r="B43" s="49" t="s">
        <v>64</v>
      </c>
      <c r="C43" s="49" t="s">
        <v>53</v>
      </c>
      <c r="D43" s="49">
        <v>0</v>
      </c>
      <c r="E43" s="49">
        <v>0</v>
      </c>
      <c r="F43" s="49">
        <f>E43-D43</f>
        <v>0</v>
      </c>
      <c r="G43" s="50">
        <f>IF(D43=0,0,ABS(F43/D43))</f>
        <v>0</v>
      </c>
      <c r="H43" s="49">
        <v>0</v>
      </c>
      <c r="I43" s="49">
        <v>0</v>
      </c>
      <c r="J43" s="51" t="str">
        <f>IF(H43=0,"No plan at start",I43/H43)</f>
        <v>No plan at start</v>
      </c>
      <c r="K43" s="52">
        <f>H43-I43</f>
        <v>0</v>
      </c>
      <c r="L43" s="49">
        <v>0</v>
      </c>
      <c r="M43" s="49">
        <f>I43+L43</f>
        <v>0</v>
      </c>
      <c r="N43" s="49">
        <f>M43-H43</f>
        <v>0</v>
      </c>
      <c r="O43" s="50" t="str">
        <f>IF(H43=0,"No plan at start",M43/H43)</f>
        <v>No plan at start</v>
      </c>
      <c r="P43" s="53"/>
      <c r="Q43" s="54"/>
      <c r="R43" s="55"/>
      <c r="S43" s="55"/>
    </row>
    <row r="44" spans="1:19" s="10" customFormat="1" hidden="1" outlineLevel="2" x14ac:dyDescent="0.2">
      <c r="A44" s="11"/>
      <c r="B44" s="49" t="s">
        <v>64</v>
      </c>
      <c r="C44" s="49" t="s">
        <v>54</v>
      </c>
      <c r="D44" s="49">
        <v>0</v>
      </c>
      <c r="E44" s="49">
        <v>0</v>
      </c>
      <c r="F44" s="49">
        <f>E44-D44</f>
        <v>0</v>
      </c>
      <c r="G44" s="50">
        <f>IF(D44=0,0,ABS(F44/D44))</f>
        <v>0</v>
      </c>
      <c r="H44" s="49">
        <v>0</v>
      </c>
      <c r="I44" s="49">
        <v>0</v>
      </c>
      <c r="J44" s="51" t="str">
        <f>IF(H44=0,"No plan at start",I44/H44)</f>
        <v>No plan at start</v>
      </c>
      <c r="K44" s="52">
        <f>H44-I44</f>
        <v>0</v>
      </c>
      <c r="L44" s="49">
        <v>0</v>
      </c>
      <c r="M44" s="49">
        <f>I44+L44</f>
        <v>0</v>
      </c>
      <c r="N44" s="49">
        <f>M44-H44</f>
        <v>0</v>
      </c>
      <c r="O44" s="50" t="str">
        <f>IF(H44=0,"No plan at start",M44/H44)</f>
        <v>No plan at start</v>
      </c>
      <c r="P44" s="53"/>
      <c r="Q44" s="54"/>
      <c r="R44" s="55"/>
      <c r="S44" s="55"/>
    </row>
    <row r="45" spans="1:19" s="10" customFormat="1" hidden="1" outlineLevel="2" x14ac:dyDescent="0.2">
      <c r="A45" s="11"/>
      <c r="B45" s="49" t="s">
        <v>64</v>
      </c>
      <c r="C45" s="49" t="s">
        <v>55</v>
      </c>
      <c r="D45" s="49">
        <v>0</v>
      </c>
      <c r="E45" s="49">
        <v>0</v>
      </c>
      <c r="F45" s="49">
        <f>E45-D45</f>
        <v>0</v>
      </c>
      <c r="G45" s="50">
        <f>IF(D45=0,0,ABS(F45/D45))</f>
        <v>0</v>
      </c>
      <c r="H45" s="49">
        <v>0</v>
      </c>
      <c r="I45" s="49">
        <v>0</v>
      </c>
      <c r="J45" s="51" t="str">
        <f>IF(H45=0,"No plan at start",I45/H45)</f>
        <v>No plan at start</v>
      </c>
      <c r="K45" s="52">
        <f>H45-I45</f>
        <v>0</v>
      </c>
      <c r="L45" s="49">
        <v>0</v>
      </c>
      <c r="M45" s="49">
        <f>I45+L45</f>
        <v>0</v>
      </c>
      <c r="N45" s="49">
        <f>M45-H45</f>
        <v>0</v>
      </c>
      <c r="O45" s="50" t="str">
        <f>IF(H45=0,"No plan at start",M45/H45)</f>
        <v>No plan at start</v>
      </c>
      <c r="P45" s="53"/>
      <c r="Q45" s="54"/>
      <c r="R45" s="55"/>
      <c r="S45" s="55"/>
    </row>
    <row r="46" spans="1:19" s="10" customFormat="1" hidden="1" outlineLevel="2" x14ac:dyDescent="0.2">
      <c r="A46" s="11"/>
      <c r="B46" s="49" t="s">
        <v>64</v>
      </c>
      <c r="C46" s="49" t="s">
        <v>56</v>
      </c>
      <c r="D46" s="49">
        <v>0</v>
      </c>
      <c r="E46" s="49">
        <v>0</v>
      </c>
      <c r="F46" s="49">
        <f>E46-D46</f>
        <v>0</v>
      </c>
      <c r="G46" s="50">
        <f>IF(D46=0,0,ABS(F46/D46))</f>
        <v>0</v>
      </c>
      <c r="H46" s="49">
        <v>0</v>
      </c>
      <c r="I46" s="49">
        <v>0</v>
      </c>
      <c r="J46" s="51" t="str">
        <f>IF(H46=0,"No plan at start",I46/H46)</f>
        <v>No plan at start</v>
      </c>
      <c r="K46" s="52">
        <f>H46-I46</f>
        <v>0</v>
      </c>
      <c r="L46" s="49">
        <v>0</v>
      </c>
      <c r="M46" s="49">
        <f>I46+L46</f>
        <v>0</v>
      </c>
      <c r="N46" s="49">
        <f>M46-H46</f>
        <v>0</v>
      </c>
      <c r="O46" s="50" t="str">
        <f>IF(H46=0,"No plan at start",M46/H46)</f>
        <v>No plan at start</v>
      </c>
      <c r="P46" s="53"/>
      <c r="Q46" s="54"/>
      <c r="R46" s="55"/>
      <c r="S46" s="55"/>
    </row>
    <row r="47" spans="1:19" s="10" customFormat="1" hidden="1" outlineLevel="2" x14ac:dyDescent="0.2">
      <c r="A47" s="11"/>
      <c r="B47" s="49" t="s">
        <v>64</v>
      </c>
      <c r="C47" s="49" t="s">
        <v>57</v>
      </c>
      <c r="D47" s="49">
        <v>0</v>
      </c>
      <c r="E47" s="49">
        <v>0</v>
      </c>
      <c r="F47" s="49">
        <f>E47-D47</f>
        <v>0</v>
      </c>
      <c r="G47" s="50">
        <f>IF(D47=0,0,ABS(F47/D47))</f>
        <v>0</v>
      </c>
      <c r="H47" s="49">
        <v>0</v>
      </c>
      <c r="I47" s="49">
        <v>0</v>
      </c>
      <c r="J47" s="51" t="str">
        <f>IF(H47=0,"No plan at start",I47/H47)</f>
        <v>No plan at start</v>
      </c>
      <c r="K47" s="52">
        <f>H47-I47</f>
        <v>0</v>
      </c>
      <c r="L47" s="49">
        <v>0</v>
      </c>
      <c r="M47" s="49">
        <f>I47+L47</f>
        <v>0</v>
      </c>
      <c r="N47" s="49">
        <f>M47-H47</f>
        <v>0</v>
      </c>
      <c r="O47" s="50" t="str">
        <f>IF(H47=0,"No plan at start",M47/H47)</f>
        <v>No plan at start</v>
      </c>
      <c r="P47" s="53"/>
      <c r="Q47" s="54"/>
      <c r="R47" s="55"/>
      <c r="S47" s="55"/>
    </row>
    <row r="48" spans="1:19" s="10" customFormat="1" hidden="1" outlineLevel="2" x14ac:dyDescent="0.2">
      <c r="A48" s="11"/>
      <c r="B48" s="49" t="s">
        <v>64</v>
      </c>
      <c r="C48" s="49" t="s">
        <v>48</v>
      </c>
      <c r="D48" s="49">
        <v>0</v>
      </c>
      <c r="E48" s="49">
        <v>0</v>
      </c>
      <c r="F48" s="49">
        <f>E48-D48</f>
        <v>0</v>
      </c>
      <c r="G48" s="50">
        <f>IF(D48=0,0,ABS(F48/D48))</f>
        <v>0</v>
      </c>
      <c r="H48" s="49">
        <v>0</v>
      </c>
      <c r="I48" s="49">
        <v>0</v>
      </c>
      <c r="J48" s="51" t="str">
        <f>IF(H48=0,"No plan at start",I48/H48)</f>
        <v>No plan at start</v>
      </c>
      <c r="K48" s="52">
        <f>H48-I48</f>
        <v>0</v>
      </c>
      <c r="L48" s="49">
        <v>0</v>
      </c>
      <c r="M48" s="49">
        <f>I48+L48</f>
        <v>0</v>
      </c>
      <c r="N48" s="49">
        <f>M48-H48</f>
        <v>0</v>
      </c>
      <c r="O48" s="50" t="str">
        <f>IF(H48=0,"No plan at start",M48/H48)</f>
        <v>No plan at start</v>
      </c>
      <c r="P48" s="53"/>
      <c r="Q48" s="54"/>
      <c r="R48" s="55"/>
      <c r="S48" s="55"/>
    </row>
    <row r="49" spans="1:19" s="10" customFormat="1" hidden="1" outlineLevel="2" x14ac:dyDescent="0.2">
      <c r="A49" s="11"/>
      <c r="B49" s="49" t="s">
        <v>64</v>
      </c>
      <c r="C49" s="49" t="s">
        <v>58</v>
      </c>
      <c r="D49" s="49">
        <v>0</v>
      </c>
      <c r="E49" s="49">
        <v>0</v>
      </c>
      <c r="F49" s="49">
        <f>E49-D49</f>
        <v>0</v>
      </c>
      <c r="G49" s="50">
        <f>IF(D49=0,0,ABS(F49/D49))</f>
        <v>0</v>
      </c>
      <c r="H49" s="49">
        <v>0</v>
      </c>
      <c r="I49" s="49">
        <v>0</v>
      </c>
      <c r="J49" s="51" t="str">
        <f>IF(H49=0,"No plan at start",I49/H49)</f>
        <v>No plan at start</v>
      </c>
      <c r="K49" s="52">
        <f>H49-I49</f>
        <v>0</v>
      </c>
      <c r="L49" s="49">
        <v>0</v>
      </c>
      <c r="M49" s="49">
        <f>I49+L49</f>
        <v>0</v>
      </c>
      <c r="N49" s="49">
        <f>M49-H49</f>
        <v>0</v>
      </c>
      <c r="O49" s="50" t="str">
        <f>IF(H49=0,"No plan at start",M49/H49)</f>
        <v>No plan at start</v>
      </c>
      <c r="P49" s="53"/>
      <c r="Q49" s="54"/>
      <c r="R49" s="55"/>
      <c r="S49" s="55"/>
    </row>
    <row r="50" spans="1:19" s="10" customFormat="1" hidden="1" outlineLevel="2" x14ac:dyDescent="0.2">
      <c r="A50" s="11"/>
      <c r="B50" s="49" t="s">
        <v>64</v>
      </c>
      <c r="C50" s="49" t="s">
        <v>59</v>
      </c>
      <c r="D50" s="49">
        <v>0</v>
      </c>
      <c r="E50" s="49">
        <v>0</v>
      </c>
      <c r="F50" s="49">
        <f>E50-D50</f>
        <v>0</v>
      </c>
      <c r="G50" s="50">
        <f>IF(D50=0,0,ABS(F50/D50))</f>
        <v>0</v>
      </c>
      <c r="H50" s="49">
        <v>0</v>
      </c>
      <c r="I50" s="49">
        <v>0</v>
      </c>
      <c r="J50" s="51" t="str">
        <f>IF(H50=0,"No plan at start",I50/H50)</f>
        <v>No plan at start</v>
      </c>
      <c r="K50" s="52">
        <f>H50-I50</f>
        <v>0</v>
      </c>
      <c r="L50" s="49">
        <v>0</v>
      </c>
      <c r="M50" s="49">
        <f>I50+L50</f>
        <v>0</v>
      </c>
      <c r="N50" s="49">
        <f>M50-H50</f>
        <v>0</v>
      </c>
      <c r="O50" s="50" t="str">
        <f>IF(H50=0,"No plan at start",M50/H50)</f>
        <v>No plan at start</v>
      </c>
      <c r="P50" s="53"/>
      <c r="Q50" s="54"/>
      <c r="R50" s="55"/>
      <c r="S50" s="55"/>
    </row>
    <row r="51" spans="1:19" s="10" customFormat="1" hidden="1" outlineLevel="2" x14ac:dyDescent="0.2">
      <c r="A51" s="11"/>
      <c r="B51" s="49" t="s">
        <v>64</v>
      </c>
      <c r="C51" s="49" t="s">
        <v>60</v>
      </c>
      <c r="D51" s="49">
        <v>0</v>
      </c>
      <c r="E51" s="49">
        <v>0</v>
      </c>
      <c r="F51" s="49">
        <f>E51-D51</f>
        <v>0</v>
      </c>
      <c r="G51" s="50">
        <f>IF(D51=0,0,ABS(F51/D51))</f>
        <v>0</v>
      </c>
      <c r="H51" s="49">
        <v>0</v>
      </c>
      <c r="I51" s="49">
        <v>0</v>
      </c>
      <c r="J51" s="51" t="str">
        <f>IF(H51=0,"No plan at start",I51/H51)</f>
        <v>No plan at start</v>
      </c>
      <c r="K51" s="52">
        <f>H51-I51</f>
        <v>0</v>
      </c>
      <c r="L51" s="49">
        <v>0</v>
      </c>
      <c r="M51" s="49">
        <f>I51+L51</f>
        <v>0</v>
      </c>
      <c r="N51" s="49">
        <f>M51-H51</f>
        <v>0</v>
      </c>
      <c r="O51" s="50" t="str">
        <f>IF(H51=0,"No plan at start",M51/H51)</f>
        <v>No plan at start</v>
      </c>
      <c r="P51" s="53"/>
      <c r="Q51" s="54"/>
      <c r="R51" s="55"/>
      <c r="S51" s="55"/>
    </row>
    <row r="52" spans="1:19" s="10" customFormat="1" hidden="1" outlineLevel="2" x14ac:dyDescent="0.2">
      <c r="A52" s="11"/>
      <c r="B52" s="49" t="s">
        <v>64</v>
      </c>
      <c r="C52" s="49" t="s">
        <v>61</v>
      </c>
      <c r="D52" s="49">
        <v>0</v>
      </c>
      <c r="E52" s="49">
        <v>0</v>
      </c>
      <c r="F52" s="49">
        <f>E52-D52</f>
        <v>0</v>
      </c>
      <c r="G52" s="50">
        <f>IF(D52=0,0,ABS(F52/D52))</f>
        <v>0</v>
      </c>
      <c r="H52" s="49">
        <v>0</v>
      </c>
      <c r="I52" s="49">
        <v>0</v>
      </c>
      <c r="J52" s="51" t="str">
        <f>IF(H52=0,"No plan at start",I52/H52)</f>
        <v>No plan at start</v>
      </c>
      <c r="K52" s="52">
        <f>H52-I52</f>
        <v>0</v>
      </c>
      <c r="L52" s="49">
        <v>0</v>
      </c>
      <c r="M52" s="49">
        <f>I52+L52</f>
        <v>0</v>
      </c>
      <c r="N52" s="49">
        <f>M52-H52</f>
        <v>0</v>
      </c>
      <c r="O52" s="50" t="str">
        <f>IF(H52=0,"No plan at start",M52/H52)</f>
        <v>No plan at start</v>
      </c>
      <c r="P52" s="53"/>
      <c r="Q52" s="54"/>
      <c r="R52" s="55"/>
      <c r="S52" s="55"/>
    </row>
    <row r="53" spans="1:19" s="10" customFormat="1" hidden="1" outlineLevel="2" x14ac:dyDescent="0.2">
      <c r="A53" s="11"/>
      <c r="B53" s="49" t="s">
        <v>64</v>
      </c>
      <c r="C53" s="49" t="s">
        <v>62</v>
      </c>
      <c r="D53" s="49">
        <v>0</v>
      </c>
      <c r="E53" s="49">
        <v>0</v>
      </c>
      <c r="F53" s="49">
        <f>E53-D53</f>
        <v>0</v>
      </c>
      <c r="G53" s="50">
        <f>IF(D53=0,0,ABS(F53/D53))</f>
        <v>0</v>
      </c>
      <c r="H53" s="49">
        <v>0</v>
      </c>
      <c r="I53" s="49">
        <v>0</v>
      </c>
      <c r="J53" s="51" t="str">
        <f>IF(H53=0,"No plan at start",I53/H53)</f>
        <v>No plan at start</v>
      </c>
      <c r="K53" s="52">
        <f>H53-I53</f>
        <v>0</v>
      </c>
      <c r="L53" s="49">
        <v>0</v>
      </c>
      <c r="M53" s="49">
        <f>I53+L53</f>
        <v>0</v>
      </c>
      <c r="N53" s="49">
        <f>M53-H53</f>
        <v>0</v>
      </c>
      <c r="O53" s="50" t="str">
        <f>IF(H53=0,"No plan at start",M53/H53)</f>
        <v>No plan at start</v>
      </c>
      <c r="P53" s="53"/>
      <c r="Q53" s="54"/>
      <c r="R53" s="55"/>
      <c r="S53" s="55"/>
    </row>
    <row r="54" spans="1:19" s="10" customFormat="1" outlineLevel="1" collapsed="1" x14ac:dyDescent="0.2">
      <c r="A54" s="11"/>
      <c r="B54" s="56" t="s">
        <v>103</v>
      </c>
      <c r="C54" s="49"/>
      <c r="D54" s="49">
        <f>SUBTOTAL(9,D42:D53)</f>
        <v>0</v>
      </c>
      <c r="E54" s="49">
        <f>SUBTOTAL(9,E42:E53)</f>
        <v>0</v>
      </c>
      <c r="F54" s="49">
        <f>SUBTOTAL(9,F42:F53)</f>
        <v>0</v>
      </c>
      <c r="G54" s="50">
        <f>IF(D54=0,0,ABS(F54/D54))</f>
        <v>0</v>
      </c>
      <c r="H54" s="49">
        <f>SUBTOTAL(9,H42:H53)</f>
        <v>0</v>
      </c>
      <c r="I54" s="49">
        <f>SUBTOTAL(9,I42:I53)</f>
        <v>0</v>
      </c>
      <c r="J54" s="51" t="str">
        <f>IF(H54=0,"No plan at start",I54/H54)</f>
        <v>No plan at start</v>
      </c>
      <c r="K54" s="52">
        <f>SUBTOTAL(9,K42:K53)</f>
        <v>0</v>
      </c>
      <c r="L54" s="49">
        <f>SUBTOTAL(9,L42:L53)</f>
        <v>0</v>
      </c>
      <c r="M54" s="49">
        <f>SUBTOTAL(9,M42:M53)</f>
        <v>0</v>
      </c>
      <c r="N54" s="49">
        <f>SUBTOTAL(9,N42:N53)</f>
        <v>0</v>
      </c>
      <c r="O54" s="50" t="str">
        <f>IF(H54=0,"No plan at start",M54/H54)</f>
        <v>No plan at start</v>
      </c>
      <c r="P54" s="53"/>
      <c r="Q54" s="54"/>
      <c r="R54" s="55"/>
      <c r="S54" s="55"/>
    </row>
    <row r="55" spans="1:19" s="10" customFormat="1" hidden="1" outlineLevel="2" x14ac:dyDescent="0.2">
      <c r="A55" s="11"/>
      <c r="B55" s="49" t="s">
        <v>65</v>
      </c>
      <c r="C55" s="49" t="s">
        <v>52</v>
      </c>
      <c r="D55" s="49">
        <v>0</v>
      </c>
      <c r="E55" s="49">
        <v>0</v>
      </c>
      <c r="F55" s="49">
        <f>E55-D55</f>
        <v>0</v>
      </c>
      <c r="G55" s="50">
        <f>IF(D55=0,0,ABS(F55/D55))</f>
        <v>0</v>
      </c>
      <c r="H55" s="49">
        <v>0</v>
      </c>
      <c r="I55" s="49">
        <v>0</v>
      </c>
      <c r="J55" s="51" t="str">
        <f>IF(H55=0,"No plan at start",I55/H55)</f>
        <v>No plan at start</v>
      </c>
      <c r="K55" s="52">
        <f>H55-I55</f>
        <v>0</v>
      </c>
      <c r="L55" s="49">
        <v>0</v>
      </c>
      <c r="M55" s="49">
        <f>I55+L55</f>
        <v>0</v>
      </c>
      <c r="N55" s="49">
        <f>M55-H55</f>
        <v>0</v>
      </c>
      <c r="O55" s="50" t="str">
        <f>IF(H55=0,"No plan at start",M55/H55)</f>
        <v>No plan at start</v>
      </c>
      <c r="P55" s="53"/>
      <c r="Q55" s="54"/>
      <c r="R55" s="55"/>
      <c r="S55" s="55"/>
    </row>
    <row r="56" spans="1:19" s="10" customFormat="1" hidden="1" outlineLevel="2" x14ac:dyDescent="0.2">
      <c r="A56" s="11"/>
      <c r="B56" s="49" t="s">
        <v>65</v>
      </c>
      <c r="C56" s="49" t="s">
        <v>53</v>
      </c>
      <c r="D56" s="49">
        <v>0</v>
      </c>
      <c r="E56" s="49">
        <v>0</v>
      </c>
      <c r="F56" s="49">
        <f>E56-D56</f>
        <v>0</v>
      </c>
      <c r="G56" s="50">
        <f>IF(D56=0,0,ABS(F56/D56))</f>
        <v>0</v>
      </c>
      <c r="H56" s="49">
        <v>0</v>
      </c>
      <c r="I56" s="49">
        <v>2</v>
      </c>
      <c r="J56" s="51" t="str">
        <f>IF(H56=0,"No plan at start",I56/H56)</f>
        <v>No plan at start</v>
      </c>
      <c r="K56" s="52">
        <f>H56-I56</f>
        <v>-2</v>
      </c>
      <c r="L56" s="49">
        <v>0</v>
      </c>
      <c r="M56" s="49">
        <f>I56+L56</f>
        <v>2</v>
      </c>
      <c r="N56" s="49">
        <f>M56-H56</f>
        <v>2</v>
      </c>
      <c r="O56" s="50" t="str">
        <f>IF(H56=0,"No plan at start",M56/H56)</f>
        <v>No plan at start</v>
      </c>
      <c r="P56" s="53"/>
      <c r="Q56" s="54"/>
      <c r="R56" s="55"/>
      <c r="S56" s="55"/>
    </row>
    <row r="57" spans="1:19" s="10" customFormat="1" hidden="1" outlineLevel="2" x14ac:dyDescent="0.2">
      <c r="A57" s="11"/>
      <c r="B57" s="49" t="s">
        <v>65</v>
      </c>
      <c r="C57" s="49" t="s">
        <v>54</v>
      </c>
      <c r="D57" s="49">
        <v>0</v>
      </c>
      <c r="E57" s="49">
        <v>0</v>
      </c>
      <c r="F57" s="49">
        <f>E57-D57</f>
        <v>0</v>
      </c>
      <c r="G57" s="50">
        <f>IF(D57=0,0,ABS(F57/D57))</f>
        <v>0</v>
      </c>
      <c r="H57" s="49">
        <v>0</v>
      </c>
      <c r="I57" s="49">
        <v>0</v>
      </c>
      <c r="J57" s="51" t="str">
        <f>IF(H57=0,"No plan at start",I57/H57)</f>
        <v>No plan at start</v>
      </c>
      <c r="K57" s="52">
        <f>H57-I57</f>
        <v>0</v>
      </c>
      <c r="L57" s="49">
        <v>0</v>
      </c>
      <c r="M57" s="49">
        <f>I57+L57</f>
        <v>0</v>
      </c>
      <c r="N57" s="49">
        <f>M57-H57</f>
        <v>0</v>
      </c>
      <c r="O57" s="50" t="str">
        <f>IF(H57=0,"No plan at start",M57/H57)</f>
        <v>No plan at start</v>
      </c>
      <c r="P57" s="53"/>
      <c r="Q57" s="54"/>
      <c r="R57" s="55"/>
      <c r="S57" s="55"/>
    </row>
    <row r="58" spans="1:19" s="10" customFormat="1" hidden="1" outlineLevel="2" x14ac:dyDescent="0.2">
      <c r="A58" s="11"/>
      <c r="B58" s="49" t="s">
        <v>65</v>
      </c>
      <c r="C58" s="49" t="s">
        <v>55</v>
      </c>
      <c r="D58" s="49">
        <v>0</v>
      </c>
      <c r="E58" s="49">
        <v>0</v>
      </c>
      <c r="F58" s="49">
        <f>E58-D58</f>
        <v>0</v>
      </c>
      <c r="G58" s="50">
        <f>IF(D58=0,0,ABS(F58/D58))</f>
        <v>0</v>
      </c>
      <c r="H58" s="49">
        <v>0</v>
      </c>
      <c r="I58" s="49">
        <v>0</v>
      </c>
      <c r="J58" s="51" t="str">
        <f>IF(H58=0,"No plan at start",I58/H58)</f>
        <v>No plan at start</v>
      </c>
      <c r="K58" s="52">
        <f>H58-I58</f>
        <v>0</v>
      </c>
      <c r="L58" s="49">
        <v>0</v>
      </c>
      <c r="M58" s="49">
        <f>I58+L58</f>
        <v>0</v>
      </c>
      <c r="N58" s="49">
        <f>M58-H58</f>
        <v>0</v>
      </c>
      <c r="O58" s="50" t="str">
        <f>IF(H58=0,"No plan at start",M58/H58)</f>
        <v>No plan at start</v>
      </c>
      <c r="P58" s="53"/>
      <c r="Q58" s="54"/>
      <c r="R58" s="55"/>
      <c r="S58" s="55"/>
    </row>
    <row r="59" spans="1:19" s="10" customFormat="1" hidden="1" outlineLevel="2" x14ac:dyDescent="0.2">
      <c r="A59" s="11"/>
      <c r="B59" s="49" t="s">
        <v>65</v>
      </c>
      <c r="C59" s="49" t="s">
        <v>56</v>
      </c>
      <c r="D59" s="49">
        <v>0</v>
      </c>
      <c r="E59" s="49">
        <v>0</v>
      </c>
      <c r="F59" s="49">
        <f>E59-D59</f>
        <v>0</v>
      </c>
      <c r="G59" s="50">
        <f>IF(D59=0,0,ABS(F59/D59))</f>
        <v>0</v>
      </c>
      <c r="H59" s="49">
        <v>0</v>
      </c>
      <c r="I59" s="49">
        <v>0</v>
      </c>
      <c r="J59" s="51" t="str">
        <f>IF(H59=0,"No plan at start",I59/H59)</f>
        <v>No plan at start</v>
      </c>
      <c r="K59" s="52">
        <f>H59-I59</f>
        <v>0</v>
      </c>
      <c r="L59" s="49">
        <v>0</v>
      </c>
      <c r="M59" s="49">
        <f>I59+L59</f>
        <v>0</v>
      </c>
      <c r="N59" s="49">
        <f>M59-H59</f>
        <v>0</v>
      </c>
      <c r="O59" s="50" t="str">
        <f>IF(H59=0,"No plan at start",M59/H59)</f>
        <v>No plan at start</v>
      </c>
      <c r="P59" s="53"/>
      <c r="Q59" s="54"/>
      <c r="R59" s="55"/>
      <c r="S59" s="55"/>
    </row>
    <row r="60" spans="1:19" s="10" customFormat="1" hidden="1" outlineLevel="2" x14ac:dyDescent="0.2">
      <c r="A60" s="11"/>
      <c r="B60" s="49" t="s">
        <v>65</v>
      </c>
      <c r="C60" s="49" t="s">
        <v>57</v>
      </c>
      <c r="D60" s="49">
        <v>0</v>
      </c>
      <c r="E60" s="49">
        <v>0</v>
      </c>
      <c r="F60" s="49">
        <f>E60-D60</f>
        <v>0</v>
      </c>
      <c r="G60" s="50">
        <f>IF(D60=0,0,ABS(F60/D60))</f>
        <v>0</v>
      </c>
      <c r="H60" s="49">
        <v>0</v>
      </c>
      <c r="I60" s="49">
        <v>0</v>
      </c>
      <c r="J60" s="51" t="str">
        <f>IF(H60=0,"No plan at start",I60/H60)</f>
        <v>No plan at start</v>
      </c>
      <c r="K60" s="52">
        <f>H60-I60</f>
        <v>0</v>
      </c>
      <c r="L60" s="49">
        <v>0</v>
      </c>
      <c r="M60" s="49">
        <f>I60+L60</f>
        <v>0</v>
      </c>
      <c r="N60" s="49">
        <f>M60-H60</f>
        <v>0</v>
      </c>
      <c r="O60" s="50" t="str">
        <f>IF(H60=0,"No plan at start",M60/H60)</f>
        <v>No plan at start</v>
      </c>
      <c r="P60" s="53"/>
      <c r="Q60" s="54"/>
      <c r="R60" s="55"/>
      <c r="S60" s="55"/>
    </row>
    <row r="61" spans="1:19" s="10" customFormat="1" hidden="1" outlineLevel="2" x14ac:dyDescent="0.2">
      <c r="A61" s="11"/>
      <c r="B61" s="49" t="s">
        <v>65</v>
      </c>
      <c r="C61" s="49" t="s">
        <v>48</v>
      </c>
      <c r="D61" s="49">
        <v>0</v>
      </c>
      <c r="E61" s="49">
        <v>0</v>
      </c>
      <c r="F61" s="49">
        <f>E61-D61</f>
        <v>0</v>
      </c>
      <c r="G61" s="50">
        <f>IF(D61=0,0,ABS(F61/D61))</f>
        <v>0</v>
      </c>
      <c r="H61" s="49">
        <v>0</v>
      </c>
      <c r="I61" s="49">
        <v>0</v>
      </c>
      <c r="J61" s="51" t="str">
        <f>IF(H61=0,"No plan at start",I61/H61)</f>
        <v>No plan at start</v>
      </c>
      <c r="K61" s="52">
        <f>H61-I61</f>
        <v>0</v>
      </c>
      <c r="L61" s="49">
        <v>0</v>
      </c>
      <c r="M61" s="49">
        <f>I61+L61</f>
        <v>0</v>
      </c>
      <c r="N61" s="49">
        <f>M61-H61</f>
        <v>0</v>
      </c>
      <c r="O61" s="50" t="str">
        <f>IF(H61=0,"No plan at start",M61/H61)</f>
        <v>No plan at start</v>
      </c>
      <c r="P61" s="53"/>
      <c r="Q61" s="54"/>
      <c r="R61" s="55"/>
      <c r="S61" s="55"/>
    </row>
    <row r="62" spans="1:19" s="10" customFormat="1" hidden="1" outlineLevel="2" x14ac:dyDescent="0.2">
      <c r="A62" s="11"/>
      <c r="B62" s="49" t="s">
        <v>65</v>
      </c>
      <c r="C62" s="49" t="s">
        <v>58</v>
      </c>
      <c r="D62" s="49">
        <v>0</v>
      </c>
      <c r="E62" s="49">
        <v>0</v>
      </c>
      <c r="F62" s="49">
        <f>E62-D62</f>
        <v>0</v>
      </c>
      <c r="G62" s="50">
        <f>IF(D62=0,0,ABS(F62/D62))</f>
        <v>0</v>
      </c>
      <c r="H62" s="49">
        <v>0</v>
      </c>
      <c r="I62" s="49">
        <v>2</v>
      </c>
      <c r="J62" s="51" t="str">
        <f>IF(H62=0,"No plan at start",I62/H62)</f>
        <v>No plan at start</v>
      </c>
      <c r="K62" s="52">
        <f>H62-I62</f>
        <v>-2</v>
      </c>
      <c r="L62" s="49">
        <v>0</v>
      </c>
      <c r="M62" s="49">
        <f>I62+L62</f>
        <v>2</v>
      </c>
      <c r="N62" s="49">
        <f>M62-H62</f>
        <v>2</v>
      </c>
      <c r="O62" s="50" t="str">
        <f>IF(H62=0,"No plan at start",M62/H62)</f>
        <v>No plan at start</v>
      </c>
      <c r="P62" s="53"/>
      <c r="Q62" s="54"/>
      <c r="R62" s="55"/>
      <c r="S62" s="55"/>
    </row>
    <row r="63" spans="1:19" s="10" customFormat="1" hidden="1" outlineLevel="2" x14ac:dyDescent="0.2">
      <c r="A63" s="11"/>
      <c r="B63" s="49" t="s">
        <v>65</v>
      </c>
      <c r="C63" s="49" t="s">
        <v>59</v>
      </c>
      <c r="D63" s="49">
        <v>0</v>
      </c>
      <c r="E63" s="49">
        <v>0</v>
      </c>
      <c r="F63" s="49">
        <f>E63-D63</f>
        <v>0</v>
      </c>
      <c r="G63" s="50">
        <f>IF(D63=0,0,ABS(F63/D63))</f>
        <v>0</v>
      </c>
      <c r="H63" s="49">
        <v>0</v>
      </c>
      <c r="I63" s="49">
        <v>0</v>
      </c>
      <c r="J63" s="51" t="str">
        <f>IF(H63=0,"No plan at start",I63/H63)</f>
        <v>No plan at start</v>
      </c>
      <c r="K63" s="52">
        <f>H63-I63</f>
        <v>0</v>
      </c>
      <c r="L63" s="49">
        <v>0</v>
      </c>
      <c r="M63" s="49">
        <f>I63+L63</f>
        <v>0</v>
      </c>
      <c r="N63" s="49">
        <f>M63-H63</f>
        <v>0</v>
      </c>
      <c r="O63" s="50" t="str">
        <f>IF(H63=0,"No plan at start",M63/H63)</f>
        <v>No plan at start</v>
      </c>
      <c r="P63" s="53"/>
      <c r="Q63" s="54"/>
      <c r="R63" s="55"/>
      <c r="S63" s="55"/>
    </row>
    <row r="64" spans="1:19" s="10" customFormat="1" hidden="1" outlineLevel="2" x14ac:dyDescent="0.2">
      <c r="A64" s="11"/>
      <c r="B64" s="49" t="s">
        <v>65</v>
      </c>
      <c r="C64" s="49" t="s">
        <v>60</v>
      </c>
      <c r="D64" s="49">
        <v>0</v>
      </c>
      <c r="E64" s="49">
        <v>0</v>
      </c>
      <c r="F64" s="49">
        <f>E64-D64</f>
        <v>0</v>
      </c>
      <c r="G64" s="50">
        <f>IF(D64=0,0,ABS(F64/D64))</f>
        <v>0</v>
      </c>
      <c r="H64" s="49">
        <v>0</v>
      </c>
      <c r="I64" s="49">
        <v>0</v>
      </c>
      <c r="J64" s="51" t="str">
        <f>IF(H64=0,"No plan at start",I64/H64)</f>
        <v>No plan at start</v>
      </c>
      <c r="K64" s="52">
        <f>H64-I64</f>
        <v>0</v>
      </c>
      <c r="L64" s="49">
        <v>0</v>
      </c>
      <c r="M64" s="49">
        <f>I64+L64</f>
        <v>0</v>
      </c>
      <c r="N64" s="49">
        <f>M64-H64</f>
        <v>0</v>
      </c>
      <c r="O64" s="50" t="str">
        <f>IF(H64=0,"No plan at start",M64/H64)</f>
        <v>No plan at start</v>
      </c>
      <c r="P64" s="53"/>
      <c r="Q64" s="54"/>
      <c r="R64" s="55"/>
      <c r="S64" s="55"/>
    </row>
    <row r="65" spans="1:19" s="10" customFormat="1" hidden="1" outlineLevel="2" x14ac:dyDescent="0.2">
      <c r="A65" s="11"/>
      <c r="B65" s="49" t="s">
        <v>65</v>
      </c>
      <c r="C65" s="49" t="s">
        <v>61</v>
      </c>
      <c r="D65" s="49">
        <v>0</v>
      </c>
      <c r="E65" s="49">
        <v>0</v>
      </c>
      <c r="F65" s="49">
        <f>E65-D65</f>
        <v>0</v>
      </c>
      <c r="G65" s="50">
        <f>IF(D65=0,0,ABS(F65/D65))</f>
        <v>0</v>
      </c>
      <c r="H65" s="49">
        <v>0</v>
      </c>
      <c r="I65" s="49">
        <v>0</v>
      </c>
      <c r="J65" s="51" t="str">
        <f>IF(H65=0,"No plan at start",I65/H65)</f>
        <v>No plan at start</v>
      </c>
      <c r="K65" s="52">
        <f>H65-I65</f>
        <v>0</v>
      </c>
      <c r="L65" s="49">
        <v>0</v>
      </c>
      <c r="M65" s="49">
        <f>I65+L65</f>
        <v>0</v>
      </c>
      <c r="N65" s="49">
        <f>M65-H65</f>
        <v>0</v>
      </c>
      <c r="O65" s="50" t="str">
        <f>IF(H65=0,"No plan at start",M65/H65)</f>
        <v>No plan at start</v>
      </c>
      <c r="P65" s="53"/>
      <c r="Q65" s="54"/>
      <c r="R65" s="55"/>
      <c r="S65" s="55"/>
    </row>
    <row r="66" spans="1:19" s="10" customFormat="1" hidden="1" outlineLevel="2" x14ac:dyDescent="0.2">
      <c r="A66" s="11"/>
      <c r="B66" s="49" t="s">
        <v>65</v>
      </c>
      <c r="C66" s="49" t="s">
        <v>62</v>
      </c>
      <c r="D66" s="49">
        <v>0</v>
      </c>
      <c r="E66" s="49">
        <v>0</v>
      </c>
      <c r="F66" s="49">
        <f>E66-D66</f>
        <v>0</v>
      </c>
      <c r="G66" s="50">
        <f>IF(D66=0,0,ABS(F66/D66))</f>
        <v>0</v>
      </c>
      <c r="H66" s="49">
        <v>0</v>
      </c>
      <c r="I66" s="49">
        <v>0</v>
      </c>
      <c r="J66" s="51" t="str">
        <f>IF(H66=0,"No plan at start",I66/H66)</f>
        <v>No plan at start</v>
      </c>
      <c r="K66" s="52">
        <f>H66-I66</f>
        <v>0</v>
      </c>
      <c r="L66" s="49">
        <v>0</v>
      </c>
      <c r="M66" s="49">
        <f>I66+L66</f>
        <v>0</v>
      </c>
      <c r="N66" s="49">
        <f>M66-H66</f>
        <v>0</v>
      </c>
      <c r="O66" s="50" t="str">
        <f>IF(H66=0,"No plan at start",M66/H66)</f>
        <v>No plan at start</v>
      </c>
      <c r="P66" s="53"/>
      <c r="Q66" s="54"/>
      <c r="R66" s="55"/>
      <c r="S66" s="55"/>
    </row>
    <row r="67" spans="1:19" s="10" customFormat="1" outlineLevel="1" collapsed="1" x14ac:dyDescent="0.2">
      <c r="A67" s="11"/>
      <c r="B67" s="56" t="s">
        <v>104</v>
      </c>
      <c r="C67" s="49"/>
      <c r="D67" s="49">
        <f>SUBTOTAL(9,D55:D66)</f>
        <v>0</v>
      </c>
      <c r="E67" s="49">
        <f>SUBTOTAL(9,E55:E66)</f>
        <v>0</v>
      </c>
      <c r="F67" s="49">
        <f>SUBTOTAL(9,F55:F66)</f>
        <v>0</v>
      </c>
      <c r="G67" s="50">
        <f>IF(D67=0,0,ABS(F67/D67))</f>
        <v>0</v>
      </c>
      <c r="H67" s="49">
        <f>SUBTOTAL(9,H55:H66)</f>
        <v>0</v>
      </c>
      <c r="I67" s="49">
        <f>SUBTOTAL(9,I55:I66)</f>
        <v>4</v>
      </c>
      <c r="J67" s="51" t="str">
        <f>IF(H67=0,"No plan at start",I67/H67)</f>
        <v>No plan at start</v>
      </c>
      <c r="K67" s="52">
        <f>SUBTOTAL(9,K55:K66)</f>
        <v>-4</v>
      </c>
      <c r="L67" s="49">
        <f>SUBTOTAL(9,L55:L66)</f>
        <v>0</v>
      </c>
      <c r="M67" s="49">
        <f>SUBTOTAL(9,M55:M66)</f>
        <v>4</v>
      </c>
      <c r="N67" s="49">
        <f>SUBTOTAL(9,N55:N66)</f>
        <v>4</v>
      </c>
      <c r="O67" s="50" t="str">
        <f>IF(H67=0,"No plan at start",M67/H67)</f>
        <v>No plan at start</v>
      </c>
      <c r="P67" s="53"/>
      <c r="Q67" s="54"/>
      <c r="R67" s="55"/>
      <c r="S67" s="55"/>
    </row>
    <row r="68" spans="1:19" s="10" customFormat="1" hidden="1" outlineLevel="2" x14ac:dyDescent="0.2">
      <c r="A68" s="11"/>
      <c r="B68" s="49" t="s">
        <v>66</v>
      </c>
      <c r="C68" s="49" t="s">
        <v>52</v>
      </c>
      <c r="D68" s="49">
        <v>48</v>
      </c>
      <c r="E68" s="49">
        <v>17</v>
      </c>
      <c r="F68" s="49">
        <f>E68-D68</f>
        <v>-31</v>
      </c>
      <c r="G68" s="50">
        <f>IF(D68=0,0,ABS(F68/D68))</f>
        <v>0.64583333333333337</v>
      </c>
      <c r="H68" s="49">
        <v>4156</v>
      </c>
      <c r="I68" s="49">
        <v>1821.75</v>
      </c>
      <c r="J68" s="51">
        <f>IF(H68=0,"No plan at start",I68/H68)</f>
        <v>0.43834215591915304</v>
      </c>
      <c r="K68" s="52">
        <f>H68-I68</f>
        <v>2334.25</v>
      </c>
      <c r="L68" s="49">
        <v>1287.3500000000001</v>
      </c>
      <c r="M68" s="49">
        <f>I68+L68</f>
        <v>3109.1000000000004</v>
      </c>
      <c r="N68" s="49">
        <f>M68-H68</f>
        <v>-1046.8999999999996</v>
      </c>
      <c r="O68" s="50">
        <f>IF(H68=0,"No plan at start",M68/H68)</f>
        <v>0.74809913378248327</v>
      </c>
      <c r="P68" s="53"/>
      <c r="Q68" s="54"/>
      <c r="R68" s="55"/>
      <c r="S68" s="55"/>
    </row>
    <row r="69" spans="1:19" s="10" customFormat="1" hidden="1" outlineLevel="2" x14ac:dyDescent="0.2">
      <c r="A69" s="11"/>
      <c r="B69" s="49" t="s">
        <v>66</v>
      </c>
      <c r="C69" s="49" t="s">
        <v>53</v>
      </c>
      <c r="D69" s="49">
        <v>56</v>
      </c>
      <c r="E69" s="49">
        <v>0</v>
      </c>
      <c r="F69" s="49">
        <f>E69-D69</f>
        <v>-56</v>
      </c>
      <c r="G69" s="50">
        <f>IF(D69=0,0,ABS(F69/D69))</f>
        <v>1</v>
      </c>
      <c r="H69" s="49">
        <v>4460.8</v>
      </c>
      <c r="I69" s="49">
        <v>210.75</v>
      </c>
      <c r="J69" s="51">
        <f>IF(H69=0,"No plan at start",I69/H69)</f>
        <v>4.7244888809182206E-2</v>
      </c>
      <c r="K69" s="52">
        <f>H69-I69</f>
        <v>4250.05</v>
      </c>
      <c r="L69" s="49">
        <v>0</v>
      </c>
      <c r="M69" s="49">
        <f>I69+L69</f>
        <v>210.75</v>
      </c>
      <c r="N69" s="49">
        <f>M69-H69</f>
        <v>-4250.05</v>
      </c>
      <c r="O69" s="50">
        <f>IF(H69=0,"No plan at start",M69/H69)</f>
        <v>4.7244888809182206E-2</v>
      </c>
      <c r="P69" s="53"/>
      <c r="Q69" s="54"/>
      <c r="R69" s="55"/>
      <c r="S69" s="55"/>
    </row>
    <row r="70" spans="1:19" s="10" customFormat="1" hidden="1" outlineLevel="2" x14ac:dyDescent="0.2">
      <c r="A70" s="11"/>
      <c r="B70" s="49" t="s">
        <v>66</v>
      </c>
      <c r="C70" s="49" t="s">
        <v>54</v>
      </c>
      <c r="D70" s="49">
        <v>0</v>
      </c>
      <c r="E70" s="49">
        <v>0</v>
      </c>
      <c r="F70" s="49">
        <f>E70-D70</f>
        <v>0</v>
      </c>
      <c r="G70" s="50">
        <f>IF(D70=0,0,ABS(F70/D70))</f>
        <v>0</v>
      </c>
      <c r="H70" s="49">
        <v>0</v>
      </c>
      <c r="I70" s="49">
        <v>41</v>
      </c>
      <c r="J70" s="51" t="str">
        <f>IF(H70=0,"No plan at start",I70/H70)</f>
        <v>No plan at start</v>
      </c>
      <c r="K70" s="52">
        <f>H70-I70</f>
        <v>-41</v>
      </c>
      <c r="L70" s="49">
        <v>0</v>
      </c>
      <c r="M70" s="49">
        <f>I70+L70</f>
        <v>41</v>
      </c>
      <c r="N70" s="49">
        <f>M70-H70</f>
        <v>41</v>
      </c>
      <c r="O70" s="50" t="str">
        <f>IF(H70=0,"No plan at start",M70/H70)</f>
        <v>No plan at start</v>
      </c>
      <c r="P70" s="53"/>
      <c r="Q70" s="54"/>
      <c r="R70" s="55"/>
      <c r="S70" s="55"/>
    </row>
    <row r="71" spans="1:19" s="10" customFormat="1" hidden="1" outlineLevel="2" x14ac:dyDescent="0.2">
      <c r="A71" s="11"/>
      <c r="B71" s="49" t="s">
        <v>66</v>
      </c>
      <c r="C71" s="49" t="s">
        <v>55</v>
      </c>
      <c r="D71" s="49">
        <v>40</v>
      </c>
      <c r="E71" s="49">
        <v>2</v>
      </c>
      <c r="F71" s="49">
        <f>E71-D71</f>
        <v>-38</v>
      </c>
      <c r="G71" s="50">
        <f>IF(D71=0,0,ABS(F71/D71))</f>
        <v>0.95</v>
      </c>
      <c r="H71" s="49">
        <v>3275.9999999999995</v>
      </c>
      <c r="I71" s="49">
        <v>1489.5</v>
      </c>
      <c r="J71" s="51">
        <f>IF(H71=0,"No plan at start",I71/H71)</f>
        <v>0.45467032967032972</v>
      </c>
      <c r="K71" s="52">
        <f>H71-I71</f>
        <v>1786.4999999999995</v>
      </c>
      <c r="L71" s="49">
        <v>647.11</v>
      </c>
      <c r="M71" s="49">
        <f>I71+L71</f>
        <v>2136.61</v>
      </c>
      <c r="N71" s="49">
        <f>M71-H71</f>
        <v>-1139.3899999999994</v>
      </c>
      <c r="O71" s="50">
        <f>IF(H71=0,"No plan at start",M71/H71)</f>
        <v>0.65220085470085487</v>
      </c>
      <c r="P71" s="53"/>
      <c r="Q71" s="54"/>
      <c r="R71" s="55"/>
      <c r="S71" s="55"/>
    </row>
    <row r="72" spans="1:19" s="10" customFormat="1" hidden="1" outlineLevel="2" x14ac:dyDescent="0.2">
      <c r="A72" s="11"/>
      <c r="B72" s="49" t="s">
        <v>66</v>
      </c>
      <c r="C72" s="49" t="s">
        <v>56</v>
      </c>
      <c r="D72" s="49">
        <v>0</v>
      </c>
      <c r="E72" s="49">
        <v>66</v>
      </c>
      <c r="F72" s="49">
        <f>E72-D72</f>
        <v>66</v>
      </c>
      <c r="G72" s="50">
        <f>IF(D72=0,0,ABS(F72/D72))</f>
        <v>0</v>
      </c>
      <c r="H72" s="49">
        <v>0</v>
      </c>
      <c r="I72" s="49">
        <v>1470.25</v>
      </c>
      <c r="J72" s="51" t="str">
        <f>IF(H72=0,"No plan at start",I72/H72)</f>
        <v>No plan at start</v>
      </c>
      <c r="K72" s="52">
        <f>H72-I72</f>
        <v>-1470.25</v>
      </c>
      <c r="L72" s="49">
        <v>1247.2899999999997</v>
      </c>
      <c r="M72" s="49">
        <f>I72+L72</f>
        <v>2717.54</v>
      </c>
      <c r="N72" s="49">
        <f>M72-H72</f>
        <v>2717.54</v>
      </c>
      <c r="O72" s="50" t="str">
        <f>IF(H72=0,"No plan at start",M72/H72)</f>
        <v>No plan at start</v>
      </c>
      <c r="P72" s="53"/>
      <c r="Q72" s="54"/>
      <c r="R72" s="55"/>
      <c r="S72" s="55"/>
    </row>
    <row r="73" spans="1:19" s="10" customFormat="1" hidden="1" outlineLevel="2" x14ac:dyDescent="0.2">
      <c r="A73" s="11"/>
      <c r="B73" s="49" t="s">
        <v>66</v>
      </c>
      <c r="C73" s="49" t="s">
        <v>57</v>
      </c>
      <c r="D73" s="49">
        <v>0</v>
      </c>
      <c r="E73" s="49">
        <v>0</v>
      </c>
      <c r="F73" s="49">
        <f>E73-D73</f>
        <v>0</v>
      </c>
      <c r="G73" s="50">
        <f>IF(D73=0,0,ABS(F73/D73))</f>
        <v>0</v>
      </c>
      <c r="H73" s="49">
        <v>0</v>
      </c>
      <c r="I73" s="49">
        <v>171</v>
      </c>
      <c r="J73" s="51" t="str">
        <f>IF(H73=0,"No plan at start",I73/H73)</f>
        <v>No plan at start</v>
      </c>
      <c r="K73" s="52">
        <f>H73-I73</f>
        <v>-171</v>
      </c>
      <c r="L73" s="49">
        <v>0</v>
      </c>
      <c r="M73" s="49">
        <f>I73+L73</f>
        <v>171</v>
      </c>
      <c r="N73" s="49">
        <f>M73-H73</f>
        <v>171</v>
      </c>
      <c r="O73" s="50" t="str">
        <f>IF(H73=0,"No plan at start",M73/H73)</f>
        <v>No plan at start</v>
      </c>
      <c r="P73" s="53"/>
      <c r="Q73" s="54"/>
      <c r="R73" s="55"/>
      <c r="S73" s="55"/>
    </row>
    <row r="74" spans="1:19" s="10" customFormat="1" hidden="1" outlineLevel="2" x14ac:dyDescent="0.2">
      <c r="A74" s="11"/>
      <c r="B74" s="49" t="s">
        <v>66</v>
      </c>
      <c r="C74" s="49" t="s">
        <v>48</v>
      </c>
      <c r="D74" s="49">
        <v>0</v>
      </c>
      <c r="E74" s="49">
        <v>0</v>
      </c>
      <c r="F74" s="49">
        <f>E74-D74</f>
        <v>0</v>
      </c>
      <c r="G74" s="50">
        <f>IF(D74=0,0,ABS(F74/D74))</f>
        <v>0</v>
      </c>
      <c r="H74" s="49">
        <v>0</v>
      </c>
      <c r="I74" s="49">
        <v>0</v>
      </c>
      <c r="J74" s="51" t="str">
        <f>IF(H74=0,"No plan at start",I74/H74)</f>
        <v>No plan at start</v>
      </c>
      <c r="K74" s="52">
        <f>H74-I74</f>
        <v>0</v>
      </c>
      <c r="L74" s="49">
        <v>0</v>
      </c>
      <c r="M74" s="49">
        <f>I74+L74</f>
        <v>0</v>
      </c>
      <c r="N74" s="49">
        <f>M74-H74</f>
        <v>0</v>
      </c>
      <c r="O74" s="50" t="str">
        <f>IF(H74=0,"No plan at start",M74/H74)</f>
        <v>No plan at start</v>
      </c>
      <c r="P74" s="53"/>
      <c r="Q74" s="54"/>
      <c r="R74" s="55"/>
      <c r="S74" s="55"/>
    </row>
    <row r="75" spans="1:19" s="10" customFormat="1" hidden="1" outlineLevel="2" x14ac:dyDescent="0.2">
      <c r="A75" s="11"/>
      <c r="B75" s="49" t="s">
        <v>66</v>
      </c>
      <c r="C75" s="49" t="s">
        <v>58</v>
      </c>
      <c r="D75" s="49">
        <v>0</v>
      </c>
      <c r="E75" s="49">
        <v>0</v>
      </c>
      <c r="F75" s="49">
        <f>E75-D75</f>
        <v>0</v>
      </c>
      <c r="G75" s="50">
        <f>IF(D75=0,0,ABS(F75/D75))</f>
        <v>0</v>
      </c>
      <c r="H75" s="49">
        <v>0</v>
      </c>
      <c r="I75" s="49">
        <v>0</v>
      </c>
      <c r="J75" s="51" t="str">
        <f>IF(H75=0,"No plan at start",I75/H75)</f>
        <v>No plan at start</v>
      </c>
      <c r="K75" s="52">
        <f>H75-I75</f>
        <v>0</v>
      </c>
      <c r="L75" s="49">
        <v>0</v>
      </c>
      <c r="M75" s="49">
        <f>I75+L75</f>
        <v>0</v>
      </c>
      <c r="N75" s="49">
        <f>M75-H75</f>
        <v>0</v>
      </c>
      <c r="O75" s="50" t="str">
        <f>IF(H75=0,"No plan at start",M75/H75)</f>
        <v>No plan at start</v>
      </c>
      <c r="P75" s="53"/>
      <c r="Q75" s="54"/>
      <c r="R75" s="55"/>
      <c r="S75" s="55"/>
    </row>
    <row r="76" spans="1:19" s="10" customFormat="1" hidden="1" outlineLevel="2" x14ac:dyDescent="0.2">
      <c r="A76" s="11"/>
      <c r="B76" s="49" t="s">
        <v>66</v>
      </c>
      <c r="C76" s="49" t="s">
        <v>59</v>
      </c>
      <c r="D76" s="49">
        <v>0</v>
      </c>
      <c r="E76" s="49">
        <v>0</v>
      </c>
      <c r="F76" s="49">
        <f>E76-D76</f>
        <v>0</v>
      </c>
      <c r="G76" s="50">
        <f>IF(D76=0,0,ABS(F76/D76))</f>
        <v>0</v>
      </c>
      <c r="H76" s="49">
        <v>0</v>
      </c>
      <c r="I76" s="49">
        <v>0</v>
      </c>
      <c r="J76" s="51" t="str">
        <f>IF(H76=0,"No plan at start",I76/H76)</f>
        <v>No plan at start</v>
      </c>
      <c r="K76" s="52">
        <f>H76-I76</f>
        <v>0</v>
      </c>
      <c r="L76" s="49">
        <v>0</v>
      </c>
      <c r="M76" s="49">
        <f>I76+L76</f>
        <v>0</v>
      </c>
      <c r="N76" s="49">
        <f>M76-H76</f>
        <v>0</v>
      </c>
      <c r="O76" s="50" t="str">
        <f>IF(H76=0,"No plan at start",M76/H76)</f>
        <v>No plan at start</v>
      </c>
      <c r="P76" s="53"/>
      <c r="Q76" s="54"/>
      <c r="R76" s="55"/>
      <c r="S76" s="55"/>
    </row>
    <row r="77" spans="1:19" s="10" customFormat="1" hidden="1" outlineLevel="2" x14ac:dyDescent="0.2">
      <c r="A77" s="11"/>
      <c r="B77" s="49" t="s">
        <v>66</v>
      </c>
      <c r="C77" s="49" t="s">
        <v>60</v>
      </c>
      <c r="D77" s="49">
        <v>0</v>
      </c>
      <c r="E77" s="49">
        <v>0</v>
      </c>
      <c r="F77" s="49">
        <f>E77-D77</f>
        <v>0</v>
      </c>
      <c r="G77" s="50">
        <f>IF(D77=0,0,ABS(F77/D77))</f>
        <v>0</v>
      </c>
      <c r="H77" s="49">
        <v>0</v>
      </c>
      <c r="I77" s="49">
        <v>0</v>
      </c>
      <c r="J77" s="51" t="str">
        <f>IF(H77=0,"No plan at start",I77/H77)</f>
        <v>No plan at start</v>
      </c>
      <c r="K77" s="52">
        <f>H77-I77</f>
        <v>0</v>
      </c>
      <c r="L77" s="49">
        <v>0</v>
      </c>
      <c r="M77" s="49">
        <f>I77+L77</f>
        <v>0</v>
      </c>
      <c r="N77" s="49">
        <f>M77-H77</f>
        <v>0</v>
      </c>
      <c r="O77" s="50" t="str">
        <f>IF(H77=0,"No plan at start",M77/H77)</f>
        <v>No plan at start</v>
      </c>
      <c r="P77" s="53"/>
      <c r="Q77" s="54"/>
      <c r="R77" s="55"/>
      <c r="S77" s="55"/>
    </row>
    <row r="78" spans="1:19" s="10" customFormat="1" hidden="1" outlineLevel="2" x14ac:dyDescent="0.2">
      <c r="A78" s="11"/>
      <c r="B78" s="49" t="s">
        <v>66</v>
      </c>
      <c r="C78" s="49" t="s">
        <v>61</v>
      </c>
      <c r="D78" s="49">
        <v>0</v>
      </c>
      <c r="E78" s="49">
        <v>0</v>
      </c>
      <c r="F78" s="49">
        <f>E78-D78</f>
        <v>0</v>
      </c>
      <c r="G78" s="50">
        <f>IF(D78=0,0,ABS(F78/D78))</f>
        <v>0</v>
      </c>
      <c r="H78" s="49">
        <v>0</v>
      </c>
      <c r="I78" s="49">
        <v>0</v>
      </c>
      <c r="J78" s="51" t="str">
        <f>IF(H78=0,"No plan at start",I78/H78)</f>
        <v>No plan at start</v>
      </c>
      <c r="K78" s="52">
        <f>H78-I78</f>
        <v>0</v>
      </c>
      <c r="L78" s="49">
        <v>0</v>
      </c>
      <c r="M78" s="49">
        <f>I78+L78</f>
        <v>0</v>
      </c>
      <c r="N78" s="49">
        <f>M78-H78</f>
        <v>0</v>
      </c>
      <c r="O78" s="50" t="str">
        <f>IF(H78=0,"No plan at start",M78/H78)</f>
        <v>No plan at start</v>
      </c>
      <c r="P78" s="53"/>
      <c r="Q78" s="54"/>
      <c r="R78" s="55"/>
      <c r="S78" s="55"/>
    </row>
    <row r="79" spans="1:19" s="10" customFormat="1" hidden="1" outlineLevel="2" x14ac:dyDescent="0.2">
      <c r="A79" s="11"/>
      <c r="B79" s="49" t="s">
        <v>66</v>
      </c>
      <c r="C79" s="49" t="s">
        <v>62</v>
      </c>
      <c r="D79" s="49">
        <v>0</v>
      </c>
      <c r="E79" s="49">
        <v>0</v>
      </c>
      <c r="F79" s="49">
        <f>E79-D79</f>
        <v>0</v>
      </c>
      <c r="G79" s="50">
        <f>IF(D79=0,0,ABS(F79/D79))</f>
        <v>0</v>
      </c>
      <c r="H79" s="49">
        <v>0</v>
      </c>
      <c r="I79" s="49">
        <v>0</v>
      </c>
      <c r="J79" s="51" t="str">
        <f>IF(H79=0,"No plan at start",I79/H79)</f>
        <v>No plan at start</v>
      </c>
      <c r="K79" s="52">
        <f>H79-I79</f>
        <v>0</v>
      </c>
      <c r="L79" s="49">
        <v>0</v>
      </c>
      <c r="M79" s="49">
        <f>I79+L79</f>
        <v>0</v>
      </c>
      <c r="N79" s="49">
        <f>M79-H79</f>
        <v>0</v>
      </c>
      <c r="O79" s="50" t="str">
        <f>IF(H79=0,"No plan at start",M79/H79)</f>
        <v>No plan at start</v>
      </c>
      <c r="P79" s="53"/>
      <c r="Q79" s="54"/>
      <c r="R79" s="55"/>
      <c r="S79" s="55"/>
    </row>
    <row r="80" spans="1:19" s="10" customFormat="1" outlineLevel="1" collapsed="1" x14ac:dyDescent="0.2">
      <c r="A80" s="11"/>
      <c r="B80" s="56" t="s">
        <v>105</v>
      </c>
      <c r="C80" s="49"/>
      <c r="D80" s="49">
        <f>SUBTOTAL(9,D68:D79)</f>
        <v>144</v>
      </c>
      <c r="E80" s="49">
        <f>SUBTOTAL(9,E68:E79)</f>
        <v>85</v>
      </c>
      <c r="F80" s="49">
        <f>SUBTOTAL(9,F68:F79)</f>
        <v>-59</v>
      </c>
      <c r="G80" s="50">
        <f>IF(D80=0,0,ABS(F80/D80))</f>
        <v>0.40972222222222221</v>
      </c>
      <c r="H80" s="49">
        <f>SUBTOTAL(9,H68:H79)</f>
        <v>11892.8</v>
      </c>
      <c r="I80" s="49">
        <f>SUBTOTAL(9,I68:I79)</f>
        <v>5204.25</v>
      </c>
      <c r="J80" s="51">
        <f>IF(H80=0,"No plan at start",I80/H80)</f>
        <v>0.43759669716130772</v>
      </c>
      <c r="K80" s="52">
        <f>SUBTOTAL(9,K68:K79)</f>
        <v>6688.5499999999993</v>
      </c>
      <c r="L80" s="49">
        <f>SUBTOTAL(9,L68:L79)</f>
        <v>3181.75</v>
      </c>
      <c r="M80" s="49">
        <f>SUBTOTAL(9,M68:M79)</f>
        <v>8386</v>
      </c>
      <c r="N80" s="49">
        <f>SUBTOTAL(9,N68:N79)</f>
        <v>-3506.7999999999993</v>
      </c>
      <c r="O80" s="50">
        <f>IF(H80=0,"No plan at start",M80/H80)</f>
        <v>0.70513251715323566</v>
      </c>
      <c r="P80" s="53"/>
      <c r="Q80" s="54"/>
      <c r="R80" s="55"/>
      <c r="S80" s="55"/>
    </row>
    <row r="81" spans="1:19" s="10" customFormat="1" hidden="1" outlineLevel="2" x14ac:dyDescent="0.2">
      <c r="A81" s="11"/>
      <c r="B81" s="49" t="s">
        <v>67</v>
      </c>
      <c r="C81" s="49" t="s">
        <v>52</v>
      </c>
      <c r="D81" s="49">
        <v>0</v>
      </c>
      <c r="E81" s="49">
        <v>0</v>
      </c>
      <c r="F81" s="49">
        <f>E81-D81</f>
        <v>0</v>
      </c>
      <c r="G81" s="50">
        <f>IF(D81=0,0,ABS(F81/D81))</f>
        <v>0</v>
      </c>
      <c r="H81" s="49">
        <v>0</v>
      </c>
      <c r="I81" s="49">
        <v>0</v>
      </c>
      <c r="J81" s="51" t="str">
        <f>IF(H81=0,"No plan at start",I81/H81)</f>
        <v>No plan at start</v>
      </c>
      <c r="K81" s="52">
        <f>H81-I81</f>
        <v>0</v>
      </c>
      <c r="L81" s="49">
        <v>0</v>
      </c>
      <c r="M81" s="49">
        <f>I81+L81</f>
        <v>0</v>
      </c>
      <c r="N81" s="49">
        <f>M81-H81</f>
        <v>0</v>
      </c>
      <c r="O81" s="50" t="str">
        <f>IF(H81=0,"No plan at start",M81/H81)</f>
        <v>No plan at start</v>
      </c>
      <c r="P81" s="53"/>
      <c r="Q81" s="54"/>
      <c r="R81" s="55"/>
      <c r="S81" s="55"/>
    </row>
    <row r="82" spans="1:19" s="10" customFormat="1" hidden="1" outlineLevel="2" x14ac:dyDescent="0.2">
      <c r="A82" s="11"/>
      <c r="B82" s="49" t="s">
        <v>67</v>
      </c>
      <c r="C82" s="49" t="s">
        <v>53</v>
      </c>
      <c r="D82" s="49">
        <v>0</v>
      </c>
      <c r="E82" s="49">
        <v>0</v>
      </c>
      <c r="F82" s="49">
        <f>E82-D82</f>
        <v>0</v>
      </c>
      <c r="G82" s="50">
        <f>IF(D82=0,0,ABS(F82/D82))</f>
        <v>0</v>
      </c>
      <c r="H82" s="49">
        <v>0</v>
      </c>
      <c r="I82" s="49">
        <v>0</v>
      </c>
      <c r="J82" s="51" t="str">
        <f>IF(H82=0,"No plan at start",I82/H82)</f>
        <v>No plan at start</v>
      </c>
      <c r="K82" s="52">
        <f>H82-I82</f>
        <v>0</v>
      </c>
      <c r="L82" s="49">
        <v>0</v>
      </c>
      <c r="M82" s="49">
        <f>I82+L82</f>
        <v>0</v>
      </c>
      <c r="N82" s="49">
        <f>M82-H82</f>
        <v>0</v>
      </c>
      <c r="O82" s="50" t="str">
        <f>IF(H82=0,"No plan at start",M82/H82)</f>
        <v>No plan at start</v>
      </c>
      <c r="P82" s="53"/>
      <c r="Q82" s="54"/>
      <c r="R82" s="55"/>
      <c r="S82" s="55"/>
    </row>
    <row r="83" spans="1:19" s="10" customFormat="1" hidden="1" outlineLevel="2" x14ac:dyDescent="0.2">
      <c r="A83" s="11"/>
      <c r="B83" s="49" t="s">
        <v>67</v>
      </c>
      <c r="C83" s="49" t="s">
        <v>54</v>
      </c>
      <c r="D83" s="49">
        <v>0</v>
      </c>
      <c r="E83" s="49">
        <v>0</v>
      </c>
      <c r="F83" s="49">
        <f>E83-D83</f>
        <v>0</v>
      </c>
      <c r="G83" s="50">
        <f>IF(D83=0,0,ABS(F83/D83))</f>
        <v>0</v>
      </c>
      <c r="H83" s="49">
        <v>0</v>
      </c>
      <c r="I83" s="49">
        <v>0</v>
      </c>
      <c r="J83" s="51" t="str">
        <f>IF(H83=0,"No plan at start",I83/H83)</f>
        <v>No plan at start</v>
      </c>
      <c r="K83" s="52">
        <f>H83-I83</f>
        <v>0</v>
      </c>
      <c r="L83" s="49">
        <v>0</v>
      </c>
      <c r="M83" s="49">
        <f>I83+L83</f>
        <v>0</v>
      </c>
      <c r="N83" s="49">
        <f>M83-H83</f>
        <v>0</v>
      </c>
      <c r="O83" s="50" t="str">
        <f>IF(H83=0,"No plan at start",M83/H83)</f>
        <v>No plan at start</v>
      </c>
      <c r="P83" s="53"/>
      <c r="Q83" s="54"/>
      <c r="R83" s="55"/>
      <c r="S83" s="55"/>
    </row>
    <row r="84" spans="1:19" s="10" customFormat="1" hidden="1" outlineLevel="2" x14ac:dyDescent="0.2">
      <c r="A84" s="11"/>
      <c r="B84" s="49" t="s">
        <v>67</v>
      </c>
      <c r="C84" s="49" t="s">
        <v>55</v>
      </c>
      <c r="D84" s="49">
        <v>0</v>
      </c>
      <c r="E84" s="49">
        <v>0</v>
      </c>
      <c r="F84" s="49">
        <f>E84-D84</f>
        <v>0</v>
      </c>
      <c r="G84" s="50">
        <f>IF(D84=0,0,ABS(F84/D84))</f>
        <v>0</v>
      </c>
      <c r="H84" s="49">
        <v>0</v>
      </c>
      <c r="I84" s="49">
        <v>0</v>
      </c>
      <c r="J84" s="51" t="str">
        <f>IF(H84=0,"No plan at start",I84/H84)</f>
        <v>No plan at start</v>
      </c>
      <c r="K84" s="52">
        <f>H84-I84</f>
        <v>0</v>
      </c>
      <c r="L84" s="49">
        <v>0</v>
      </c>
      <c r="M84" s="49">
        <f>I84+L84</f>
        <v>0</v>
      </c>
      <c r="N84" s="49">
        <f>M84-H84</f>
        <v>0</v>
      </c>
      <c r="O84" s="50" t="str">
        <f>IF(H84=0,"No plan at start",M84/H84)</f>
        <v>No plan at start</v>
      </c>
      <c r="P84" s="53"/>
      <c r="Q84" s="54"/>
      <c r="R84" s="55"/>
      <c r="S84" s="55"/>
    </row>
    <row r="85" spans="1:19" s="10" customFormat="1" hidden="1" outlineLevel="2" x14ac:dyDescent="0.2">
      <c r="A85" s="11"/>
      <c r="B85" s="49" t="s">
        <v>67</v>
      </c>
      <c r="C85" s="49" t="s">
        <v>56</v>
      </c>
      <c r="D85" s="49">
        <v>0</v>
      </c>
      <c r="E85" s="49">
        <v>0</v>
      </c>
      <c r="F85" s="49">
        <f>E85-D85</f>
        <v>0</v>
      </c>
      <c r="G85" s="50">
        <f>IF(D85=0,0,ABS(F85/D85))</f>
        <v>0</v>
      </c>
      <c r="H85" s="49">
        <v>0</v>
      </c>
      <c r="I85" s="49">
        <v>0</v>
      </c>
      <c r="J85" s="51" t="str">
        <f>IF(H85=0,"No plan at start",I85/H85)</f>
        <v>No plan at start</v>
      </c>
      <c r="K85" s="52">
        <f>H85-I85</f>
        <v>0</v>
      </c>
      <c r="L85" s="49">
        <v>0</v>
      </c>
      <c r="M85" s="49">
        <f>I85+L85</f>
        <v>0</v>
      </c>
      <c r="N85" s="49">
        <f>M85-H85</f>
        <v>0</v>
      </c>
      <c r="O85" s="50" t="str">
        <f>IF(H85=0,"No plan at start",M85/H85)</f>
        <v>No plan at start</v>
      </c>
      <c r="P85" s="53"/>
      <c r="Q85" s="54"/>
      <c r="R85" s="55"/>
      <c r="S85" s="55"/>
    </row>
    <row r="86" spans="1:19" s="10" customFormat="1" hidden="1" outlineLevel="2" x14ac:dyDescent="0.2">
      <c r="A86" s="11"/>
      <c r="B86" s="49" t="s">
        <v>67</v>
      </c>
      <c r="C86" s="49" t="s">
        <v>57</v>
      </c>
      <c r="D86" s="49">
        <v>0</v>
      </c>
      <c r="E86" s="49">
        <v>0</v>
      </c>
      <c r="F86" s="49">
        <f>E86-D86</f>
        <v>0</v>
      </c>
      <c r="G86" s="50">
        <f>IF(D86=0,0,ABS(F86/D86))</f>
        <v>0</v>
      </c>
      <c r="H86" s="49">
        <v>0</v>
      </c>
      <c r="I86" s="49">
        <v>0</v>
      </c>
      <c r="J86" s="51" t="str">
        <f>IF(H86=0,"No plan at start",I86/H86)</f>
        <v>No plan at start</v>
      </c>
      <c r="K86" s="52">
        <f>H86-I86</f>
        <v>0</v>
      </c>
      <c r="L86" s="49">
        <v>0</v>
      </c>
      <c r="M86" s="49">
        <f>I86+L86</f>
        <v>0</v>
      </c>
      <c r="N86" s="49">
        <f>M86-H86</f>
        <v>0</v>
      </c>
      <c r="O86" s="50" t="str">
        <f>IF(H86=0,"No plan at start",M86/H86)</f>
        <v>No plan at start</v>
      </c>
      <c r="P86" s="53"/>
      <c r="Q86" s="54"/>
      <c r="R86" s="55"/>
      <c r="S86" s="55"/>
    </row>
    <row r="87" spans="1:19" s="10" customFormat="1" hidden="1" outlineLevel="2" x14ac:dyDescent="0.2">
      <c r="A87" s="11"/>
      <c r="B87" s="49" t="s">
        <v>67</v>
      </c>
      <c r="C87" s="49" t="s">
        <v>48</v>
      </c>
      <c r="D87" s="49">
        <v>0</v>
      </c>
      <c r="E87" s="49">
        <v>0</v>
      </c>
      <c r="F87" s="49">
        <f>E87-D87</f>
        <v>0</v>
      </c>
      <c r="G87" s="50">
        <f>IF(D87=0,0,ABS(F87/D87))</f>
        <v>0</v>
      </c>
      <c r="H87" s="49">
        <v>0</v>
      </c>
      <c r="I87" s="49">
        <v>0</v>
      </c>
      <c r="J87" s="51" t="str">
        <f>IF(H87=0,"No plan at start",I87/H87)</f>
        <v>No plan at start</v>
      </c>
      <c r="K87" s="52">
        <f>H87-I87</f>
        <v>0</v>
      </c>
      <c r="L87" s="49">
        <v>0</v>
      </c>
      <c r="M87" s="49">
        <f>I87+L87</f>
        <v>0</v>
      </c>
      <c r="N87" s="49">
        <f>M87-H87</f>
        <v>0</v>
      </c>
      <c r="O87" s="50" t="str">
        <f>IF(H87=0,"No plan at start",M87/H87)</f>
        <v>No plan at start</v>
      </c>
      <c r="P87" s="53"/>
      <c r="Q87" s="54"/>
      <c r="R87" s="55"/>
      <c r="S87" s="55"/>
    </row>
    <row r="88" spans="1:19" s="10" customFormat="1" hidden="1" outlineLevel="2" x14ac:dyDescent="0.2">
      <c r="A88" s="11"/>
      <c r="B88" s="49" t="s">
        <v>67</v>
      </c>
      <c r="C88" s="49" t="s">
        <v>58</v>
      </c>
      <c r="D88" s="49">
        <v>0</v>
      </c>
      <c r="E88" s="49">
        <v>0</v>
      </c>
      <c r="F88" s="49">
        <f>E88-D88</f>
        <v>0</v>
      </c>
      <c r="G88" s="50">
        <f>IF(D88=0,0,ABS(F88/D88))</f>
        <v>0</v>
      </c>
      <c r="H88" s="49">
        <v>0</v>
      </c>
      <c r="I88" s="49">
        <v>0</v>
      </c>
      <c r="J88" s="51" t="str">
        <f>IF(H88=0,"No plan at start",I88/H88)</f>
        <v>No plan at start</v>
      </c>
      <c r="K88" s="52">
        <f>H88-I88</f>
        <v>0</v>
      </c>
      <c r="L88" s="49">
        <v>0</v>
      </c>
      <c r="M88" s="49">
        <f>I88+L88</f>
        <v>0</v>
      </c>
      <c r="N88" s="49">
        <f>M88-H88</f>
        <v>0</v>
      </c>
      <c r="O88" s="50" t="str">
        <f>IF(H88=0,"No plan at start",M88/H88)</f>
        <v>No plan at start</v>
      </c>
      <c r="P88" s="53"/>
      <c r="Q88" s="54"/>
      <c r="R88" s="55"/>
      <c r="S88" s="55"/>
    </row>
    <row r="89" spans="1:19" s="10" customFormat="1" hidden="1" outlineLevel="2" x14ac:dyDescent="0.2">
      <c r="A89" s="11"/>
      <c r="B89" s="49" t="s">
        <v>67</v>
      </c>
      <c r="C89" s="49" t="s">
        <v>59</v>
      </c>
      <c r="D89" s="49">
        <v>0</v>
      </c>
      <c r="E89" s="49">
        <v>0</v>
      </c>
      <c r="F89" s="49">
        <f>E89-D89</f>
        <v>0</v>
      </c>
      <c r="G89" s="50">
        <f>IF(D89=0,0,ABS(F89/D89))</f>
        <v>0</v>
      </c>
      <c r="H89" s="49">
        <v>0</v>
      </c>
      <c r="I89" s="49">
        <v>0</v>
      </c>
      <c r="J89" s="51" t="str">
        <f>IF(H89=0,"No plan at start",I89/H89)</f>
        <v>No plan at start</v>
      </c>
      <c r="K89" s="52">
        <f>H89-I89</f>
        <v>0</v>
      </c>
      <c r="L89" s="49">
        <v>0</v>
      </c>
      <c r="M89" s="49">
        <f>I89+L89</f>
        <v>0</v>
      </c>
      <c r="N89" s="49">
        <f>M89-H89</f>
        <v>0</v>
      </c>
      <c r="O89" s="50" t="str">
        <f>IF(H89=0,"No plan at start",M89/H89)</f>
        <v>No plan at start</v>
      </c>
      <c r="P89" s="53"/>
      <c r="Q89" s="54"/>
      <c r="R89" s="55"/>
      <c r="S89" s="55"/>
    </row>
    <row r="90" spans="1:19" s="10" customFormat="1" hidden="1" outlineLevel="2" x14ac:dyDescent="0.2">
      <c r="A90" s="11"/>
      <c r="B90" s="49" t="s">
        <v>67</v>
      </c>
      <c r="C90" s="49" t="s">
        <v>60</v>
      </c>
      <c r="D90" s="49">
        <v>0</v>
      </c>
      <c r="E90" s="49">
        <v>0</v>
      </c>
      <c r="F90" s="49">
        <f>E90-D90</f>
        <v>0</v>
      </c>
      <c r="G90" s="50">
        <f>IF(D90=0,0,ABS(F90/D90))</f>
        <v>0</v>
      </c>
      <c r="H90" s="49">
        <v>0</v>
      </c>
      <c r="I90" s="49">
        <v>0</v>
      </c>
      <c r="J90" s="51" t="str">
        <f>IF(H90=0,"No plan at start",I90/H90)</f>
        <v>No plan at start</v>
      </c>
      <c r="K90" s="52">
        <f>H90-I90</f>
        <v>0</v>
      </c>
      <c r="L90" s="49">
        <v>0</v>
      </c>
      <c r="M90" s="49">
        <f>I90+L90</f>
        <v>0</v>
      </c>
      <c r="N90" s="49">
        <f>M90-H90</f>
        <v>0</v>
      </c>
      <c r="O90" s="50" t="str">
        <f>IF(H90=0,"No plan at start",M90/H90)</f>
        <v>No plan at start</v>
      </c>
      <c r="P90" s="53"/>
      <c r="Q90" s="54"/>
      <c r="R90" s="55"/>
      <c r="S90" s="55"/>
    </row>
    <row r="91" spans="1:19" s="10" customFormat="1" hidden="1" outlineLevel="2" x14ac:dyDescent="0.2">
      <c r="A91" s="11"/>
      <c r="B91" s="49" t="s">
        <v>67</v>
      </c>
      <c r="C91" s="49" t="s">
        <v>61</v>
      </c>
      <c r="D91" s="49">
        <v>0</v>
      </c>
      <c r="E91" s="49">
        <v>0</v>
      </c>
      <c r="F91" s="49">
        <f>E91-D91</f>
        <v>0</v>
      </c>
      <c r="G91" s="50">
        <f>IF(D91=0,0,ABS(F91/D91))</f>
        <v>0</v>
      </c>
      <c r="H91" s="49">
        <v>0</v>
      </c>
      <c r="I91" s="49">
        <v>0</v>
      </c>
      <c r="J91" s="51" t="str">
        <f>IF(H91=0,"No plan at start",I91/H91)</f>
        <v>No plan at start</v>
      </c>
      <c r="K91" s="52">
        <f>H91-I91</f>
        <v>0</v>
      </c>
      <c r="L91" s="49">
        <v>0</v>
      </c>
      <c r="M91" s="49">
        <f>I91+L91</f>
        <v>0</v>
      </c>
      <c r="N91" s="49">
        <f>M91-H91</f>
        <v>0</v>
      </c>
      <c r="O91" s="50" t="str">
        <f>IF(H91=0,"No plan at start",M91/H91)</f>
        <v>No plan at start</v>
      </c>
      <c r="P91" s="53"/>
      <c r="Q91" s="54"/>
      <c r="R91" s="55"/>
      <c r="S91" s="55"/>
    </row>
    <row r="92" spans="1:19" s="10" customFormat="1" hidden="1" outlineLevel="2" x14ac:dyDescent="0.2">
      <c r="A92" s="11"/>
      <c r="B92" s="49" t="s">
        <v>67</v>
      </c>
      <c r="C92" s="49" t="s">
        <v>62</v>
      </c>
      <c r="D92" s="49">
        <v>0</v>
      </c>
      <c r="E92" s="49">
        <v>0</v>
      </c>
      <c r="F92" s="49">
        <f>E92-D92</f>
        <v>0</v>
      </c>
      <c r="G92" s="50">
        <f>IF(D92=0,0,ABS(F92/D92))</f>
        <v>0</v>
      </c>
      <c r="H92" s="49">
        <v>0</v>
      </c>
      <c r="I92" s="49">
        <v>0</v>
      </c>
      <c r="J92" s="51" t="str">
        <f>IF(H92=0,"No plan at start",I92/H92)</f>
        <v>No plan at start</v>
      </c>
      <c r="K92" s="52">
        <f>H92-I92</f>
        <v>0</v>
      </c>
      <c r="L92" s="49">
        <v>0</v>
      </c>
      <c r="M92" s="49">
        <f>I92+L92</f>
        <v>0</v>
      </c>
      <c r="N92" s="49">
        <f>M92-H92</f>
        <v>0</v>
      </c>
      <c r="O92" s="50" t="str">
        <f>IF(H92=0,"No plan at start",M92/H92)</f>
        <v>No plan at start</v>
      </c>
      <c r="P92" s="53"/>
      <c r="Q92" s="54"/>
      <c r="R92" s="55"/>
      <c r="S92" s="55"/>
    </row>
    <row r="93" spans="1:19" s="10" customFormat="1" outlineLevel="1" collapsed="1" x14ac:dyDescent="0.2">
      <c r="A93" s="11"/>
      <c r="B93" s="56" t="s">
        <v>106</v>
      </c>
      <c r="C93" s="49"/>
      <c r="D93" s="49">
        <f>SUBTOTAL(9,D81:D92)</f>
        <v>0</v>
      </c>
      <c r="E93" s="49">
        <f>SUBTOTAL(9,E81:E92)</f>
        <v>0</v>
      </c>
      <c r="F93" s="49">
        <f>SUBTOTAL(9,F81:F92)</f>
        <v>0</v>
      </c>
      <c r="G93" s="50">
        <f>IF(D93=0,0,ABS(F93/D93))</f>
        <v>0</v>
      </c>
      <c r="H93" s="49">
        <f>SUBTOTAL(9,H81:H92)</f>
        <v>0</v>
      </c>
      <c r="I93" s="49">
        <f>SUBTOTAL(9,I81:I92)</f>
        <v>0</v>
      </c>
      <c r="J93" s="51" t="str">
        <f>IF(H93=0,"No plan at start",I93/H93)</f>
        <v>No plan at start</v>
      </c>
      <c r="K93" s="52">
        <f>SUBTOTAL(9,K81:K92)</f>
        <v>0</v>
      </c>
      <c r="L93" s="49">
        <f>SUBTOTAL(9,L81:L92)</f>
        <v>0</v>
      </c>
      <c r="M93" s="49">
        <f>SUBTOTAL(9,M81:M92)</f>
        <v>0</v>
      </c>
      <c r="N93" s="49">
        <f>SUBTOTAL(9,N81:N92)</f>
        <v>0</v>
      </c>
      <c r="O93" s="50" t="str">
        <f>IF(H93=0,"No plan at start",M93/H93)</f>
        <v>No plan at start</v>
      </c>
      <c r="P93" s="53"/>
      <c r="Q93" s="54"/>
      <c r="R93" s="55"/>
      <c r="S93" s="55"/>
    </row>
    <row r="94" spans="1:19" s="10" customFormat="1" hidden="1" outlineLevel="2" x14ac:dyDescent="0.2">
      <c r="A94" s="11"/>
      <c r="B94" s="49" t="s">
        <v>68</v>
      </c>
      <c r="C94" s="49" t="s">
        <v>52</v>
      </c>
      <c r="D94" s="49">
        <v>0</v>
      </c>
      <c r="E94" s="49">
        <v>0</v>
      </c>
      <c r="F94" s="49">
        <f>E94-D94</f>
        <v>0</v>
      </c>
      <c r="G94" s="50">
        <f>IF(D94=0,0,ABS(F94/D94))</f>
        <v>0</v>
      </c>
      <c r="H94" s="49">
        <v>0</v>
      </c>
      <c r="I94" s="49">
        <v>0</v>
      </c>
      <c r="J94" s="51" t="str">
        <f>IF(H94=0,"No plan at start",I94/H94)</f>
        <v>No plan at start</v>
      </c>
      <c r="K94" s="52">
        <f>H94-I94</f>
        <v>0</v>
      </c>
      <c r="L94" s="49">
        <v>0</v>
      </c>
      <c r="M94" s="49">
        <f>I94+L94</f>
        <v>0</v>
      </c>
      <c r="N94" s="49">
        <f>M94-H94</f>
        <v>0</v>
      </c>
      <c r="O94" s="50" t="str">
        <f>IF(H94=0,"No plan at start",M94/H94)</f>
        <v>No plan at start</v>
      </c>
      <c r="P94" s="53"/>
      <c r="Q94" s="54"/>
      <c r="R94" s="55"/>
      <c r="S94" s="55"/>
    </row>
    <row r="95" spans="1:19" s="10" customFormat="1" hidden="1" outlineLevel="2" x14ac:dyDescent="0.2">
      <c r="A95" s="11"/>
      <c r="B95" s="49" t="s">
        <v>68</v>
      </c>
      <c r="C95" s="49" t="s">
        <v>53</v>
      </c>
      <c r="D95" s="49">
        <v>0</v>
      </c>
      <c r="E95" s="49">
        <v>0</v>
      </c>
      <c r="F95" s="49">
        <f>E95-D95</f>
        <v>0</v>
      </c>
      <c r="G95" s="50">
        <f>IF(D95=0,0,ABS(F95/D95))</f>
        <v>0</v>
      </c>
      <c r="H95" s="49">
        <v>0</v>
      </c>
      <c r="I95" s="49">
        <v>0</v>
      </c>
      <c r="J95" s="51" t="str">
        <f>IF(H95=0,"No plan at start",I95/H95)</f>
        <v>No plan at start</v>
      </c>
      <c r="K95" s="52">
        <f>H95-I95</f>
        <v>0</v>
      </c>
      <c r="L95" s="49">
        <v>0</v>
      </c>
      <c r="M95" s="49">
        <f>I95+L95</f>
        <v>0</v>
      </c>
      <c r="N95" s="49">
        <f>M95-H95</f>
        <v>0</v>
      </c>
      <c r="O95" s="50" t="str">
        <f>IF(H95=0,"No plan at start",M95/H95)</f>
        <v>No plan at start</v>
      </c>
      <c r="P95" s="53"/>
      <c r="Q95" s="54"/>
      <c r="R95" s="55"/>
      <c r="S95" s="55"/>
    </row>
    <row r="96" spans="1:19" s="10" customFormat="1" hidden="1" outlineLevel="2" x14ac:dyDescent="0.2">
      <c r="A96" s="11"/>
      <c r="B96" s="49" t="s">
        <v>68</v>
      </c>
      <c r="C96" s="49" t="s">
        <v>54</v>
      </c>
      <c r="D96" s="49">
        <v>0</v>
      </c>
      <c r="E96" s="49">
        <v>0</v>
      </c>
      <c r="F96" s="49">
        <f>E96-D96</f>
        <v>0</v>
      </c>
      <c r="G96" s="50">
        <f>IF(D96=0,0,ABS(F96/D96))</f>
        <v>0</v>
      </c>
      <c r="H96" s="49">
        <v>0</v>
      </c>
      <c r="I96" s="49">
        <v>0</v>
      </c>
      <c r="J96" s="51" t="str">
        <f>IF(H96=0,"No plan at start",I96/H96)</f>
        <v>No plan at start</v>
      </c>
      <c r="K96" s="52">
        <f>H96-I96</f>
        <v>0</v>
      </c>
      <c r="L96" s="49">
        <v>0</v>
      </c>
      <c r="M96" s="49">
        <f>I96+L96</f>
        <v>0</v>
      </c>
      <c r="N96" s="49">
        <f>M96-H96</f>
        <v>0</v>
      </c>
      <c r="O96" s="50" t="str">
        <f>IF(H96=0,"No plan at start",M96/H96)</f>
        <v>No plan at start</v>
      </c>
      <c r="P96" s="53"/>
      <c r="Q96" s="54"/>
      <c r="R96" s="55"/>
      <c r="S96" s="55"/>
    </row>
    <row r="97" spans="1:19" s="10" customFormat="1" hidden="1" outlineLevel="2" x14ac:dyDescent="0.2">
      <c r="A97" s="11"/>
      <c r="B97" s="49" t="s">
        <v>68</v>
      </c>
      <c r="C97" s="49" t="s">
        <v>55</v>
      </c>
      <c r="D97" s="49">
        <v>0</v>
      </c>
      <c r="E97" s="49">
        <v>0</v>
      </c>
      <c r="F97" s="49">
        <f>E97-D97</f>
        <v>0</v>
      </c>
      <c r="G97" s="50">
        <f>IF(D97=0,0,ABS(F97/D97))</f>
        <v>0</v>
      </c>
      <c r="H97" s="49">
        <v>0</v>
      </c>
      <c r="I97" s="49">
        <v>0</v>
      </c>
      <c r="J97" s="51" t="str">
        <f>IF(H97=0,"No plan at start",I97/H97)</f>
        <v>No plan at start</v>
      </c>
      <c r="K97" s="52">
        <f>H97-I97</f>
        <v>0</v>
      </c>
      <c r="L97" s="49">
        <v>0</v>
      </c>
      <c r="M97" s="49">
        <f>I97+L97</f>
        <v>0</v>
      </c>
      <c r="N97" s="49">
        <f>M97-H97</f>
        <v>0</v>
      </c>
      <c r="O97" s="50" t="str">
        <f>IF(H97=0,"No plan at start",M97/H97)</f>
        <v>No plan at start</v>
      </c>
      <c r="P97" s="53"/>
      <c r="Q97" s="54"/>
      <c r="R97" s="55"/>
      <c r="S97" s="55"/>
    </row>
    <row r="98" spans="1:19" s="10" customFormat="1" hidden="1" outlineLevel="2" x14ac:dyDescent="0.2">
      <c r="A98" s="11"/>
      <c r="B98" s="49" t="s">
        <v>68</v>
      </c>
      <c r="C98" s="49" t="s">
        <v>56</v>
      </c>
      <c r="D98" s="49">
        <v>0</v>
      </c>
      <c r="E98" s="49">
        <v>0</v>
      </c>
      <c r="F98" s="49">
        <f>E98-D98</f>
        <v>0</v>
      </c>
      <c r="G98" s="50">
        <f>IF(D98=0,0,ABS(F98/D98))</f>
        <v>0</v>
      </c>
      <c r="H98" s="49">
        <v>0</v>
      </c>
      <c r="I98" s="49">
        <v>0</v>
      </c>
      <c r="J98" s="51" t="str">
        <f>IF(H98=0,"No plan at start",I98/H98)</f>
        <v>No plan at start</v>
      </c>
      <c r="K98" s="52">
        <f>H98-I98</f>
        <v>0</v>
      </c>
      <c r="L98" s="49">
        <v>0</v>
      </c>
      <c r="M98" s="49">
        <f>I98+L98</f>
        <v>0</v>
      </c>
      <c r="N98" s="49">
        <f>M98-H98</f>
        <v>0</v>
      </c>
      <c r="O98" s="50" t="str">
        <f>IF(H98=0,"No plan at start",M98/H98)</f>
        <v>No plan at start</v>
      </c>
      <c r="P98" s="53"/>
      <c r="Q98" s="54"/>
      <c r="R98" s="55"/>
      <c r="S98" s="55"/>
    </row>
    <row r="99" spans="1:19" s="10" customFormat="1" hidden="1" outlineLevel="2" x14ac:dyDescent="0.2">
      <c r="A99" s="11"/>
      <c r="B99" s="49" t="s">
        <v>68</v>
      </c>
      <c r="C99" s="49" t="s">
        <v>57</v>
      </c>
      <c r="D99" s="49">
        <v>0</v>
      </c>
      <c r="E99" s="49">
        <v>0</v>
      </c>
      <c r="F99" s="49">
        <f>E99-D99</f>
        <v>0</v>
      </c>
      <c r="G99" s="50">
        <f>IF(D99=0,0,ABS(F99/D99))</f>
        <v>0</v>
      </c>
      <c r="H99" s="49">
        <v>0</v>
      </c>
      <c r="I99" s="49">
        <v>0</v>
      </c>
      <c r="J99" s="51" t="str">
        <f>IF(H99=0,"No plan at start",I99/H99)</f>
        <v>No plan at start</v>
      </c>
      <c r="K99" s="52">
        <f>H99-I99</f>
        <v>0</v>
      </c>
      <c r="L99" s="49">
        <v>0</v>
      </c>
      <c r="M99" s="49">
        <f>I99+L99</f>
        <v>0</v>
      </c>
      <c r="N99" s="49">
        <f>M99-H99</f>
        <v>0</v>
      </c>
      <c r="O99" s="50" t="str">
        <f>IF(H99=0,"No plan at start",M99/H99)</f>
        <v>No plan at start</v>
      </c>
      <c r="P99" s="53"/>
      <c r="Q99" s="54"/>
      <c r="R99" s="55"/>
      <c r="S99" s="55"/>
    </row>
    <row r="100" spans="1:19" s="10" customFormat="1" hidden="1" outlineLevel="2" x14ac:dyDescent="0.2">
      <c r="A100" s="11"/>
      <c r="B100" s="49" t="s">
        <v>68</v>
      </c>
      <c r="C100" s="49" t="s">
        <v>48</v>
      </c>
      <c r="D100" s="49">
        <v>0</v>
      </c>
      <c r="E100" s="49">
        <v>0</v>
      </c>
      <c r="F100" s="49">
        <f>E100-D100</f>
        <v>0</v>
      </c>
      <c r="G100" s="50">
        <f>IF(D100=0,0,ABS(F100/D100))</f>
        <v>0</v>
      </c>
      <c r="H100" s="49">
        <v>0</v>
      </c>
      <c r="I100" s="49">
        <v>0</v>
      </c>
      <c r="J100" s="51" t="str">
        <f>IF(H100=0,"No plan at start",I100/H100)</f>
        <v>No plan at start</v>
      </c>
      <c r="K100" s="52">
        <f>H100-I100</f>
        <v>0</v>
      </c>
      <c r="L100" s="49">
        <v>0</v>
      </c>
      <c r="M100" s="49">
        <f>I100+L100</f>
        <v>0</v>
      </c>
      <c r="N100" s="49">
        <f>M100-H100</f>
        <v>0</v>
      </c>
      <c r="O100" s="50" t="str">
        <f>IF(H100=0,"No plan at start",M100/H100)</f>
        <v>No plan at start</v>
      </c>
      <c r="P100" s="53"/>
      <c r="Q100" s="54"/>
      <c r="R100" s="55"/>
      <c r="S100" s="55"/>
    </row>
    <row r="101" spans="1:19" s="10" customFormat="1" hidden="1" outlineLevel="2" x14ac:dyDescent="0.2">
      <c r="A101" s="11"/>
      <c r="B101" s="49" t="s">
        <v>68</v>
      </c>
      <c r="C101" s="49" t="s">
        <v>58</v>
      </c>
      <c r="D101" s="49">
        <v>80</v>
      </c>
      <c r="E101" s="49">
        <v>0</v>
      </c>
      <c r="F101" s="49">
        <f>E101-D101</f>
        <v>-80</v>
      </c>
      <c r="G101" s="50">
        <f>IF(D101=0,0,ABS(F101/D101))</f>
        <v>1</v>
      </c>
      <c r="H101" s="49">
        <v>2042.3999999999996</v>
      </c>
      <c r="I101" s="49">
        <v>14.75</v>
      </c>
      <c r="J101" s="51">
        <f>IF(H101=0,"No plan at start",I101/H101)</f>
        <v>7.2218958088523322E-3</v>
      </c>
      <c r="K101" s="52">
        <f>H101-I101</f>
        <v>2027.6499999999996</v>
      </c>
      <c r="L101" s="49">
        <v>0</v>
      </c>
      <c r="M101" s="49">
        <f>I101+L101</f>
        <v>14.75</v>
      </c>
      <c r="N101" s="49">
        <f>M101-H101</f>
        <v>-2027.6499999999996</v>
      </c>
      <c r="O101" s="50">
        <f>IF(H101=0,"No plan at start",M101/H101)</f>
        <v>7.2218958088523322E-3</v>
      </c>
      <c r="P101" s="53"/>
      <c r="Q101" s="54"/>
      <c r="R101" s="55"/>
      <c r="S101" s="55"/>
    </row>
    <row r="102" spans="1:19" s="10" customFormat="1" hidden="1" outlineLevel="2" x14ac:dyDescent="0.2">
      <c r="A102" s="11"/>
      <c r="B102" s="49" t="s">
        <v>68</v>
      </c>
      <c r="C102" s="49" t="s">
        <v>59</v>
      </c>
      <c r="D102" s="49">
        <v>0</v>
      </c>
      <c r="E102" s="49">
        <v>0</v>
      </c>
      <c r="F102" s="49">
        <f>E102-D102</f>
        <v>0</v>
      </c>
      <c r="G102" s="50">
        <f>IF(D102=0,0,ABS(F102/D102))</f>
        <v>0</v>
      </c>
      <c r="H102" s="49">
        <v>0</v>
      </c>
      <c r="I102" s="49">
        <v>0</v>
      </c>
      <c r="J102" s="51" t="str">
        <f>IF(H102=0,"No plan at start",I102/H102)</f>
        <v>No plan at start</v>
      </c>
      <c r="K102" s="52">
        <f>H102-I102</f>
        <v>0</v>
      </c>
      <c r="L102" s="49">
        <v>0</v>
      </c>
      <c r="M102" s="49">
        <f>I102+L102</f>
        <v>0</v>
      </c>
      <c r="N102" s="49">
        <f>M102-H102</f>
        <v>0</v>
      </c>
      <c r="O102" s="50" t="str">
        <f>IF(H102=0,"No plan at start",M102/H102)</f>
        <v>No plan at start</v>
      </c>
      <c r="P102" s="53"/>
      <c r="Q102" s="54"/>
      <c r="R102" s="55"/>
      <c r="S102" s="55"/>
    </row>
    <row r="103" spans="1:19" s="10" customFormat="1" hidden="1" outlineLevel="2" x14ac:dyDescent="0.2">
      <c r="A103" s="11"/>
      <c r="B103" s="49" t="s">
        <v>68</v>
      </c>
      <c r="C103" s="49" t="s">
        <v>60</v>
      </c>
      <c r="D103" s="49">
        <v>0</v>
      </c>
      <c r="E103" s="49">
        <v>0</v>
      </c>
      <c r="F103" s="49">
        <f>E103-D103</f>
        <v>0</v>
      </c>
      <c r="G103" s="50">
        <f>IF(D103=0,0,ABS(F103/D103))</f>
        <v>0</v>
      </c>
      <c r="H103" s="49">
        <v>0</v>
      </c>
      <c r="I103" s="49">
        <v>0</v>
      </c>
      <c r="J103" s="51" t="str">
        <f>IF(H103=0,"No plan at start",I103/H103)</f>
        <v>No plan at start</v>
      </c>
      <c r="K103" s="52">
        <f>H103-I103</f>
        <v>0</v>
      </c>
      <c r="L103" s="49">
        <v>0</v>
      </c>
      <c r="M103" s="49">
        <f>I103+L103</f>
        <v>0</v>
      </c>
      <c r="N103" s="49">
        <f>M103-H103</f>
        <v>0</v>
      </c>
      <c r="O103" s="50" t="str">
        <f>IF(H103=0,"No plan at start",M103/H103)</f>
        <v>No plan at start</v>
      </c>
      <c r="P103" s="53"/>
      <c r="Q103" s="54"/>
      <c r="R103" s="55"/>
      <c r="S103" s="55"/>
    </row>
    <row r="104" spans="1:19" s="10" customFormat="1" hidden="1" outlineLevel="2" x14ac:dyDescent="0.2">
      <c r="A104" s="11"/>
      <c r="B104" s="49" t="s">
        <v>68</v>
      </c>
      <c r="C104" s="49" t="s">
        <v>61</v>
      </c>
      <c r="D104" s="49">
        <v>0</v>
      </c>
      <c r="E104" s="49">
        <v>0</v>
      </c>
      <c r="F104" s="49">
        <f>E104-D104</f>
        <v>0</v>
      </c>
      <c r="G104" s="50">
        <f>IF(D104=0,0,ABS(F104/D104))</f>
        <v>0</v>
      </c>
      <c r="H104" s="49">
        <v>0</v>
      </c>
      <c r="I104" s="49">
        <v>0</v>
      </c>
      <c r="J104" s="51" t="str">
        <f>IF(H104=0,"No plan at start",I104/H104)</f>
        <v>No plan at start</v>
      </c>
      <c r="K104" s="52">
        <f>H104-I104</f>
        <v>0</v>
      </c>
      <c r="L104" s="49">
        <v>0</v>
      </c>
      <c r="M104" s="49">
        <f>I104+L104</f>
        <v>0</v>
      </c>
      <c r="N104" s="49">
        <f>M104-H104</f>
        <v>0</v>
      </c>
      <c r="O104" s="50" t="str">
        <f>IF(H104=0,"No plan at start",M104/H104)</f>
        <v>No plan at start</v>
      </c>
      <c r="P104" s="53"/>
      <c r="Q104" s="54"/>
      <c r="R104" s="55"/>
      <c r="S104" s="55"/>
    </row>
    <row r="105" spans="1:19" s="10" customFormat="1" hidden="1" outlineLevel="2" x14ac:dyDescent="0.2">
      <c r="A105" s="11"/>
      <c r="B105" s="49" t="s">
        <v>68</v>
      </c>
      <c r="C105" s="49" t="s">
        <v>62</v>
      </c>
      <c r="D105" s="49">
        <v>0</v>
      </c>
      <c r="E105" s="49">
        <v>0</v>
      </c>
      <c r="F105" s="49">
        <f>E105-D105</f>
        <v>0</v>
      </c>
      <c r="G105" s="50">
        <f>IF(D105=0,0,ABS(F105/D105))</f>
        <v>0</v>
      </c>
      <c r="H105" s="49">
        <v>0</v>
      </c>
      <c r="I105" s="49">
        <v>0</v>
      </c>
      <c r="J105" s="51" t="str">
        <f>IF(H105=0,"No plan at start",I105/H105)</f>
        <v>No plan at start</v>
      </c>
      <c r="K105" s="52">
        <f>H105-I105</f>
        <v>0</v>
      </c>
      <c r="L105" s="49">
        <v>0</v>
      </c>
      <c r="M105" s="49">
        <f>I105+L105</f>
        <v>0</v>
      </c>
      <c r="N105" s="49">
        <f>M105-H105</f>
        <v>0</v>
      </c>
      <c r="O105" s="50" t="str">
        <f>IF(H105=0,"No plan at start",M105/H105)</f>
        <v>No plan at start</v>
      </c>
      <c r="P105" s="53"/>
      <c r="Q105" s="54"/>
      <c r="R105" s="55"/>
      <c r="S105" s="55"/>
    </row>
    <row r="106" spans="1:19" s="10" customFormat="1" outlineLevel="1" collapsed="1" x14ac:dyDescent="0.2">
      <c r="A106" s="11"/>
      <c r="B106" s="56" t="s">
        <v>107</v>
      </c>
      <c r="C106" s="49"/>
      <c r="D106" s="49">
        <f>SUBTOTAL(9,D94:D105)</f>
        <v>80</v>
      </c>
      <c r="E106" s="49">
        <f>SUBTOTAL(9,E94:E105)</f>
        <v>0</v>
      </c>
      <c r="F106" s="49">
        <f>SUBTOTAL(9,F94:F105)</f>
        <v>-80</v>
      </c>
      <c r="G106" s="50">
        <f>IF(D106=0,0,ABS(F106/D106))</f>
        <v>1</v>
      </c>
      <c r="H106" s="49">
        <f>SUBTOTAL(9,H94:H105)</f>
        <v>2042.3999999999996</v>
      </c>
      <c r="I106" s="49">
        <f>SUBTOTAL(9,I94:I105)</f>
        <v>14.75</v>
      </c>
      <c r="J106" s="51">
        <f>IF(H106=0,"No plan at start",I106/H106)</f>
        <v>7.2218958088523322E-3</v>
      </c>
      <c r="K106" s="52">
        <f>SUBTOTAL(9,K94:K105)</f>
        <v>2027.6499999999996</v>
      </c>
      <c r="L106" s="49">
        <f>SUBTOTAL(9,L94:L105)</f>
        <v>0</v>
      </c>
      <c r="M106" s="49">
        <f>SUBTOTAL(9,M94:M105)</f>
        <v>14.75</v>
      </c>
      <c r="N106" s="49">
        <f>SUBTOTAL(9,N94:N105)</f>
        <v>-2027.6499999999996</v>
      </c>
      <c r="O106" s="50">
        <f>IF(H106=0,"No plan at start",M106/H106)</f>
        <v>7.2218958088523322E-3</v>
      </c>
      <c r="P106" s="53"/>
      <c r="Q106" s="54"/>
      <c r="R106" s="55"/>
      <c r="S106" s="55"/>
    </row>
    <row r="107" spans="1:19" s="10" customFormat="1" hidden="1" outlineLevel="2" x14ac:dyDescent="0.2">
      <c r="A107" s="11"/>
      <c r="B107" s="49" t="s">
        <v>69</v>
      </c>
      <c r="C107" s="49" t="s">
        <v>52</v>
      </c>
      <c r="D107" s="49">
        <v>0</v>
      </c>
      <c r="E107" s="49">
        <v>0</v>
      </c>
      <c r="F107" s="49">
        <f>E107-D107</f>
        <v>0</v>
      </c>
      <c r="G107" s="50">
        <f>IF(D107=0,0,ABS(F107/D107))</f>
        <v>0</v>
      </c>
      <c r="H107" s="49">
        <v>0</v>
      </c>
      <c r="I107" s="49">
        <v>70</v>
      </c>
      <c r="J107" s="51" t="str">
        <f>IF(H107=0,"No plan at start",I107/H107)</f>
        <v>No plan at start</v>
      </c>
      <c r="K107" s="52">
        <f>H107-I107</f>
        <v>-70</v>
      </c>
      <c r="L107" s="49">
        <v>0</v>
      </c>
      <c r="M107" s="49">
        <f>I107+L107</f>
        <v>70</v>
      </c>
      <c r="N107" s="49">
        <f>M107-H107</f>
        <v>70</v>
      </c>
      <c r="O107" s="50" t="str">
        <f>IF(H107=0,"No plan at start",M107/H107)</f>
        <v>No plan at start</v>
      </c>
      <c r="P107" s="53"/>
      <c r="Q107" s="54"/>
      <c r="R107" s="55"/>
      <c r="S107" s="55"/>
    </row>
    <row r="108" spans="1:19" s="10" customFormat="1" hidden="1" outlineLevel="2" x14ac:dyDescent="0.2">
      <c r="A108" s="11"/>
      <c r="B108" s="49" t="s">
        <v>69</v>
      </c>
      <c r="C108" s="49" t="s">
        <v>53</v>
      </c>
      <c r="D108" s="49">
        <v>0</v>
      </c>
      <c r="E108" s="49">
        <v>0</v>
      </c>
      <c r="F108" s="49">
        <f>E108-D108</f>
        <v>0</v>
      </c>
      <c r="G108" s="50">
        <f>IF(D108=0,0,ABS(F108/D108))</f>
        <v>0</v>
      </c>
      <c r="H108" s="49">
        <v>0</v>
      </c>
      <c r="I108" s="49">
        <v>40</v>
      </c>
      <c r="J108" s="51" t="str">
        <f>IF(H108=0,"No plan at start",I108/H108)</f>
        <v>No plan at start</v>
      </c>
      <c r="K108" s="52">
        <f>H108-I108</f>
        <v>-40</v>
      </c>
      <c r="L108" s="49">
        <v>0</v>
      </c>
      <c r="M108" s="49">
        <f>I108+L108</f>
        <v>40</v>
      </c>
      <c r="N108" s="49">
        <f>M108-H108</f>
        <v>40</v>
      </c>
      <c r="O108" s="50" t="str">
        <f>IF(H108=0,"No plan at start",M108/H108)</f>
        <v>No plan at start</v>
      </c>
      <c r="P108" s="53"/>
      <c r="Q108" s="54"/>
      <c r="R108" s="55"/>
      <c r="S108" s="55"/>
    </row>
    <row r="109" spans="1:19" s="10" customFormat="1" hidden="1" outlineLevel="2" x14ac:dyDescent="0.2">
      <c r="A109" s="11"/>
      <c r="B109" s="49" t="s">
        <v>69</v>
      </c>
      <c r="C109" s="49" t="s">
        <v>54</v>
      </c>
      <c r="D109" s="49">
        <v>0</v>
      </c>
      <c r="E109" s="49">
        <v>0</v>
      </c>
      <c r="F109" s="49">
        <f>E109-D109</f>
        <v>0</v>
      </c>
      <c r="G109" s="50">
        <f>IF(D109=0,0,ABS(F109/D109))</f>
        <v>0</v>
      </c>
      <c r="H109" s="49">
        <v>0</v>
      </c>
      <c r="I109" s="49">
        <v>0</v>
      </c>
      <c r="J109" s="51" t="str">
        <f>IF(H109=0,"No plan at start",I109/H109)</f>
        <v>No plan at start</v>
      </c>
      <c r="K109" s="52">
        <f>H109-I109</f>
        <v>0</v>
      </c>
      <c r="L109" s="49">
        <v>0</v>
      </c>
      <c r="M109" s="49">
        <f>I109+L109</f>
        <v>0</v>
      </c>
      <c r="N109" s="49">
        <f>M109-H109</f>
        <v>0</v>
      </c>
      <c r="O109" s="50" t="str">
        <f>IF(H109=0,"No plan at start",M109/H109)</f>
        <v>No plan at start</v>
      </c>
      <c r="P109" s="53"/>
      <c r="Q109" s="54"/>
      <c r="R109" s="55"/>
      <c r="S109" s="55"/>
    </row>
    <row r="110" spans="1:19" s="10" customFormat="1" hidden="1" outlineLevel="2" x14ac:dyDescent="0.2">
      <c r="A110" s="11"/>
      <c r="B110" s="49" t="s">
        <v>69</v>
      </c>
      <c r="C110" s="49" t="s">
        <v>55</v>
      </c>
      <c r="D110" s="49">
        <v>0</v>
      </c>
      <c r="E110" s="49">
        <v>0</v>
      </c>
      <c r="F110" s="49">
        <f>E110-D110</f>
        <v>0</v>
      </c>
      <c r="G110" s="50">
        <f>IF(D110=0,0,ABS(F110/D110))</f>
        <v>0</v>
      </c>
      <c r="H110" s="49">
        <v>0</v>
      </c>
      <c r="I110" s="49">
        <v>0</v>
      </c>
      <c r="J110" s="51" t="str">
        <f>IF(H110=0,"No plan at start",I110/H110)</f>
        <v>No plan at start</v>
      </c>
      <c r="K110" s="52">
        <f>H110-I110</f>
        <v>0</v>
      </c>
      <c r="L110" s="49">
        <v>0</v>
      </c>
      <c r="M110" s="49">
        <f>I110+L110</f>
        <v>0</v>
      </c>
      <c r="N110" s="49">
        <f>M110-H110</f>
        <v>0</v>
      </c>
      <c r="O110" s="50" t="str">
        <f>IF(H110=0,"No plan at start",M110/H110)</f>
        <v>No plan at start</v>
      </c>
      <c r="P110" s="53"/>
      <c r="Q110" s="54"/>
      <c r="R110" s="55"/>
      <c r="S110" s="55"/>
    </row>
    <row r="111" spans="1:19" s="10" customFormat="1" hidden="1" outlineLevel="2" x14ac:dyDescent="0.2">
      <c r="A111" s="11"/>
      <c r="B111" s="49" t="s">
        <v>69</v>
      </c>
      <c r="C111" s="49" t="s">
        <v>56</v>
      </c>
      <c r="D111" s="49">
        <v>0</v>
      </c>
      <c r="E111" s="49">
        <v>0</v>
      </c>
      <c r="F111" s="49">
        <f>E111-D111</f>
        <v>0</v>
      </c>
      <c r="G111" s="50">
        <f>IF(D111=0,0,ABS(F111/D111))</f>
        <v>0</v>
      </c>
      <c r="H111" s="49">
        <v>0</v>
      </c>
      <c r="I111" s="49">
        <v>0</v>
      </c>
      <c r="J111" s="51" t="str">
        <f>IF(H111=0,"No plan at start",I111/H111)</f>
        <v>No plan at start</v>
      </c>
      <c r="K111" s="52">
        <f>H111-I111</f>
        <v>0</v>
      </c>
      <c r="L111" s="49">
        <v>0</v>
      </c>
      <c r="M111" s="49">
        <f>I111+L111</f>
        <v>0</v>
      </c>
      <c r="N111" s="49">
        <f>M111-H111</f>
        <v>0</v>
      </c>
      <c r="O111" s="50" t="str">
        <f>IF(H111=0,"No plan at start",M111/H111)</f>
        <v>No plan at start</v>
      </c>
      <c r="P111" s="53"/>
      <c r="Q111" s="54"/>
      <c r="R111" s="55"/>
      <c r="S111" s="55"/>
    </row>
    <row r="112" spans="1:19" s="10" customFormat="1" hidden="1" outlineLevel="2" x14ac:dyDescent="0.2">
      <c r="A112" s="11"/>
      <c r="B112" s="49" t="s">
        <v>69</v>
      </c>
      <c r="C112" s="49" t="s">
        <v>57</v>
      </c>
      <c r="D112" s="49">
        <v>0</v>
      </c>
      <c r="E112" s="49">
        <v>0</v>
      </c>
      <c r="F112" s="49">
        <f>E112-D112</f>
        <v>0</v>
      </c>
      <c r="G112" s="50">
        <f>IF(D112=0,0,ABS(F112/D112))</f>
        <v>0</v>
      </c>
      <c r="H112" s="49">
        <v>0</v>
      </c>
      <c r="I112" s="49">
        <v>0</v>
      </c>
      <c r="J112" s="51" t="str">
        <f>IF(H112=0,"No plan at start",I112/H112)</f>
        <v>No plan at start</v>
      </c>
      <c r="K112" s="52">
        <f>H112-I112</f>
        <v>0</v>
      </c>
      <c r="L112" s="49">
        <v>0</v>
      </c>
      <c r="M112" s="49">
        <f>I112+L112</f>
        <v>0</v>
      </c>
      <c r="N112" s="49">
        <f>M112-H112</f>
        <v>0</v>
      </c>
      <c r="O112" s="50" t="str">
        <f>IF(H112=0,"No plan at start",M112/H112)</f>
        <v>No plan at start</v>
      </c>
      <c r="P112" s="53"/>
      <c r="Q112" s="54"/>
      <c r="R112" s="55"/>
      <c r="S112" s="55"/>
    </row>
    <row r="113" spans="1:19" s="10" customFormat="1" hidden="1" outlineLevel="2" x14ac:dyDescent="0.2">
      <c r="A113" s="11"/>
      <c r="B113" s="49" t="s">
        <v>69</v>
      </c>
      <c r="C113" s="49" t="s">
        <v>48</v>
      </c>
      <c r="D113" s="49">
        <v>0</v>
      </c>
      <c r="E113" s="49">
        <v>0</v>
      </c>
      <c r="F113" s="49">
        <f>E113-D113</f>
        <v>0</v>
      </c>
      <c r="G113" s="50">
        <f>IF(D113=0,0,ABS(F113/D113))</f>
        <v>0</v>
      </c>
      <c r="H113" s="49">
        <v>0</v>
      </c>
      <c r="I113" s="49">
        <v>0</v>
      </c>
      <c r="J113" s="51" t="str">
        <f>IF(H113=0,"No plan at start",I113/H113)</f>
        <v>No plan at start</v>
      </c>
      <c r="K113" s="52">
        <f>H113-I113</f>
        <v>0</v>
      </c>
      <c r="L113" s="49">
        <v>0</v>
      </c>
      <c r="M113" s="49">
        <f>I113+L113</f>
        <v>0</v>
      </c>
      <c r="N113" s="49">
        <f>M113-H113</f>
        <v>0</v>
      </c>
      <c r="O113" s="50" t="str">
        <f>IF(H113=0,"No plan at start",M113/H113)</f>
        <v>No plan at start</v>
      </c>
      <c r="P113" s="53"/>
      <c r="Q113" s="54"/>
      <c r="R113" s="55"/>
      <c r="S113" s="55"/>
    </row>
    <row r="114" spans="1:19" s="10" customFormat="1" hidden="1" outlineLevel="2" x14ac:dyDescent="0.2">
      <c r="A114" s="11"/>
      <c r="B114" s="49" t="s">
        <v>69</v>
      </c>
      <c r="C114" s="49" t="s">
        <v>58</v>
      </c>
      <c r="D114" s="49">
        <v>0</v>
      </c>
      <c r="E114" s="49">
        <v>0</v>
      </c>
      <c r="F114" s="49">
        <f>E114-D114</f>
        <v>0</v>
      </c>
      <c r="G114" s="50">
        <f>IF(D114=0,0,ABS(F114/D114))</f>
        <v>0</v>
      </c>
      <c r="H114" s="49">
        <v>0</v>
      </c>
      <c r="I114" s="49">
        <v>0</v>
      </c>
      <c r="J114" s="51" t="str">
        <f>IF(H114=0,"No plan at start",I114/H114)</f>
        <v>No plan at start</v>
      </c>
      <c r="K114" s="52">
        <f>H114-I114</f>
        <v>0</v>
      </c>
      <c r="L114" s="49">
        <v>0</v>
      </c>
      <c r="M114" s="49">
        <f>I114+L114</f>
        <v>0</v>
      </c>
      <c r="N114" s="49">
        <f>M114-H114</f>
        <v>0</v>
      </c>
      <c r="O114" s="50" t="str">
        <f>IF(H114=0,"No plan at start",M114/H114)</f>
        <v>No plan at start</v>
      </c>
      <c r="P114" s="53"/>
      <c r="Q114" s="54"/>
      <c r="R114" s="55"/>
      <c r="S114" s="55"/>
    </row>
    <row r="115" spans="1:19" s="10" customFormat="1" hidden="1" outlineLevel="2" x14ac:dyDescent="0.2">
      <c r="A115" s="11"/>
      <c r="B115" s="49" t="s">
        <v>69</v>
      </c>
      <c r="C115" s="49" t="s">
        <v>59</v>
      </c>
      <c r="D115" s="49">
        <v>0</v>
      </c>
      <c r="E115" s="49">
        <v>0</v>
      </c>
      <c r="F115" s="49">
        <f>E115-D115</f>
        <v>0</v>
      </c>
      <c r="G115" s="50">
        <f>IF(D115=0,0,ABS(F115/D115))</f>
        <v>0</v>
      </c>
      <c r="H115" s="49">
        <v>0</v>
      </c>
      <c r="I115" s="49">
        <v>0</v>
      </c>
      <c r="J115" s="51" t="str">
        <f>IF(H115=0,"No plan at start",I115/H115)</f>
        <v>No plan at start</v>
      </c>
      <c r="K115" s="52">
        <f>H115-I115</f>
        <v>0</v>
      </c>
      <c r="L115" s="49">
        <v>0</v>
      </c>
      <c r="M115" s="49">
        <f>I115+L115</f>
        <v>0</v>
      </c>
      <c r="N115" s="49">
        <f>M115-H115</f>
        <v>0</v>
      </c>
      <c r="O115" s="50" t="str">
        <f>IF(H115=0,"No plan at start",M115/H115)</f>
        <v>No plan at start</v>
      </c>
      <c r="P115" s="53"/>
      <c r="Q115" s="54"/>
      <c r="R115" s="55"/>
      <c r="S115" s="55"/>
    </row>
    <row r="116" spans="1:19" s="10" customFormat="1" hidden="1" outlineLevel="2" x14ac:dyDescent="0.2">
      <c r="A116" s="11"/>
      <c r="B116" s="49" t="s">
        <v>69</v>
      </c>
      <c r="C116" s="49" t="s">
        <v>60</v>
      </c>
      <c r="D116" s="49">
        <v>0</v>
      </c>
      <c r="E116" s="49">
        <v>0</v>
      </c>
      <c r="F116" s="49">
        <f>E116-D116</f>
        <v>0</v>
      </c>
      <c r="G116" s="50">
        <f>IF(D116=0,0,ABS(F116/D116))</f>
        <v>0</v>
      </c>
      <c r="H116" s="49">
        <v>0</v>
      </c>
      <c r="I116" s="49">
        <v>0</v>
      </c>
      <c r="J116" s="51" t="str">
        <f>IF(H116=0,"No plan at start",I116/H116)</f>
        <v>No plan at start</v>
      </c>
      <c r="K116" s="52">
        <f>H116-I116</f>
        <v>0</v>
      </c>
      <c r="L116" s="49">
        <v>0</v>
      </c>
      <c r="M116" s="49">
        <f>I116+L116</f>
        <v>0</v>
      </c>
      <c r="N116" s="49">
        <f>M116-H116</f>
        <v>0</v>
      </c>
      <c r="O116" s="50" t="str">
        <f>IF(H116=0,"No plan at start",M116/H116)</f>
        <v>No plan at start</v>
      </c>
      <c r="P116" s="53"/>
      <c r="Q116" s="54"/>
      <c r="R116" s="55"/>
      <c r="S116" s="55"/>
    </row>
    <row r="117" spans="1:19" s="10" customFormat="1" hidden="1" outlineLevel="2" x14ac:dyDescent="0.2">
      <c r="A117" s="11"/>
      <c r="B117" s="49" t="s">
        <v>69</v>
      </c>
      <c r="C117" s="49" t="s">
        <v>61</v>
      </c>
      <c r="D117" s="49">
        <v>0</v>
      </c>
      <c r="E117" s="49">
        <v>0</v>
      </c>
      <c r="F117" s="49">
        <f>E117-D117</f>
        <v>0</v>
      </c>
      <c r="G117" s="50">
        <f>IF(D117=0,0,ABS(F117/D117))</f>
        <v>0</v>
      </c>
      <c r="H117" s="49">
        <v>0</v>
      </c>
      <c r="I117" s="49">
        <v>0</v>
      </c>
      <c r="J117" s="51" t="str">
        <f>IF(H117=0,"No plan at start",I117/H117)</f>
        <v>No plan at start</v>
      </c>
      <c r="K117" s="52">
        <f>H117-I117</f>
        <v>0</v>
      </c>
      <c r="L117" s="49">
        <v>0</v>
      </c>
      <c r="M117" s="49">
        <f>I117+L117</f>
        <v>0</v>
      </c>
      <c r="N117" s="49">
        <f>M117-H117</f>
        <v>0</v>
      </c>
      <c r="O117" s="50" t="str">
        <f>IF(H117=0,"No plan at start",M117/H117)</f>
        <v>No plan at start</v>
      </c>
      <c r="P117" s="53"/>
      <c r="Q117" s="54"/>
      <c r="R117" s="55"/>
      <c r="S117" s="55"/>
    </row>
    <row r="118" spans="1:19" s="10" customFormat="1" hidden="1" outlineLevel="2" x14ac:dyDescent="0.2">
      <c r="A118" s="11"/>
      <c r="B118" s="49" t="s">
        <v>69</v>
      </c>
      <c r="C118" s="49" t="s">
        <v>62</v>
      </c>
      <c r="D118" s="49">
        <v>0</v>
      </c>
      <c r="E118" s="49">
        <v>0</v>
      </c>
      <c r="F118" s="49">
        <f>E118-D118</f>
        <v>0</v>
      </c>
      <c r="G118" s="50">
        <f>IF(D118=0,0,ABS(F118/D118))</f>
        <v>0</v>
      </c>
      <c r="H118" s="49">
        <v>0</v>
      </c>
      <c r="I118" s="49">
        <v>0</v>
      </c>
      <c r="J118" s="51" t="str">
        <f>IF(H118=0,"No plan at start",I118/H118)</f>
        <v>No plan at start</v>
      </c>
      <c r="K118" s="52">
        <f>H118-I118</f>
        <v>0</v>
      </c>
      <c r="L118" s="49">
        <v>0</v>
      </c>
      <c r="M118" s="49">
        <f>I118+L118</f>
        <v>0</v>
      </c>
      <c r="N118" s="49">
        <f>M118-H118</f>
        <v>0</v>
      </c>
      <c r="O118" s="50" t="str">
        <f>IF(H118=0,"No plan at start",M118/H118)</f>
        <v>No plan at start</v>
      </c>
      <c r="P118" s="53"/>
      <c r="Q118" s="54"/>
      <c r="R118" s="55"/>
      <c r="S118" s="55"/>
    </row>
    <row r="119" spans="1:19" s="10" customFormat="1" outlineLevel="1" collapsed="1" x14ac:dyDescent="0.2">
      <c r="A119" s="11"/>
      <c r="B119" s="56" t="s">
        <v>108</v>
      </c>
      <c r="C119" s="49"/>
      <c r="D119" s="49">
        <f>SUBTOTAL(9,D107:D118)</f>
        <v>0</v>
      </c>
      <c r="E119" s="49">
        <f>SUBTOTAL(9,E107:E118)</f>
        <v>0</v>
      </c>
      <c r="F119" s="49">
        <f>SUBTOTAL(9,F107:F118)</f>
        <v>0</v>
      </c>
      <c r="G119" s="50">
        <f>IF(D119=0,0,ABS(F119/D119))</f>
        <v>0</v>
      </c>
      <c r="H119" s="49">
        <f>SUBTOTAL(9,H107:H118)</f>
        <v>0</v>
      </c>
      <c r="I119" s="49">
        <f>SUBTOTAL(9,I107:I118)</f>
        <v>110</v>
      </c>
      <c r="J119" s="51" t="str">
        <f>IF(H119=0,"No plan at start",I119/H119)</f>
        <v>No plan at start</v>
      </c>
      <c r="K119" s="52">
        <f>SUBTOTAL(9,K107:K118)</f>
        <v>-110</v>
      </c>
      <c r="L119" s="49">
        <f>SUBTOTAL(9,L107:L118)</f>
        <v>0</v>
      </c>
      <c r="M119" s="49">
        <f>SUBTOTAL(9,M107:M118)</f>
        <v>110</v>
      </c>
      <c r="N119" s="49">
        <f>SUBTOTAL(9,N107:N118)</f>
        <v>110</v>
      </c>
      <c r="O119" s="50" t="str">
        <f>IF(H119=0,"No plan at start",M119/H119)</f>
        <v>No plan at start</v>
      </c>
      <c r="P119" s="53"/>
      <c r="Q119" s="54"/>
      <c r="R119" s="55"/>
      <c r="S119" s="55"/>
    </row>
    <row r="120" spans="1:19" s="10" customFormat="1" hidden="1" outlineLevel="2" x14ac:dyDescent="0.2">
      <c r="A120" s="11"/>
      <c r="B120" s="49" t="s">
        <v>70</v>
      </c>
      <c r="C120" s="49" t="s">
        <v>52</v>
      </c>
      <c r="D120" s="49">
        <v>0</v>
      </c>
      <c r="E120" s="49">
        <v>0</v>
      </c>
      <c r="F120" s="49">
        <f>E120-D120</f>
        <v>0</v>
      </c>
      <c r="G120" s="50">
        <f>IF(D120=0,0,ABS(F120/D120))</f>
        <v>0</v>
      </c>
      <c r="H120" s="49">
        <v>364.00000000000006</v>
      </c>
      <c r="I120" s="49">
        <v>0</v>
      </c>
      <c r="J120" s="51">
        <f>IF(H120=0,"No plan at start",I120/H120)</f>
        <v>0</v>
      </c>
      <c r="K120" s="52">
        <f>H120-I120</f>
        <v>364.00000000000006</v>
      </c>
      <c r="L120" s="49">
        <v>0</v>
      </c>
      <c r="M120" s="49">
        <f>I120+L120</f>
        <v>0</v>
      </c>
      <c r="N120" s="49">
        <f>M120-H120</f>
        <v>-364.00000000000006</v>
      </c>
      <c r="O120" s="50">
        <f>IF(H120=0,"No plan at start",M120/H120)</f>
        <v>0</v>
      </c>
      <c r="P120" s="53"/>
      <c r="Q120" s="54"/>
      <c r="R120" s="55"/>
      <c r="S120" s="55"/>
    </row>
    <row r="121" spans="1:19" s="10" customFormat="1" hidden="1" outlineLevel="2" x14ac:dyDescent="0.2">
      <c r="A121" s="11"/>
      <c r="B121" s="49" t="s">
        <v>70</v>
      </c>
      <c r="C121" s="49" t="s">
        <v>53</v>
      </c>
      <c r="D121" s="49">
        <v>0</v>
      </c>
      <c r="E121" s="49">
        <v>36.5</v>
      </c>
      <c r="F121" s="49">
        <f>E121-D121</f>
        <v>36.5</v>
      </c>
      <c r="G121" s="50">
        <f>IF(D121=0,0,ABS(F121/D121))</f>
        <v>0</v>
      </c>
      <c r="H121" s="49">
        <v>0</v>
      </c>
      <c r="I121" s="49">
        <v>2970.75</v>
      </c>
      <c r="J121" s="51" t="str">
        <f>IF(H121=0,"No plan at start",I121/H121)</f>
        <v>No plan at start</v>
      </c>
      <c r="K121" s="52">
        <f>H121-I121</f>
        <v>-2970.75</v>
      </c>
      <c r="L121" s="49">
        <v>343.20000000000005</v>
      </c>
      <c r="M121" s="49">
        <f>I121+L121</f>
        <v>3313.95</v>
      </c>
      <c r="N121" s="49">
        <f>M121-H121</f>
        <v>3313.95</v>
      </c>
      <c r="O121" s="50" t="str">
        <f>IF(H121=0,"No plan at start",M121/H121)</f>
        <v>No plan at start</v>
      </c>
      <c r="P121" s="53"/>
      <c r="Q121" s="54"/>
      <c r="R121" s="55"/>
      <c r="S121" s="55"/>
    </row>
    <row r="122" spans="1:19" s="10" customFormat="1" hidden="1" outlineLevel="2" x14ac:dyDescent="0.2">
      <c r="A122" s="11"/>
      <c r="B122" s="49" t="s">
        <v>70</v>
      </c>
      <c r="C122" s="49" t="s">
        <v>54</v>
      </c>
      <c r="D122" s="49">
        <v>0</v>
      </c>
      <c r="E122" s="49">
        <v>82</v>
      </c>
      <c r="F122" s="49">
        <f>E122-D122</f>
        <v>82</v>
      </c>
      <c r="G122" s="50">
        <f>IF(D122=0,0,ABS(F122/D122))</f>
        <v>0</v>
      </c>
      <c r="H122" s="49">
        <v>1028</v>
      </c>
      <c r="I122" s="49">
        <v>4021.5</v>
      </c>
      <c r="J122" s="51">
        <f>IF(H122=0,"No plan at start",I122/H122)</f>
        <v>3.911964980544747</v>
      </c>
      <c r="K122" s="52">
        <f>H122-I122</f>
        <v>-2993.5</v>
      </c>
      <c r="L122" s="49">
        <v>1248.8000000000002</v>
      </c>
      <c r="M122" s="49">
        <f>I122+L122</f>
        <v>5270.3</v>
      </c>
      <c r="N122" s="49">
        <f>M122-H122</f>
        <v>4242.3</v>
      </c>
      <c r="O122" s="50">
        <f>IF(H122=0,"No plan at start",M122/H122)</f>
        <v>5.1267509727626459</v>
      </c>
      <c r="P122" s="53"/>
      <c r="Q122" s="54"/>
      <c r="R122" s="55"/>
      <c r="S122" s="55"/>
    </row>
    <row r="123" spans="1:19" s="10" customFormat="1" hidden="1" outlineLevel="2" x14ac:dyDescent="0.2">
      <c r="A123" s="11"/>
      <c r="B123" s="49" t="s">
        <v>70</v>
      </c>
      <c r="C123" s="49" t="s">
        <v>55</v>
      </c>
      <c r="D123" s="49">
        <v>0</v>
      </c>
      <c r="E123" s="49">
        <v>0</v>
      </c>
      <c r="F123" s="49">
        <f>E123-D123</f>
        <v>0</v>
      </c>
      <c r="G123" s="50">
        <f>IF(D123=0,0,ABS(F123/D123))</f>
        <v>0</v>
      </c>
      <c r="H123" s="49">
        <v>0</v>
      </c>
      <c r="I123" s="49">
        <v>0</v>
      </c>
      <c r="J123" s="51" t="str">
        <f>IF(H123=0,"No plan at start",I123/H123)</f>
        <v>No plan at start</v>
      </c>
      <c r="K123" s="52">
        <f>H123-I123</f>
        <v>0</v>
      </c>
      <c r="L123" s="49">
        <v>0</v>
      </c>
      <c r="M123" s="49">
        <f>I123+L123</f>
        <v>0</v>
      </c>
      <c r="N123" s="49">
        <f>M123-H123</f>
        <v>0</v>
      </c>
      <c r="O123" s="50" t="str">
        <f>IF(H123=0,"No plan at start",M123/H123)</f>
        <v>No plan at start</v>
      </c>
      <c r="P123" s="53"/>
      <c r="Q123" s="54"/>
      <c r="R123" s="55"/>
      <c r="S123" s="55"/>
    </row>
    <row r="124" spans="1:19" s="10" customFormat="1" hidden="1" outlineLevel="2" x14ac:dyDescent="0.2">
      <c r="A124" s="11"/>
      <c r="B124" s="49" t="s">
        <v>70</v>
      </c>
      <c r="C124" s="49" t="s">
        <v>56</v>
      </c>
      <c r="D124" s="49">
        <v>0</v>
      </c>
      <c r="E124" s="49">
        <v>0</v>
      </c>
      <c r="F124" s="49">
        <f>E124-D124</f>
        <v>0</v>
      </c>
      <c r="G124" s="50">
        <f>IF(D124=0,0,ABS(F124/D124))</f>
        <v>0</v>
      </c>
      <c r="H124" s="49">
        <v>0</v>
      </c>
      <c r="I124" s="49">
        <v>0</v>
      </c>
      <c r="J124" s="51" t="str">
        <f>IF(H124=0,"No plan at start",I124/H124)</f>
        <v>No plan at start</v>
      </c>
      <c r="K124" s="52">
        <f>H124-I124</f>
        <v>0</v>
      </c>
      <c r="L124" s="49">
        <v>0</v>
      </c>
      <c r="M124" s="49">
        <f>I124+L124</f>
        <v>0</v>
      </c>
      <c r="N124" s="49">
        <f>M124-H124</f>
        <v>0</v>
      </c>
      <c r="O124" s="50" t="str">
        <f>IF(H124=0,"No plan at start",M124/H124)</f>
        <v>No plan at start</v>
      </c>
      <c r="P124" s="53"/>
      <c r="Q124" s="54"/>
      <c r="R124" s="55"/>
      <c r="S124" s="55"/>
    </row>
    <row r="125" spans="1:19" s="10" customFormat="1" hidden="1" outlineLevel="2" x14ac:dyDescent="0.2">
      <c r="A125" s="11"/>
      <c r="B125" s="49" t="s">
        <v>70</v>
      </c>
      <c r="C125" s="49" t="s">
        <v>57</v>
      </c>
      <c r="D125" s="49">
        <v>0</v>
      </c>
      <c r="E125" s="49">
        <v>0</v>
      </c>
      <c r="F125" s="49">
        <f>E125-D125</f>
        <v>0</v>
      </c>
      <c r="G125" s="50">
        <f>IF(D125=0,0,ABS(F125/D125))</f>
        <v>0</v>
      </c>
      <c r="H125" s="49">
        <v>0</v>
      </c>
      <c r="I125" s="49">
        <v>0</v>
      </c>
      <c r="J125" s="51" t="str">
        <f>IF(H125=0,"No plan at start",I125/H125)</f>
        <v>No plan at start</v>
      </c>
      <c r="K125" s="52">
        <f>H125-I125</f>
        <v>0</v>
      </c>
      <c r="L125" s="49">
        <v>0</v>
      </c>
      <c r="M125" s="49">
        <f>I125+L125</f>
        <v>0</v>
      </c>
      <c r="N125" s="49">
        <f>M125-H125</f>
        <v>0</v>
      </c>
      <c r="O125" s="50" t="str">
        <f>IF(H125=0,"No plan at start",M125/H125)</f>
        <v>No plan at start</v>
      </c>
      <c r="P125" s="53"/>
      <c r="Q125" s="54"/>
      <c r="R125" s="55"/>
      <c r="S125" s="55"/>
    </row>
    <row r="126" spans="1:19" s="10" customFormat="1" hidden="1" outlineLevel="2" x14ac:dyDescent="0.2">
      <c r="A126" s="11"/>
      <c r="B126" s="49" t="s">
        <v>70</v>
      </c>
      <c r="C126" s="49" t="s">
        <v>48</v>
      </c>
      <c r="D126" s="49">
        <v>0</v>
      </c>
      <c r="E126" s="49">
        <v>0</v>
      </c>
      <c r="F126" s="49">
        <f>E126-D126</f>
        <v>0</v>
      </c>
      <c r="G126" s="50">
        <f>IF(D126=0,0,ABS(F126/D126))</f>
        <v>0</v>
      </c>
      <c r="H126" s="49">
        <v>0</v>
      </c>
      <c r="I126" s="49">
        <v>0</v>
      </c>
      <c r="J126" s="51" t="str">
        <f>IF(H126=0,"No plan at start",I126/H126)</f>
        <v>No plan at start</v>
      </c>
      <c r="K126" s="52">
        <f>H126-I126</f>
        <v>0</v>
      </c>
      <c r="L126" s="49">
        <v>0</v>
      </c>
      <c r="M126" s="49">
        <f>I126+L126</f>
        <v>0</v>
      </c>
      <c r="N126" s="49">
        <f>M126-H126</f>
        <v>0</v>
      </c>
      <c r="O126" s="50" t="str">
        <f>IF(H126=0,"No plan at start",M126/H126)</f>
        <v>No plan at start</v>
      </c>
      <c r="P126" s="53"/>
      <c r="Q126" s="54"/>
      <c r="R126" s="55"/>
      <c r="S126" s="55"/>
    </row>
    <row r="127" spans="1:19" s="10" customFormat="1" hidden="1" outlineLevel="2" x14ac:dyDescent="0.2">
      <c r="A127" s="11"/>
      <c r="B127" s="49" t="s">
        <v>70</v>
      </c>
      <c r="C127" s="49" t="s">
        <v>58</v>
      </c>
      <c r="D127" s="49">
        <v>0</v>
      </c>
      <c r="E127" s="49">
        <v>0</v>
      </c>
      <c r="F127" s="49">
        <f>E127-D127</f>
        <v>0</v>
      </c>
      <c r="G127" s="50">
        <f>IF(D127=0,0,ABS(F127/D127))</f>
        <v>0</v>
      </c>
      <c r="H127" s="49">
        <v>0</v>
      </c>
      <c r="I127" s="49">
        <v>0</v>
      </c>
      <c r="J127" s="51" t="str">
        <f>IF(H127=0,"No plan at start",I127/H127)</f>
        <v>No plan at start</v>
      </c>
      <c r="K127" s="52">
        <f>H127-I127</f>
        <v>0</v>
      </c>
      <c r="L127" s="49">
        <v>0</v>
      </c>
      <c r="M127" s="49">
        <f>I127+L127</f>
        <v>0</v>
      </c>
      <c r="N127" s="49">
        <f>M127-H127</f>
        <v>0</v>
      </c>
      <c r="O127" s="50" t="str">
        <f>IF(H127=0,"No plan at start",M127/H127)</f>
        <v>No plan at start</v>
      </c>
      <c r="P127" s="53"/>
      <c r="Q127" s="54"/>
      <c r="R127" s="55"/>
      <c r="S127" s="55"/>
    </row>
    <row r="128" spans="1:19" s="10" customFormat="1" hidden="1" outlineLevel="2" x14ac:dyDescent="0.2">
      <c r="A128" s="11"/>
      <c r="B128" s="49" t="s">
        <v>70</v>
      </c>
      <c r="C128" s="49" t="s">
        <v>59</v>
      </c>
      <c r="D128" s="49">
        <v>0</v>
      </c>
      <c r="E128" s="49">
        <v>0</v>
      </c>
      <c r="F128" s="49">
        <f>E128-D128</f>
        <v>0</v>
      </c>
      <c r="G128" s="50">
        <f>IF(D128=0,0,ABS(F128/D128))</f>
        <v>0</v>
      </c>
      <c r="H128" s="49">
        <v>0</v>
      </c>
      <c r="I128" s="49">
        <v>0</v>
      </c>
      <c r="J128" s="51" t="str">
        <f>IF(H128=0,"No plan at start",I128/H128)</f>
        <v>No plan at start</v>
      </c>
      <c r="K128" s="52">
        <f>H128-I128</f>
        <v>0</v>
      </c>
      <c r="L128" s="49">
        <v>0</v>
      </c>
      <c r="M128" s="49">
        <f>I128+L128</f>
        <v>0</v>
      </c>
      <c r="N128" s="49">
        <f>M128-H128</f>
        <v>0</v>
      </c>
      <c r="O128" s="50" t="str">
        <f>IF(H128=0,"No plan at start",M128/H128)</f>
        <v>No plan at start</v>
      </c>
      <c r="P128" s="53"/>
      <c r="Q128" s="54"/>
      <c r="R128" s="55"/>
      <c r="S128" s="55"/>
    </row>
    <row r="129" spans="1:19" s="10" customFormat="1" hidden="1" outlineLevel="2" x14ac:dyDescent="0.2">
      <c r="A129" s="11"/>
      <c r="B129" s="49" t="s">
        <v>70</v>
      </c>
      <c r="C129" s="49" t="s">
        <v>60</v>
      </c>
      <c r="D129" s="49">
        <v>0</v>
      </c>
      <c r="E129" s="49">
        <v>0</v>
      </c>
      <c r="F129" s="49">
        <f>E129-D129</f>
        <v>0</v>
      </c>
      <c r="G129" s="50">
        <f>IF(D129=0,0,ABS(F129/D129))</f>
        <v>0</v>
      </c>
      <c r="H129" s="49">
        <v>0</v>
      </c>
      <c r="I129" s="49">
        <v>0</v>
      </c>
      <c r="J129" s="51" t="str">
        <f>IF(H129=0,"No plan at start",I129/H129)</f>
        <v>No plan at start</v>
      </c>
      <c r="K129" s="52">
        <f>H129-I129</f>
        <v>0</v>
      </c>
      <c r="L129" s="49">
        <v>0</v>
      </c>
      <c r="M129" s="49">
        <f>I129+L129</f>
        <v>0</v>
      </c>
      <c r="N129" s="49">
        <f>M129-H129</f>
        <v>0</v>
      </c>
      <c r="O129" s="50" t="str">
        <f>IF(H129=0,"No plan at start",M129/H129)</f>
        <v>No plan at start</v>
      </c>
      <c r="P129" s="53"/>
      <c r="Q129" s="54"/>
      <c r="R129" s="55"/>
      <c r="S129" s="55"/>
    </row>
    <row r="130" spans="1:19" s="10" customFormat="1" hidden="1" outlineLevel="2" x14ac:dyDescent="0.2">
      <c r="A130" s="11"/>
      <c r="B130" s="49" t="s">
        <v>70</v>
      </c>
      <c r="C130" s="49" t="s">
        <v>61</v>
      </c>
      <c r="D130" s="49">
        <v>0</v>
      </c>
      <c r="E130" s="49">
        <v>0</v>
      </c>
      <c r="F130" s="49">
        <f>E130-D130</f>
        <v>0</v>
      </c>
      <c r="G130" s="50">
        <f>IF(D130=0,0,ABS(F130/D130))</f>
        <v>0</v>
      </c>
      <c r="H130" s="49">
        <v>0</v>
      </c>
      <c r="I130" s="49">
        <v>0</v>
      </c>
      <c r="J130" s="51" t="str">
        <f>IF(H130=0,"No plan at start",I130/H130)</f>
        <v>No plan at start</v>
      </c>
      <c r="K130" s="52">
        <f>H130-I130</f>
        <v>0</v>
      </c>
      <c r="L130" s="49">
        <v>0</v>
      </c>
      <c r="M130" s="49">
        <f>I130+L130</f>
        <v>0</v>
      </c>
      <c r="N130" s="49">
        <f>M130-H130</f>
        <v>0</v>
      </c>
      <c r="O130" s="50" t="str">
        <f>IF(H130=0,"No plan at start",M130/H130)</f>
        <v>No plan at start</v>
      </c>
      <c r="P130" s="53"/>
      <c r="Q130" s="54"/>
      <c r="R130" s="55"/>
      <c r="S130" s="55"/>
    </row>
    <row r="131" spans="1:19" s="10" customFormat="1" hidden="1" outlineLevel="2" x14ac:dyDescent="0.2">
      <c r="A131" s="11"/>
      <c r="B131" s="49" t="s">
        <v>70</v>
      </c>
      <c r="C131" s="49" t="s">
        <v>62</v>
      </c>
      <c r="D131" s="49">
        <v>0</v>
      </c>
      <c r="E131" s="49">
        <v>0</v>
      </c>
      <c r="F131" s="49">
        <f>E131-D131</f>
        <v>0</v>
      </c>
      <c r="G131" s="50">
        <f>IF(D131=0,0,ABS(F131/D131))</f>
        <v>0</v>
      </c>
      <c r="H131" s="49">
        <v>0</v>
      </c>
      <c r="I131" s="49">
        <v>2</v>
      </c>
      <c r="J131" s="51" t="str">
        <f>IF(H131=0,"No plan at start",I131/H131)</f>
        <v>No plan at start</v>
      </c>
      <c r="K131" s="52">
        <f>H131-I131</f>
        <v>-2</v>
      </c>
      <c r="L131" s="49">
        <v>0</v>
      </c>
      <c r="M131" s="49">
        <f>I131+L131</f>
        <v>2</v>
      </c>
      <c r="N131" s="49">
        <f>M131-H131</f>
        <v>2</v>
      </c>
      <c r="O131" s="50" t="str">
        <f>IF(H131=0,"No plan at start",M131/H131)</f>
        <v>No plan at start</v>
      </c>
      <c r="P131" s="53"/>
      <c r="Q131" s="54"/>
      <c r="R131" s="55"/>
      <c r="S131" s="55"/>
    </row>
    <row r="132" spans="1:19" s="10" customFormat="1" outlineLevel="1" collapsed="1" x14ac:dyDescent="0.2">
      <c r="A132" s="11"/>
      <c r="B132" s="56" t="s">
        <v>109</v>
      </c>
      <c r="C132" s="49"/>
      <c r="D132" s="49">
        <f>SUBTOTAL(9,D120:D131)</f>
        <v>0</v>
      </c>
      <c r="E132" s="49">
        <f>SUBTOTAL(9,E120:E131)</f>
        <v>118.5</v>
      </c>
      <c r="F132" s="49">
        <f>SUBTOTAL(9,F120:F131)</f>
        <v>118.5</v>
      </c>
      <c r="G132" s="50">
        <f>IF(D132=0,0,ABS(F132/D132))</f>
        <v>0</v>
      </c>
      <c r="H132" s="49">
        <f>SUBTOTAL(9,H120:H131)</f>
        <v>1392</v>
      </c>
      <c r="I132" s="49">
        <f>SUBTOTAL(9,I120:I131)</f>
        <v>6994.25</v>
      </c>
      <c r="J132" s="51">
        <f>IF(H132=0,"No plan at start",I132/H132)</f>
        <v>5.0246048850574709</v>
      </c>
      <c r="K132" s="52">
        <f>SUBTOTAL(9,K120:K131)</f>
        <v>-5602.25</v>
      </c>
      <c r="L132" s="49">
        <f>SUBTOTAL(9,L120:L131)</f>
        <v>1592.0000000000002</v>
      </c>
      <c r="M132" s="49">
        <f>SUBTOTAL(9,M120:M131)</f>
        <v>8586.25</v>
      </c>
      <c r="N132" s="49">
        <f>SUBTOTAL(9,N120:N131)</f>
        <v>7194.25</v>
      </c>
      <c r="O132" s="50">
        <f>IF(H132=0,"No plan at start",M132/H132)</f>
        <v>6.1682830459770113</v>
      </c>
      <c r="P132" s="53"/>
      <c r="Q132" s="54"/>
      <c r="R132" s="55"/>
      <c r="S132" s="55"/>
    </row>
    <row r="133" spans="1:19" s="10" customFormat="1" hidden="1" outlineLevel="2" x14ac:dyDescent="0.2">
      <c r="A133" s="11"/>
      <c r="B133" s="49" t="s">
        <v>71</v>
      </c>
      <c r="C133" s="49" t="s">
        <v>52</v>
      </c>
      <c r="D133" s="49">
        <v>0</v>
      </c>
      <c r="E133" s="49">
        <v>0</v>
      </c>
      <c r="F133" s="49">
        <f>E133-D133</f>
        <v>0</v>
      </c>
      <c r="G133" s="50">
        <f>IF(D133=0,0,ABS(F133/D133))</f>
        <v>0</v>
      </c>
      <c r="H133" s="49">
        <v>568.79999999999995</v>
      </c>
      <c r="I133" s="49">
        <v>374</v>
      </c>
      <c r="J133" s="51">
        <f>IF(H133=0,"No plan at start",I133/H133)</f>
        <v>0.65752461322081579</v>
      </c>
      <c r="K133" s="52">
        <f>H133-I133</f>
        <v>194.79999999999995</v>
      </c>
      <c r="L133" s="49">
        <v>0</v>
      </c>
      <c r="M133" s="49">
        <f>I133+L133</f>
        <v>374</v>
      </c>
      <c r="N133" s="49">
        <f>M133-H133</f>
        <v>-194.79999999999995</v>
      </c>
      <c r="O133" s="50">
        <f>IF(H133=0,"No plan at start",M133/H133)</f>
        <v>0.65752461322081579</v>
      </c>
      <c r="P133" s="53"/>
      <c r="Q133" s="54"/>
      <c r="R133" s="55"/>
      <c r="S133" s="55"/>
    </row>
    <row r="134" spans="1:19" s="10" customFormat="1" hidden="1" outlineLevel="2" x14ac:dyDescent="0.2">
      <c r="A134" s="11"/>
      <c r="B134" s="49" t="s">
        <v>71</v>
      </c>
      <c r="C134" s="49" t="s">
        <v>53</v>
      </c>
      <c r="D134" s="49">
        <v>0</v>
      </c>
      <c r="E134" s="49">
        <v>0</v>
      </c>
      <c r="F134" s="49">
        <f>E134-D134</f>
        <v>0</v>
      </c>
      <c r="G134" s="50">
        <f>IF(D134=0,0,ABS(F134/D134))</f>
        <v>0</v>
      </c>
      <c r="H134" s="49">
        <v>0</v>
      </c>
      <c r="I134" s="49">
        <v>209</v>
      </c>
      <c r="J134" s="51" t="str">
        <f>IF(H134=0,"No plan at start",I134/H134)</f>
        <v>No plan at start</v>
      </c>
      <c r="K134" s="52">
        <f>H134-I134</f>
        <v>-209</v>
      </c>
      <c r="L134" s="49">
        <v>0</v>
      </c>
      <c r="M134" s="49">
        <f>I134+L134</f>
        <v>209</v>
      </c>
      <c r="N134" s="49">
        <f>M134-H134</f>
        <v>209</v>
      </c>
      <c r="O134" s="50" t="str">
        <f>IF(H134=0,"No plan at start",M134/H134)</f>
        <v>No plan at start</v>
      </c>
      <c r="P134" s="53"/>
      <c r="Q134" s="54"/>
      <c r="R134" s="55"/>
      <c r="S134" s="55"/>
    </row>
    <row r="135" spans="1:19" s="10" customFormat="1" hidden="1" outlineLevel="2" x14ac:dyDescent="0.2">
      <c r="A135" s="11"/>
      <c r="B135" s="49" t="s">
        <v>71</v>
      </c>
      <c r="C135" s="49" t="s">
        <v>54</v>
      </c>
      <c r="D135" s="49">
        <v>0</v>
      </c>
      <c r="E135" s="49">
        <v>0</v>
      </c>
      <c r="F135" s="49">
        <f>E135-D135</f>
        <v>0</v>
      </c>
      <c r="G135" s="50">
        <f>IF(D135=0,0,ABS(F135/D135))</f>
        <v>0</v>
      </c>
      <c r="H135" s="49">
        <v>0</v>
      </c>
      <c r="I135" s="49">
        <v>0</v>
      </c>
      <c r="J135" s="51" t="str">
        <f>IF(H135=0,"No plan at start",I135/H135)</f>
        <v>No plan at start</v>
      </c>
      <c r="K135" s="52">
        <f>H135-I135</f>
        <v>0</v>
      </c>
      <c r="L135" s="49">
        <v>0</v>
      </c>
      <c r="M135" s="49">
        <f>I135+L135</f>
        <v>0</v>
      </c>
      <c r="N135" s="49">
        <f>M135-H135</f>
        <v>0</v>
      </c>
      <c r="O135" s="50" t="str">
        <f>IF(H135=0,"No plan at start",M135/H135)</f>
        <v>No plan at start</v>
      </c>
      <c r="P135" s="53"/>
      <c r="Q135" s="54"/>
      <c r="R135" s="55"/>
      <c r="S135" s="55"/>
    </row>
    <row r="136" spans="1:19" s="10" customFormat="1" hidden="1" outlineLevel="2" x14ac:dyDescent="0.2">
      <c r="A136" s="11"/>
      <c r="B136" s="49" t="s">
        <v>71</v>
      </c>
      <c r="C136" s="49" t="s">
        <v>55</v>
      </c>
      <c r="D136" s="49">
        <v>0</v>
      </c>
      <c r="E136" s="49">
        <v>0</v>
      </c>
      <c r="F136" s="49">
        <f>E136-D136</f>
        <v>0</v>
      </c>
      <c r="G136" s="50">
        <f>IF(D136=0,0,ABS(F136/D136))</f>
        <v>0</v>
      </c>
      <c r="H136" s="49">
        <v>0</v>
      </c>
      <c r="I136" s="49">
        <v>0</v>
      </c>
      <c r="J136" s="51" t="str">
        <f>IF(H136=0,"No plan at start",I136/H136)</f>
        <v>No plan at start</v>
      </c>
      <c r="K136" s="52">
        <f>H136-I136</f>
        <v>0</v>
      </c>
      <c r="L136" s="49">
        <v>0</v>
      </c>
      <c r="M136" s="49">
        <f>I136+L136</f>
        <v>0</v>
      </c>
      <c r="N136" s="49">
        <f>M136-H136</f>
        <v>0</v>
      </c>
      <c r="O136" s="50" t="str">
        <f>IF(H136=0,"No plan at start",M136/H136)</f>
        <v>No plan at start</v>
      </c>
      <c r="P136" s="53"/>
      <c r="Q136" s="54"/>
      <c r="R136" s="55"/>
      <c r="S136" s="55"/>
    </row>
    <row r="137" spans="1:19" s="10" customFormat="1" hidden="1" outlineLevel="2" x14ac:dyDescent="0.2">
      <c r="A137" s="11"/>
      <c r="B137" s="49" t="s">
        <v>71</v>
      </c>
      <c r="C137" s="49" t="s">
        <v>56</v>
      </c>
      <c r="D137" s="49">
        <v>0</v>
      </c>
      <c r="E137" s="49">
        <v>0</v>
      </c>
      <c r="F137" s="49">
        <f>E137-D137</f>
        <v>0</v>
      </c>
      <c r="G137" s="50">
        <f>IF(D137=0,0,ABS(F137/D137))</f>
        <v>0</v>
      </c>
      <c r="H137" s="49">
        <v>0</v>
      </c>
      <c r="I137" s="49">
        <v>0</v>
      </c>
      <c r="J137" s="51" t="str">
        <f>IF(H137=0,"No plan at start",I137/H137)</f>
        <v>No plan at start</v>
      </c>
      <c r="K137" s="52">
        <f>H137-I137</f>
        <v>0</v>
      </c>
      <c r="L137" s="49">
        <v>0</v>
      </c>
      <c r="M137" s="49">
        <f>I137+L137</f>
        <v>0</v>
      </c>
      <c r="N137" s="49">
        <f>M137-H137</f>
        <v>0</v>
      </c>
      <c r="O137" s="50" t="str">
        <f>IF(H137=0,"No plan at start",M137/H137)</f>
        <v>No plan at start</v>
      </c>
      <c r="P137" s="53"/>
      <c r="Q137" s="54"/>
      <c r="R137" s="55"/>
      <c r="S137" s="55"/>
    </row>
    <row r="138" spans="1:19" s="10" customFormat="1" hidden="1" outlineLevel="2" x14ac:dyDescent="0.2">
      <c r="A138" s="11"/>
      <c r="B138" s="49" t="s">
        <v>71</v>
      </c>
      <c r="C138" s="49" t="s">
        <v>57</v>
      </c>
      <c r="D138" s="49">
        <v>0</v>
      </c>
      <c r="E138" s="49">
        <v>0</v>
      </c>
      <c r="F138" s="49">
        <f>E138-D138</f>
        <v>0</v>
      </c>
      <c r="G138" s="50">
        <f>IF(D138=0,0,ABS(F138/D138))</f>
        <v>0</v>
      </c>
      <c r="H138" s="49">
        <v>0</v>
      </c>
      <c r="I138" s="49">
        <v>0</v>
      </c>
      <c r="J138" s="51" t="str">
        <f>IF(H138=0,"No plan at start",I138/H138)</f>
        <v>No plan at start</v>
      </c>
      <c r="K138" s="52">
        <f>H138-I138</f>
        <v>0</v>
      </c>
      <c r="L138" s="49">
        <v>0</v>
      </c>
      <c r="M138" s="49">
        <f>I138+L138</f>
        <v>0</v>
      </c>
      <c r="N138" s="49">
        <f>M138-H138</f>
        <v>0</v>
      </c>
      <c r="O138" s="50" t="str">
        <f>IF(H138=0,"No plan at start",M138/H138)</f>
        <v>No plan at start</v>
      </c>
      <c r="P138" s="53"/>
      <c r="Q138" s="54"/>
      <c r="R138" s="55"/>
      <c r="S138" s="55"/>
    </row>
    <row r="139" spans="1:19" s="10" customFormat="1" hidden="1" outlineLevel="2" x14ac:dyDescent="0.2">
      <c r="A139" s="11"/>
      <c r="B139" s="49" t="s">
        <v>71</v>
      </c>
      <c r="C139" s="49" t="s">
        <v>48</v>
      </c>
      <c r="D139" s="49">
        <v>0</v>
      </c>
      <c r="E139" s="49">
        <v>0</v>
      </c>
      <c r="F139" s="49">
        <f>E139-D139</f>
        <v>0</v>
      </c>
      <c r="G139" s="50">
        <f>IF(D139=0,0,ABS(F139/D139))</f>
        <v>0</v>
      </c>
      <c r="H139" s="49">
        <v>0</v>
      </c>
      <c r="I139" s="49">
        <v>0</v>
      </c>
      <c r="J139" s="51" t="str">
        <f>IF(H139=0,"No plan at start",I139/H139)</f>
        <v>No plan at start</v>
      </c>
      <c r="K139" s="52">
        <f>H139-I139</f>
        <v>0</v>
      </c>
      <c r="L139" s="49">
        <v>0</v>
      </c>
      <c r="M139" s="49">
        <f>I139+L139</f>
        <v>0</v>
      </c>
      <c r="N139" s="49">
        <f>M139-H139</f>
        <v>0</v>
      </c>
      <c r="O139" s="50" t="str">
        <f>IF(H139=0,"No plan at start",M139/H139)</f>
        <v>No plan at start</v>
      </c>
      <c r="P139" s="53"/>
      <c r="Q139" s="54"/>
      <c r="R139" s="55"/>
      <c r="S139" s="55"/>
    </row>
    <row r="140" spans="1:19" s="10" customFormat="1" hidden="1" outlineLevel="2" x14ac:dyDescent="0.2">
      <c r="A140" s="11"/>
      <c r="B140" s="49" t="s">
        <v>71</v>
      </c>
      <c r="C140" s="49" t="s">
        <v>58</v>
      </c>
      <c r="D140" s="49">
        <v>0</v>
      </c>
      <c r="E140" s="49">
        <v>0</v>
      </c>
      <c r="F140" s="49">
        <f>E140-D140</f>
        <v>0</v>
      </c>
      <c r="G140" s="50">
        <f>IF(D140=0,0,ABS(F140/D140))</f>
        <v>0</v>
      </c>
      <c r="H140" s="49">
        <v>0</v>
      </c>
      <c r="I140" s="49">
        <v>0</v>
      </c>
      <c r="J140" s="51" t="str">
        <f>IF(H140=0,"No plan at start",I140/H140)</f>
        <v>No plan at start</v>
      </c>
      <c r="K140" s="52">
        <f>H140-I140</f>
        <v>0</v>
      </c>
      <c r="L140" s="49">
        <v>0</v>
      </c>
      <c r="M140" s="49">
        <f>I140+L140</f>
        <v>0</v>
      </c>
      <c r="N140" s="49">
        <f>M140-H140</f>
        <v>0</v>
      </c>
      <c r="O140" s="50" t="str">
        <f>IF(H140=0,"No plan at start",M140/H140)</f>
        <v>No plan at start</v>
      </c>
      <c r="P140" s="53"/>
      <c r="Q140" s="54"/>
      <c r="R140" s="55"/>
      <c r="S140" s="55"/>
    </row>
    <row r="141" spans="1:19" s="10" customFormat="1" hidden="1" outlineLevel="2" x14ac:dyDescent="0.2">
      <c r="A141" s="11"/>
      <c r="B141" s="49" t="s">
        <v>71</v>
      </c>
      <c r="C141" s="49" t="s">
        <v>59</v>
      </c>
      <c r="D141" s="49">
        <v>0</v>
      </c>
      <c r="E141" s="49">
        <v>0</v>
      </c>
      <c r="F141" s="49">
        <f>E141-D141</f>
        <v>0</v>
      </c>
      <c r="G141" s="50">
        <f>IF(D141=0,0,ABS(F141/D141))</f>
        <v>0</v>
      </c>
      <c r="H141" s="49">
        <v>0</v>
      </c>
      <c r="I141" s="49">
        <v>0</v>
      </c>
      <c r="J141" s="51" t="str">
        <f>IF(H141=0,"No plan at start",I141/H141)</f>
        <v>No plan at start</v>
      </c>
      <c r="K141" s="52">
        <f>H141-I141</f>
        <v>0</v>
      </c>
      <c r="L141" s="49">
        <v>0</v>
      </c>
      <c r="M141" s="49">
        <f>I141+L141</f>
        <v>0</v>
      </c>
      <c r="N141" s="49">
        <f>M141-H141</f>
        <v>0</v>
      </c>
      <c r="O141" s="50" t="str">
        <f>IF(H141=0,"No plan at start",M141/H141)</f>
        <v>No plan at start</v>
      </c>
      <c r="P141" s="53"/>
      <c r="Q141" s="54"/>
      <c r="R141" s="55"/>
      <c r="S141" s="55"/>
    </row>
    <row r="142" spans="1:19" s="10" customFormat="1" hidden="1" outlineLevel="2" x14ac:dyDescent="0.2">
      <c r="A142" s="11"/>
      <c r="B142" s="49" t="s">
        <v>71</v>
      </c>
      <c r="C142" s="49" t="s">
        <v>60</v>
      </c>
      <c r="D142" s="49">
        <v>0</v>
      </c>
      <c r="E142" s="49">
        <v>0</v>
      </c>
      <c r="F142" s="49">
        <f>E142-D142</f>
        <v>0</v>
      </c>
      <c r="G142" s="50">
        <f>IF(D142=0,0,ABS(F142/D142))</f>
        <v>0</v>
      </c>
      <c r="H142" s="49">
        <v>0</v>
      </c>
      <c r="I142" s="49">
        <v>0</v>
      </c>
      <c r="J142" s="51" t="str">
        <f>IF(H142=0,"No plan at start",I142/H142)</f>
        <v>No plan at start</v>
      </c>
      <c r="K142" s="52">
        <f>H142-I142</f>
        <v>0</v>
      </c>
      <c r="L142" s="49">
        <v>0</v>
      </c>
      <c r="M142" s="49">
        <f>I142+L142</f>
        <v>0</v>
      </c>
      <c r="N142" s="49">
        <f>M142-H142</f>
        <v>0</v>
      </c>
      <c r="O142" s="50" t="str">
        <f>IF(H142=0,"No plan at start",M142/H142)</f>
        <v>No plan at start</v>
      </c>
      <c r="P142" s="53"/>
      <c r="Q142" s="54"/>
      <c r="R142" s="55"/>
      <c r="S142" s="55"/>
    </row>
    <row r="143" spans="1:19" s="10" customFormat="1" hidden="1" outlineLevel="2" x14ac:dyDescent="0.2">
      <c r="A143" s="11"/>
      <c r="B143" s="49" t="s">
        <v>71</v>
      </c>
      <c r="C143" s="49" t="s">
        <v>61</v>
      </c>
      <c r="D143" s="49">
        <v>0</v>
      </c>
      <c r="E143" s="49">
        <v>0</v>
      </c>
      <c r="F143" s="49">
        <f>E143-D143</f>
        <v>0</v>
      </c>
      <c r="G143" s="50">
        <f>IF(D143=0,0,ABS(F143/D143))</f>
        <v>0</v>
      </c>
      <c r="H143" s="49">
        <v>0</v>
      </c>
      <c r="I143" s="49">
        <v>0</v>
      </c>
      <c r="J143" s="51" t="str">
        <f>IF(H143=0,"No plan at start",I143/H143)</f>
        <v>No plan at start</v>
      </c>
      <c r="K143" s="52">
        <f>H143-I143</f>
        <v>0</v>
      </c>
      <c r="L143" s="49">
        <v>0</v>
      </c>
      <c r="M143" s="49">
        <f>I143+L143</f>
        <v>0</v>
      </c>
      <c r="N143" s="49">
        <f>M143-H143</f>
        <v>0</v>
      </c>
      <c r="O143" s="50" t="str">
        <f>IF(H143=0,"No plan at start",M143/H143)</f>
        <v>No plan at start</v>
      </c>
      <c r="P143" s="53"/>
      <c r="Q143" s="54"/>
      <c r="R143" s="55"/>
      <c r="S143" s="55"/>
    </row>
    <row r="144" spans="1:19" s="10" customFormat="1" hidden="1" outlineLevel="2" x14ac:dyDescent="0.2">
      <c r="A144" s="11"/>
      <c r="B144" s="49" t="s">
        <v>71</v>
      </c>
      <c r="C144" s="49" t="s">
        <v>62</v>
      </c>
      <c r="D144" s="49">
        <v>0</v>
      </c>
      <c r="E144" s="49">
        <v>0</v>
      </c>
      <c r="F144" s="49">
        <f>E144-D144</f>
        <v>0</v>
      </c>
      <c r="G144" s="50">
        <f>IF(D144=0,0,ABS(F144/D144))</f>
        <v>0</v>
      </c>
      <c r="H144" s="49">
        <v>0</v>
      </c>
      <c r="I144" s="49">
        <v>0</v>
      </c>
      <c r="J144" s="51" t="str">
        <f>IF(H144=0,"No plan at start",I144/H144)</f>
        <v>No plan at start</v>
      </c>
      <c r="K144" s="52">
        <f>H144-I144</f>
        <v>0</v>
      </c>
      <c r="L144" s="49">
        <v>0</v>
      </c>
      <c r="M144" s="49">
        <f>I144+L144</f>
        <v>0</v>
      </c>
      <c r="N144" s="49">
        <f>M144-H144</f>
        <v>0</v>
      </c>
      <c r="O144" s="50" t="str">
        <f>IF(H144=0,"No plan at start",M144/H144)</f>
        <v>No plan at start</v>
      </c>
      <c r="P144" s="53"/>
      <c r="Q144" s="54"/>
      <c r="R144" s="55"/>
      <c r="S144" s="55"/>
    </row>
    <row r="145" spans="1:19" s="10" customFormat="1" outlineLevel="1" collapsed="1" x14ac:dyDescent="0.2">
      <c r="A145" s="11"/>
      <c r="B145" s="56" t="s">
        <v>110</v>
      </c>
      <c r="C145" s="49"/>
      <c r="D145" s="49">
        <f>SUBTOTAL(9,D133:D144)</f>
        <v>0</v>
      </c>
      <c r="E145" s="49">
        <f>SUBTOTAL(9,E133:E144)</f>
        <v>0</v>
      </c>
      <c r="F145" s="49">
        <f>SUBTOTAL(9,F133:F144)</f>
        <v>0</v>
      </c>
      <c r="G145" s="50">
        <f>IF(D145=0,0,ABS(F145/D145))</f>
        <v>0</v>
      </c>
      <c r="H145" s="49">
        <f>SUBTOTAL(9,H133:H144)</f>
        <v>568.79999999999995</v>
      </c>
      <c r="I145" s="49">
        <f>SUBTOTAL(9,I133:I144)</f>
        <v>583</v>
      </c>
      <c r="J145" s="51">
        <f>IF(H145=0,"No plan at start",I145/H145)</f>
        <v>1.0249648382559775</v>
      </c>
      <c r="K145" s="52">
        <f>SUBTOTAL(9,K133:K144)</f>
        <v>-14.200000000000045</v>
      </c>
      <c r="L145" s="49">
        <f>SUBTOTAL(9,L133:L144)</f>
        <v>0</v>
      </c>
      <c r="M145" s="49">
        <f>SUBTOTAL(9,M133:M144)</f>
        <v>583</v>
      </c>
      <c r="N145" s="49">
        <f>SUBTOTAL(9,N133:N144)</f>
        <v>14.200000000000045</v>
      </c>
      <c r="O145" s="50">
        <f>IF(H145=0,"No plan at start",M145/H145)</f>
        <v>1.0249648382559775</v>
      </c>
      <c r="P145" s="53"/>
      <c r="Q145" s="54"/>
      <c r="R145" s="55"/>
      <c r="S145" s="55"/>
    </row>
    <row r="146" spans="1:19" s="10" customFormat="1" hidden="1" outlineLevel="2" x14ac:dyDescent="0.2">
      <c r="A146" s="11"/>
      <c r="B146" s="49" t="s">
        <v>72</v>
      </c>
      <c r="C146" s="49" t="s">
        <v>52</v>
      </c>
      <c r="D146" s="49">
        <v>0</v>
      </c>
      <c r="E146" s="49">
        <v>0</v>
      </c>
      <c r="F146" s="49">
        <f>E146-D146</f>
        <v>0</v>
      </c>
      <c r="G146" s="50">
        <f>IF(D146=0,0,ABS(F146/D146))</f>
        <v>0</v>
      </c>
      <c r="H146" s="49">
        <v>0</v>
      </c>
      <c r="I146" s="49">
        <v>0</v>
      </c>
      <c r="J146" s="51" t="str">
        <f>IF(H146=0,"No plan at start",I146/H146)</f>
        <v>No plan at start</v>
      </c>
      <c r="K146" s="52">
        <f>H146-I146</f>
        <v>0</v>
      </c>
      <c r="L146" s="49">
        <v>0</v>
      </c>
      <c r="M146" s="49">
        <f>I146+L146</f>
        <v>0</v>
      </c>
      <c r="N146" s="49">
        <f>M146-H146</f>
        <v>0</v>
      </c>
      <c r="O146" s="50" t="str">
        <f>IF(H146=0,"No plan at start",M146/H146)</f>
        <v>No plan at start</v>
      </c>
      <c r="P146" s="53"/>
      <c r="Q146" s="54"/>
      <c r="R146" s="55"/>
      <c r="S146" s="55"/>
    </row>
    <row r="147" spans="1:19" s="10" customFormat="1" hidden="1" outlineLevel="2" x14ac:dyDescent="0.2">
      <c r="A147" s="11"/>
      <c r="B147" s="49" t="s">
        <v>72</v>
      </c>
      <c r="C147" s="49" t="s">
        <v>53</v>
      </c>
      <c r="D147" s="49">
        <v>0</v>
      </c>
      <c r="E147" s="49">
        <v>0</v>
      </c>
      <c r="F147" s="49">
        <f>E147-D147</f>
        <v>0</v>
      </c>
      <c r="G147" s="50">
        <f>IF(D147=0,0,ABS(F147/D147))</f>
        <v>0</v>
      </c>
      <c r="H147" s="49">
        <v>0</v>
      </c>
      <c r="I147" s="49">
        <v>0</v>
      </c>
      <c r="J147" s="51" t="str">
        <f>IF(H147=0,"No plan at start",I147/H147)</f>
        <v>No plan at start</v>
      </c>
      <c r="K147" s="52">
        <f>H147-I147</f>
        <v>0</v>
      </c>
      <c r="L147" s="49">
        <v>0</v>
      </c>
      <c r="M147" s="49">
        <f>I147+L147</f>
        <v>0</v>
      </c>
      <c r="N147" s="49">
        <f>M147-H147</f>
        <v>0</v>
      </c>
      <c r="O147" s="50" t="str">
        <f>IF(H147=0,"No plan at start",M147/H147)</f>
        <v>No plan at start</v>
      </c>
      <c r="P147" s="53"/>
      <c r="Q147" s="54"/>
      <c r="R147" s="55"/>
      <c r="S147" s="55"/>
    </row>
    <row r="148" spans="1:19" s="10" customFormat="1" hidden="1" outlineLevel="2" x14ac:dyDescent="0.2">
      <c r="A148" s="11"/>
      <c r="B148" s="49" t="s">
        <v>72</v>
      </c>
      <c r="C148" s="49" t="s">
        <v>54</v>
      </c>
      <c r="D148" s="49">
        <v>0</v>
      </c>
      <c r="E148" s="49">
        <v>0</v>
      </c>
      <c r="F148" s="49">
        <f>E148-D148</f>
        <v>0</v>
      </c>
      <c r="G148" s="50">
        <f>IF(D148=0,0,ABS(F148/D148))</f>
        <v>0</v>
      </c>
      <c r="H148" s="49">
        <v>0</v>
      </c>
      <c r="I148" s="49">
        <v>0</v>
      </c>
      <c r="J148" s="51" t="str">
        <f>IF(H148=0,"No plan at start",I148/H148)</f>
        <v>No plan at start</v>
      </c>
      <c r="K148" s="52">
        <f>H148-I148</f>
        <v>0</v>
      </c>
      <c r="L148" s="49">
        <v>0</v>
      </c>
      <c r="M148" s="49">
        <f>I148+L148</f>
        <v>0</v>
      </c>
      <c r="N148" s="49">
        <f>M148-H148</f>
        <v>0</v>
      </c>
      <c r="O148" s="50" t="str">
        <f>IF(H148=0,"No plan at start",M148/H148)</f>
        <v>No plan at start</v>
      </c>
      <c r="P148" s="53"/>
      <c r="Q148" s="54"/>
      <c r="R148" s="55"/>
      <c r="S148" s="55"/>
    </row>
    <row r="149" spans="1:19" s="10" customFormat="1" hidden="1" outlineLevel="2" x14ac:dyDescent="0.2">
      <c r="A149" s="11"/>
      <c r="B149" s="49" t="s">
        <v>72</v>
      </c>
      <c r="C149" s="49" t="s">
        <v>55</v>
      </c>
      <c r="D149" s="49">
        <v>0</v>
      </c>
      <c r="E149" s="49">
        <v>0</v>
      </c>
      <c r="F149" s="49">
        <f>E149-D149</f>
        <v>0</v>
      </c>
      <c r="G149" s="50">
        <f>IF(D149=0,0,ABS(F149/D149))</f>
        <v>0</v>
      </c>
      <c r="H149" s="49">
        <v>0</v>
      </c>
      <c r="I149" s="49">
        <v>0</v>
      </c>
      <c r="J149" s="51" t="str">
        <f>IF(H149=0,"No plan at start",I149/H149)</f>
        <v>No plan at start</v>
      </c>
      <c r="K149" s="52">
        <f>H149-I149</f>
        <v>0</v>
      </c>
      <c r="L149" s="49">
        <v>0</v>
      </c>
      <c r="M149" s="49">
        <f>I149+L149</f>
        <v>0</v>
      </c>
      <c r="N149" s="49">
        <f>M149-H149</f>
        <v>0</v>
      </c>
      <c r="O149" s="50" t="str">
        <f>IF(H149=0,"No plan at start",M149/H149)</f>
        <v>No plan at start</v>
      </c>
      <c r="P149" s="53"/>
      <c r="Q149" s="54"/>
      <c r="R149" s="55"/>
      <c r="S149" s="55"/>
    </row>
    <row r="150" spans="1:19" s="10" customFormat="1" hidden="1" outlineLevel="2" x14ac:dyDescent="0.2">
      <c r="A150" s="11"/>
      <c r="B150" s="49" t="s">
        <v>72</v>
      </c>
      <c r="C150" s="49" t="s">
        <v>56</v>
      </c>
      <c r="D150" s="49">
        <v>0</v>
      </c>
      <c r="E150" s="49">
        <v>0</v>
      </c>
      <c r="F150" s="49">
        <f>E150-D150</f>
        <v>0</v>
      </c>
      <c r="G150" s="50">
        <f>IF(D150=0,0,ABS(F150/D150))</f>
        <v>0</v>
      </c>
      <c r="H150" s="49">
        <v>0</v>
      </c>
      <c r="I150" s="49">
        <v>0</v>
      </c>
      <c r="J150" s="51" t="str">
        <f>IF(H150=0,"No plan at start",I150/H150)</f>
        <v>No plan at start</v>
      </c>
      <c r="K150" s="52">
        <f>H150-I150</f>
        <v>0</v>
      </c>
      <c r="L150" s="49">
        <v>0</v>
      </c>
      <c r="M150" s="49">
        <f>I150+L150</f>
        <v>0</v>
      </c>
      <c r="N150" s="49">
        <f>M150-H150</f>
        <v>0</v>
      </c>
      <c r="O150" s="50" t="str">
        <f>IF(H150=0,"No plan at start",M150/H150)</f>
        <v>No plan at start</v>
      </c>
      <c r="P150" s="53"/>
      <c r="Q150" s="54"/>
      <c r="R150" s="55"/>
      <c r="S150" s="55"/>
    </row>
    <row r="151" spans="1:19" s="10" customFormat="1" hidden="1" outlineLevel="2" x14ac:dyDescent="0.2">
      <c r="A151" s="11"/>
      <c r="B151" s="49" t="s">
        <v>72</v>
      </c>
      <c r="C151" s="49" t="s">
        <v>57</v>
      </c>
      <c r="D151" s="49">
        <v>0</v>
      </c>
      <c r="E151" s="49">
        <v>0</v>
      </c>
      <c r="F151" s="49">
        <f>E151-D151</f>
        <v>0</v>
      </c>
      <c r="G151" s="50">
        <f>IF(D151=0,0,ABS(F151/D151))</f>
        <v>0</v>
      </c>
      <c r="H151" s="49">
        <v>0</v>
      </c>
      <c r="I151" s="49">
        <v>0</v>
      </c>
      <c r="J151" s="51" t="str">
        <f>IF(H151=0,"No plan at start",I151/H151)</f>
        <v>No plan at start</v>
      </c>
      <c r="K151" s="52">
        <f>H151-I151</f>
        <v>0</v>
      </c>
      <c r="L151" s="49">
        <v>0</v>
      </c>
      <c r="M151" s="49">
        <f>I151+L151</f>
        <v>0</v>
      </c>
      <c r="N151" s="49">
        <f>M151-H151</f>
        <v>0</v>
      </c>
      <c r="O151" s="50" t="str">
        <f>IF(H151=0,"No plan at start",M151/H151)</f>
        <v>No plan at start</v>
      </c>
      <c r="P151" s="53"/>
      <c r="Q151" s="54"/>
      <c r="R151" s="55"/>
      <c r="S151" s="55"/>
    </row>
    <row r="152" spans="1:19" s="10" customFormat="1" hidden="1" outlineLevel="2" x14ac:dyDescent="0.2">
      <c r="A152" s="11"/>
      <c r="B152" s="49" t="s">
        <v>72</v>
      </c>
      <c r="C152" s="49" t="s">
        <v>48</v>
      </c>
      <c r="D152" s="49">
        <v>0</v>
      </c>
      <c r="E152" s="49">
        <v>0</v>
      </c>
      <c r="F152" s="49">
        <f>E152-D152</f>
        <v>0</v>
      </c>
      <c r="G152" s="50">
        <f>IF(D152=0,0,ABS(F152/D152))</f>
        <v>0</v>
      </c>
      <c r="H152" s="49">
        <v>0</v>
      </c>
      <c r="I152" s="49">
        <v>0</v>
      </c>
      <c r="J152" s="51" t="str">
        <f>IF(H152=0,"No plan at start",I152/H152)</f>
        <v>No plan at start</v>
      </c>
      <c r="K152" s="52">
        <f>H152-I152</f>
        <v>0</v>
      </c>
      <c r="L152" s="49">
        <v>0</v>
      </c>
      <c r="M152" s="49">
        <f>I152+L152</f>
        <v>0</v>
      </c>
      <c r="N152" s="49">
        <f>M152-H152</f>
        <v>0</v>
      </c>
      <c r="O152" s="50" t="str">
        <f>IF(H152=0,"No plan at start",M152/H152)</f>
        <v>No plan at start</v>
      </c>
      <c r="P152" s="53"/>
      <c r="Q152" s="54"/>
      <c r="R152" s="55"/>
      <c r="S152" s="55"/>
    </row>
    <row r="153" spans="1:19" s="10" customFormat="1" hidden="1" outlineLevel="2" x14ac:dyDescent="0.2">
      <c r="A153" s="11"/>
      <c r="B153" s="49" t="s">
        <v>72</v>
      </c>
      <c r="C153" s="49" t="s">
        <v>58</v>
      </c>
      <c r="D153" s="49">
        <v>0</v>
      </c>
      <c r="E153" s="49">
        <v>0</v>
      </c>
      <c r="F153" s="49">
        <f>E153-D153</f>
        <v>0</v>
      </c>
      <c r="G153" s="50">
        <f>IF(D153=0,0,ABS(F153/D153))</f>
        <v>0</v>
      </c>
      <c r="H153" s="49">
        <v>0</v>
      </c>
      <c r="I153" s="49">
        <v>0</v>
      </c>
      <c r="J153" s="51" t="str">
        <f>IF(H153=0,"No plan at start",I153/H153)</f>
        <v>No plan at start</v>
      </c>
      <c r="K153" s="52">
        <f>H153-I153</f>
        <v>0</v>
      </c>
      <c r="L153" s="49">
        <v>0</v>
      </c>
      <c r="M153" s="49">
        <f>I153+L153</f>
        <v>0</v>
      </c>
      <c r="N153" s="49">
        <f>M153-H153</f>
        <v>0</v>
      </c>
      <c r="O153" s="50" t="str">
        <f>IF(H153=0,"No plan at start",M153/H153)</f>
        <v>No plan at start</v>
      </c>
      <c r="P153" s="53"/>
      <c r="Q153" s="54"/>
      <c r="R153" s="55"/>
      <c r="S153" s="55"/>
    </row>
    <row r="154" spans="1:19" s="10" customFormat="1" hidden="1" outlineLevel="2" x14ac:dyDescent="0.2">
      <c r="A154" s="11"/>
      <c r="B154" s="49" t="s">
        <v>72</v>
      </c>
      <c r="C154" s="49" t="s">
        <v>59</v>
      </c>
      <c r="D154" s="49">
        <v>0</v>
      </c>
      <c r="E154" s="49">
        <v>0</v>
      </c>
      <c r="F154" s="49">
        <f>E154-D154</f>
        <v>0</v>
      </c>
      <c r="G154" s="50">
        <f>IF(D154=0,0,ABS(F154/D154))</f>
        <v>0</v>
      </c>
      <c r="H154" s="49">
        <v>0</v>
      </c>
      <c r="I154" s="49">
        <v>0</v>
      </c>
      <c r="J154" s="51" t="str">
        <f>IF(H154=0,"No plan at start",I154/H154)</f>
        <v>No plan at start</v>
      </c>
      <c r="K154" s="52">
        <f>H154-I154</f>
        <v>0</v>
      </c>
      <c r="L154" s="49">
        <v>0</v>
      </c>
      <c r="M154" s="49">
        <f>I154+L154</f>
        <v>0</v>
      </c>
      <c r="N154" s="49">
        <f>M154-H154</f>
        <v>0</v>
      </c>
      <c r="O154" s="50" t="str">
        <f>IF(H154=0,"No plan at start",M154/H154)</f>
        <v>No plan at start</v>
      </c>
      <c r="P154" s="53"/>
      <c r="Q154" s="54"/>
      <c r="R154" s="55"/>
      <c r="S154" s="55"/>
    </row>
    <row r="155" spans="1:19" s="10" customFormat="1" hidden="1" outlineLevel="2" x14ac:dyDescent="0.2">
      <c r="A155" s="11"/>
      <c r="B155" s="49" t="s">
        <v>72</v>
      </c>
      <c r="C155" s="49" t="s">
        <v>60</v>
      </c>
      <c r="D155" s="49">
        <v>0</v>
      </c>
      <c r="E155" s="49">
        <v>0</v>
      </c>
      <c r="F155" s="49">
        <f>E155-D155</f>
        <v>0</v>
      </c>
      <c r="G155" s="50">
        <f>IF(D155=0,0,ABS(F155/D155))</f>
        <v>0</v>
      </c>
      <c r="H155" s="49">
        <v>0</v>
      </c>
      <c r="I155" s="49">
        <v>0</v>
      </c>
      <c r="J155" s="51" t="str">
        <f>IF(H155=0,"No plan at start",I155/H155)</f>
        <v>No plan at start</v>
      </c>
      <c r="K155" s="52">
        <f>H155-I155</f>
        <v>0</v>
      </c>
      <c r="L155" s="49">
        <v>0</v>
      </c>
      <c r="M155" s="49">
        <f>I155+L155</f>
        <v>0</v>
      </c>
      <c r="N155" s="49">
        <f>M155-H155</f>
        <v>0</v>
      </c>
      <c r="O155" s="50" t="str">
        <f>IF(H155=0,"No plan at start",M155/H155)</f>
        <v>No plan at start</v>
      </c>
      <c r="P155" s="53"/>
      <c r="Q155" s="54"/>
      <c r="R155" s="55"/>
      <c r="S155" s="55"/>
    </row>
    <row r="156" spans="1:19" s="10" customFormat="1" hidden="1" outlineLevel="2" x14ac:dyDescent="0.2">
      <c r="A156" s="11"/>
      <c r="B156" s="49" t="s">
        <v>72</v>
      </c>
      <c r="C156" s="49" t="s">
        <v>61</v>
      </c>
      <c r="D156" s="49">
        <v>0</v>
      </c>
      <c r="E156" s="49">
        <v>0</v>
      </c>
      <c r="F156" s="49">
        <f>E156-D156</f>
        <v>0</v>
      </c>
      <c r="G156" s="50">
        <f>IF(D156=0,0,ABS(F156/D156))</f>
        <v>0</v>
      </c>
      <c r="H156" s="49">
        <v>0</v>
      </c>
      <c r="I156" s="49">
        <v>0</v>
      </c>
      <c r="J156" s="51" t="str">
        <f>IF(H156=0,"No plan at start",I156/H156)</f>
        <v>No plan at start</v>
      </c>
      <c r="K156" s="52">
        <f>H156-I156</f>
        <v>0</v>
      </c>
      <c r="L156" s="49">
        <v>0</v>
      </c>
      <c r="M156" s="49">
        <f>I156+L156</f>
        <v>0</v>
      </c>
      <c r="N156" s="49">
        <f>M156-H156</f>
        <v>0</v>
      </c>
      <c r="O156" s="50" t="str">
        <f>IF(H156=0,"No plan at start",M156/H156)</f>
        <v>No plan at start</v>
      </c>
      <c r="P156" s="53"/>
      <c r="Q156" s="54"/>
      <c r="R156" s="55"/>
      <c r="S156" s="55"/>
    </row>
    <row r="157" spans="1:19" s="10" customFormat="1" hidden="1" outlineLevel="2" x14ac:dyDescent="0.2">
      <c r="A157" s="11"/>
      <c r="B157" s="49" t="s">
        <v>72</v>
      </c>
      <c r="C157" s="49" t="s">
        <v>62</v>
      </c>
      <c r="D157" s="49">
        <v>0</v>
      </c>
      <c r="E157" s="49">
        <v>0</v>
      </c>
      <c r="F157" s="49">
        <f>E157-D157</f>
        <v>0</v>
      </c>
      <c r="G157" s="50">
        <f>IF(D157=0,0,ABS(F157/D157))</f>
        <v>0</v>
      </c>
      <c r="H157" s="49">
        <v>0</v>
      </c>
      <c r="I157" s="49">
        <v>0</v>
      </c>
      <c r="J157" s="51" t="str">
        <f>IF(H157=0,"No plan at start",I157/H157)</f>
        <v>No plan at start</v>
      </c>
      <c r="K157" s="52">
        <f>H157-I157</f>
        <v>0</v>
      </c>
      <c r="L157" s="49">
        <v>0</v>
      </c>
      <c r="M157" s="49">
        <f>I157+L157</f>
        <v>0</v>
      </c>
      <c r="N157" s="49">
        <f>M157-H157</f>
        <v>0</v>
      </c>
      <c r="O157" s="50" t="str">
        <f>IF(H157=0,"No plan at start",M157/H157)</f>
        <v>No plan at start</v>
      </c>
      <c r="P157" s="53"/>
      <c r="Q157" s="54"/>
      <c r="R157" s="55"/>
      <c r="S157" s="55"/>
    </row>
    <row r="158" spans="1:19" s="10" customFormat="1" outlineLevel="1" collapsed="1" x14ac:dyDescent="0.2">
      <c r="A158" s="11"/>
      <c r="B158" s="56" t="s">
        <v>111</v>
      </c>
      <c r="C158" s="49"/>
      <c r="D158" s="49">
        <f>SUBTOTAL(9,D146:D157)</f>
        <v>0</v>
      </c>
      <c r="E158" s="49">
        <f>SUBTOTAL(9,E146:E157)</f>
        <v>0</v>
      </c>
      <c r="F158" s="49">
        <f>SUBTOTAL(9,F146:F157)</f>
        <v>0</v>
      </c>
      <c r="G158" s="50">
        <f>IF(D158=0,0,ABS(F158/D158))</f>
        <v>0</v>
      </c>
      <c r="H158" s="49">
        <f>SUBTOTAL(9,H146:H157)</f>
        <v>0</v>
      </c>
      <c r="I158" s="49">
        <f>SUBTOTAL(9,I146:I157)</f>
        <v>0</v>
      </c>
      <c r="J158" s="51" t="str">
        <f>IF(H158=0,"No plan at start",I158/H158)</f>
        <v>No plan at start</v>
      </c>
      <c r="K158" s="52">
        <f>SUBTOTAL(9,K146:K157)</f>
        <v>0</v>
      </c>
      <c r="L158" s="49">
        <f>SUBTOTAL(9,L146:L157)</f>
        <v>0</v>
      </c>
      <c r="M158" s="49">
        <f>SUBTOTAL(9,M146:M157)</f>
        <v>0</v>
      </c>
      <c r="N158" s="49">
        <f>SUBTOTAL(9,N146:N157)</f>
        <v>0</v>
      </c>
      <c r="O158" s="50" t="str">
        <f>IF(H158=0,"No plan at start",M158/H158)</f>
        <v>No plan at start</v>
      </c>
      <c r="P158" s="53"/>
      <c r="Q158" s="54"/>
      <c r="R158" s="55"/>
      <c r="S158" s="55"/>
    </row>
    <row r="159" spans="1:19" s="10" customFormat="1" hidden="1" outlineLevel="2" x14ac:dyDescent="0.2">
      <c r="A159" s="11"/>
      <c r="B159" s="49" t="s">
        <v>73</v>
      </c>
      <c r="C159" s="49" t="s">
        <v>52</v>
      </c>
      <c r="D159" s="49">
        <v>0</v>
      </c>
      <c r="E159" s="49">
        <v>0</v>
      </c>
      <c r="F159" s="49">
        <f>E159-D159</f>
        <v>0</v>
      </c>
      <c r="G159" s="50">
        <f>IF(D159=0,0,ABS(F159/D159))</f>
        <v>0</v>
      </c>
      <c r="H159" s="49">
        <v>1298.3999999999999</v>
      </c>
      <c r="I159" s="49">
        <v>98.25</v>
      </c>
      <c r="J159" s="51">
        <f>IF(H159=0,"No plan at start",I159/H159)</f>
        <v>7.5670055452865079E-2</v>
      </c>
      <c r="K159" s="52">
        <f>H159-I159</f>
        <v>1200.1499999999999</v>
      </c>
      <c r="L159" s="49">
        <v>0</v>
      </c>
      <c r="M159" s="49">
        <f>I159+L159</f>
        <v>98.25</v>
      </c>
      <c r="N159" s="49">
        <f>M159-H159</f>
        <v>-1200.1499999999999</v>
      </c>
      <c r="O159" s="50">
        <f>IF(H159=0,"No plan at start",M159/H159)</f>
        <v>7.5670055452865079E-2</v>
      </c>
      <c r="P159" s="53"/>
      <c r="Q159" s="54"/>
      <c r="R159" s="55"/>
      <c r="S159" s="55"/>
    </row>
    <row r="160" spans="1:19" s="10" customFormat="1" hidden="1" outlineLevel="2" x14ac:dyDescent="0.2">
      <c r="A160" s="11"/>
      <c r="B160" s="49" t="s">
        <v>73</v>
      </c>
      <c r="C160" s="49" t="s">
        <v>53</v>
      </c>
      <c r="D160" s="49">
        <v>0</v>
      </c>
      <c r="E160" s="49">
        <v>0</v>
      </c>
      <c r="F160" s="49">
        <f>E160-D160</f>
        <v>0</v>
      </c>
      <c r="G160" s="50">
        <f>IF(D160=0,0,ABS(F160/D160))</f>
        <v>0</v>
      </c>
      <c r="H160" s="49">
        <v>0</v>
      </c>
      <c r="I160" s="49">
        <v>2</v>
      </c>
      <c r="J160" s="51" t="str">
        <f>IF(H160=0,"No plan at start",I160/H160)</f>
        <v>No plan at start</v>
      </c>
      <c r="K160" s="52">
        <f>H160-I160</f>
        <v>-2</v>
      </c>
      <c r="L160" s="49">
        <v>0</v>
      </c>
      <c r="M160" s="49">
        <f>I160+L160</f>
        <v>2</v>
      </c>
      <c r="N160" s="49">
        <f>M160-H160</f>
        <v>2</v>
      </c>
      <c r="O160" s="50" t="str">
        <f>IF(H160=0,"No plan at start",M160/H160)</f>
        <v>No plan at start</v>
      </c>
      <c r="P160" s="53"/>
      <c r="Q160" s="54"/>
      <c r="R160" s="55"/>
      <c r="S160" s="55"/>
    </row>
    <row r="161" spans="1:19" s="10" customFormat="1" hidden="1" outlineLevel="2" x14ac:dyDescent="0.2">
      <c r="A161" s="11"/>
      <c r="B161" s="49" t="s">
        <v>73</v>
      </c>
      <c r="C161" s="49" t="s">
        <v>54</v>
      </c>
      <c r="D161" s="49">
        <v>0</v>
      </c>
      <c r="E161" s="49">
        <v>0</v>
      </c>
      <c r="F161" s="49">
        <f>E161-D161</f>
        <v>0</v>
      </c>
      <c r="G161" s="50">
        <f>IF(D161=0,0,ABS(F161/D161))</f>
        <v>0</v>
      </c>
      <c r="H161" s="49">
        <v>0</v>
      </c>
      <c r="I161" s="49">
        <v>0</v>
      </c>
      <c r="J161" s="51" t="str">
        <f>IF(H161=0,"No plan at start",I161/H161)</f>
        <v>No plan at start</v>
      </c>
      <c r="K161" s="52">
        <f>H161-I161</f>
        <v>0</v>
      </c>
      <c r="L161" s="49">
        <v>0</v>
      </c>
      <c r="M161" s="49">
        <f>I161+L161</f>
        <v>0</v>
      </c>
      <c r="N161" s="49">
        <f>M161-H161</f>
        <v>0</v>
      </c>
      <c r="O161" s="50" t="str">
        <f>IF(H161=0,"No plan at start",M161/H161)</f>
        <v>No plan at start</v>
      </c>
      <c r="P161" s="53"/>
      <c r="Q161" s="54"/>
      <c r="R161" s="55"/>
      <c r="S161" s="55"/>
    </row>
    <row r="162" spans="1:19" s="10" customFormat="1" hidden="1" outlineLevel="2" x14ac:dyDescent="0.2">
      <c r="A162" s="11"/>
      <c r="B162" s="49" t="s">
        <v>73</v>
      </c>
      <c r="C162" s="49" t="s">
        <v>55</v>
      </c>
      <c r="D162" s="49">
        <v>0</v>
      </c>
      <c r="E162" s="49">
        <v>0</v>
      </c>
      <c r="F162" s="49">
        <f>E162-D162</f>
        <v>0</v>
      </c>
      <c r="G162" s="50">
        <f>IF(D162=0,0,ABS(F162/D162))</f>
        <v>0</v>
      </c>
      <c r="H162" s="49">
        <v>0</v>
      </c>
      <c r="I162" s="49">
        <v>0</v>
      </c>
      <c r="J162" s="51" t="str">
        <f>IF(H162=0,"No plan at start",I162/H162)</f>
        <v>No plan at start</v>
      </c>
      <c r="K162" s="52">
        <f>H162-I162</f>
        <v>0</v>
      </c>
      <c r="L162" s="49">
        <v>0</v>
      </c>
      <c r="M162" s="49">
        <f>I162+L162</f>
        <v>0</v>
      </c>
      <c r="N162" s="49">
        <f>M162-H162</f>
        <v>0</v>
      </c>
      <c r="O162" s="50" t="str">
        <f>IF(H162=0,"No plan at start",M162/H162)</f>
        <v>No plan at start</v>
      </c>
      <c r="P162" s="53"/>
      <c r="Q162" s="54"/>
      <c r="R162" s="55"/>
      <c r="S162" s="55"/>
    </row>
    <row r="163" spans="1:19" s="10" customFormat="1" hidden="1" outlineLevel="2" x14ac:dyDescent="0.2">
      <c r="A163" s="11"/>
      <c r="B163" s="49" t="s">
        <v>73</v>
      </c>
      <c r="C163" s="49" t="s">
        <v>56</v>
      </c>
      <c r="D163" s="49">
        <v>0</v>
      </c>
      <c r="E163" s="49">
        <v>0</v>
      </c>
      <c r="F163" s="49">
        <f>E163-D163</f>
        <v>0</v>
      </c>
      <c r="G163" s="50">
        <f>IF(D163=0,0,ABS(F163/D163))</f>
        <v>0</v>
      </c>
      <c r="H163" s="49">
        <v>0</v>
      </c>
      <c r="I163" s="49">
        <v>0</v>
      </c>
      <c r="J163" s="51" t="str">
        <f>IF(H163=0,"No plan at start",I163/H163)</f>
        <v>No plan at start</v>
      </c>
      <c r="K163" s="52">
        <f>H163-I163</f>
        <v>0</v>
      </c>
      <c r="L163" s="49">
        <v>0</v>
      </c>
      <c r="M163" s="49">
        <f>I163+L163</f>
        <v>0</v>
      </c>
      <c r="N163" s="49">
        <f>M163-H163</f>
        <v>0</v>
      </c>
      <c r="O163" s="50" t="str">
        <f>IF(H163=0,"No plan at start",M163/H163)</f>
        <v>No plan at start</v>
      </c>
      <c r="P163" s="53"/>
      <c r="Q163" s="54"/>
      <c r="R163" s="55"/>
      <c r="S163" s="55"/>
    </row>
    <row r="164" spans="1:19" s="10" customFormat="1" hidden="1" outlineLevel="2" x14ac:dyDescent="0.2">
      <c r="A164" s="11"/>
      <c r="B164" s="49" t="s">
        <v>73</v>
      </c>
      <c r="C164" s="49" t="s">
        <v>57</v>
      </c>
      <c r="D164" s="49">
        <v>0</v>
      </c>
      <c r="E164" s="49">
        <v>0</v>
      </c>
      <c r="F164" s="49">
        <f>E164-D164</f>
        <v>0</v>
      </c>
      <c r="G164" s="50">
        <f>IF(D164=0,0,ABS(F164/D164))</f>
        <v>0</v>
      </c>
      <c r="H164" s="49">
        <v>0</v>
      </c>
      <c r="I164" s="49">
        <v>0</v>
      </c>
      <c r="J164" s="51" t="str">
        <f>IF(H164=0,"No plan at start",I164/H164)</f>
        <v>No plan at start</v>
      </c>
      <c r="K164" s="52">
        <f>H164-I164</f>
        <v>0</v>
      </c>
      <c r="L164" s="49">
        <v>0</v>
      </c>
      <c r="M164" s="49">
        <f>I164+L164</f>
        <v>0</v>
      </c>
      <c r="N164" s="49">
        <f>M164-H164</f>
        <v>0</v>
      </c>
      <c r="O164" s="50" t="str">
        <f>IF(H164=0,"No plan at start",M164/H164)</f>
        <v>No plan at start</v>
      </c>
      <c r="P164" s="53"/>
      <c r="Q164" s="54"/>
      <c r="R164" s="55"/>
      <c r="S164" s="55"/>
    </row>
    <row r="165" spans="1:19" s="10" customFormat="1" hidden="1" outlineLevel="2" x14ac:dyDescent="0.2">
      <c r="A165" s="11"/>
      <c r="B165" s="49" t="s">
        <v>73</v>
      </c>
      <c r="C165" s="49" t="s">
        <v>48</v>
      </c>
      <c r="D165" s="49">
        <v>0</v>
      </c>
      <c r="E165" s="49">
        <v>0</v>
      </c>
      <c r="F165" s="49">
        <f>E165-D165</f>
        <v>0</v>
      </c>
      <c r="G165" s="50">
        <f>IF(D165=0,0,ABS(F165/D165))</f>
        <v>0</v>
      </c>
      <c r="H165" s="49">
        <v>0</v>
      </c>
      <c r="I165" s="49">
        <v>0</v>
      </c>
      <c r="J165" s="51" t="str">
        <f>IF(H165=0,"No plan at start",I165/H165)</f>
        <v>No plan at start</v>
      </c>
      <c r="K165" s="52">
        <f>H165-I165</f>
        <v>0</v>
      </c>
      <c r="L165" s="49">
        <v>0</v>
      </c>
      <c r="M165" s="49">
        <f>I165+L165</f>
        <v>0</v>
      </c>
      <c r="N165" s="49">
        <f>M165-H165</f>
        <v>0</v>
      </c>
      <c r="O165" s="50" t="str">
        <f>IF(H165=0,"No plan at start",M165/H165)</f>
        <v>No plan at start</v>
      </c>
      <c r="P165" s="53"/>
      <c r="Q165" s="54"/>
      <c r="R165" s="55"/>
      <c r="S165" s="55"/>
    </row>
    <row r="166" spans="1:19" s="10" customFormat="1" hidden="1" outlineLevel="2" x14ac:dyDescent="0.2">
      <c r="A166" s="11"/>
      <c r="B166" s="49" t="s">
        <v>73</v>
      </c>
      <c r="C166" s="49" t="s">
        <v>58</v>
      </c>
      <c r="D166" s="49">
        <v>0</v>
      </c>
      <c r="E166" s="49">
        <v>0</v>
      </c>
      <c r="F166" s="49">
        <f>E166-D166</f>
        <v>0</v>
      </c>
      <c r="G166" s="50">
        <f>IF(D166=0,0,ABS(F166/D166))</f>
        <v>0</v>
      </c>
      <c r="H166" s="49">
        <v>0</v>
      </c>
      <c r="I166" s="49">
        <v>0</v>
      </c>
      <c r="J166" s="51" t="str">
        <f>IF(H166=0,"No plan at start",I166/H166)</f>
        <v>No plan at start</v>
      </c>
      <c r="K166" s="52">
        <f>H166-I166</f>
        <v>0</v>
      </c>
      <c r="L166" s="49">
        <v>0</v>
      </c>
      <c r="M166" s="49">
        <f>I166+L166</f>
        <v>0</v>
      </c>
      <c r="N166" s="49">
        <f>M166-H166</f>
        <v>0</v>
      </c>
      <c r="O166" s="50" t="str">
        <f>IF(H166=0,"No plan at start",M166/H166)</f>
        <v>No plan at start</v>
      </c>
      <c r="P166" s="53"/>
      <c r="Q166" s="54"/>
      <c r="R166" s="55"/>
      <c r="S166" s="55"/>
    </row>
    <row r="167" spans="1:19" s="10" customFormat="1" hidden="1" outlineLevel="2" x14ac:dyDescent="0.2">
      <c r="A167" s="11"/>
      <c r="B167" s="49" t="s">
        <v>73</v>
      </c>
      <c r="C167" s="49" t="s">
        <v>59</v>
      </c>
      <c r="D167" s="49">
        <v>0</v>
      </c>
      <c r="E167" s="49">
        <v>0</v>
      </c>
      <c r="F167" s="49">
        <f>E167-D167</f>
        <v>0</v>
      </c>
      <c r="G167" s="50">
        <f>IF(D167=0,0,ABS(F167/D167))</f>
        <v>0</v>
      </c>
      <c r="H167" s="49">
        <v>0</v>
      </c>
      <c r="I167" s="49">
        <v>0</v>
      </c>
      <c r="J167" s="51" t="str">
        <f>IF(H167=0,"No plan at start",I167/H167)</f>
        <v>No plan at start</v>
      </c>
      <c r="K167" s="52">
        <f>H167-I167</f>
        <v>0</v>
      </c>
      <c r="L167" s="49">
        <v>0</v>
      </c>
      <c r="M167" s="49">
        <f>I167+L167</f>
        <v>0</v>
      </c>
      <c r="N167" s="49">
        <f>M167-H167</f>
        <v>0</v>
      </c>
      <c r="O167" s="50" t="str">
        <f>IF(H167=0,"No plan at start",M167/H167)</f>
        <v>No plan at start</v>
      </c>
      <c r="P167" s="53"/>
      <c r="Q167" s="54"/>
      <c r="R167" s="55"/>
      <c r="S167" s="55"/>
    </row>
    <row r="168" spans="1:19" s="10" customFormat="1" hidden="1" outlineLevel="2" x14ac:dyDescent="0.2">
      <c r="A168" s="11"/>
      <c r="B168" s="49" t="s">
        <v>73</v>
      </c>
      <c r="C168" s="49" t="s">
        <v>60</v>
      </c>
      <c r="D168" s="49">
        <v>0</v>
      </c>
      <c r="E168" s="49">
        <v>0</v>
      </c>
      <c r="F168" s="49">
        <f>E168-D168</f>
        <v>0</v>
      </c>
      <c r="G168" s="50">
        <f>IF(D168=0,0,ABS(F168/D168))</f>
        <v>0</v>
      </c>
      <c r="H168" s="49">
        <v>0</v>
      </c>
      <c r="I168" s="49">
        <v>0</v>
      </c>
      <c r="J168" s="51" t="str">
        <f>IF(H168=0,"No plan at start",I168/H168)</f>
        <v>No plan at start</v>
      </c>
      <c r="K168" s="52">
        <f>H168-I168</f>
        <v>0</v>
      </c>
      <c r="L168" s="49">
        <v>0</v>
      </c>
      <c r="M168" s="49">
        <f>I168+L168</f>
        <v>0</v>
      </c>
      <c r="N168" s="49">
        <f>M168-H168</f>
        <v>0</v>
      </c>
      <c r="O168" s="50" t="str">
        <f>IF(H168=0,"No plan at start",M168/H168)</f>
        <v>No plan at start</v>
      </c>
      <c r="P168" s="53"/>
      <c r="Q168" s="54"/>
      <c r="R168" s="55"/>
      <c r="S168" s="55"/>
    </row>
    <row r="169" spans="1:19" s="10" customFormat="1" hidden="1" outlineLevel="2" x14ac:dyDescent="0.2">
      <c r="A169" s="11"/>
      <c r="B169" s="49" t="s">
        <v>73</v>
      </c>
      <c r="C169" s="49" t="s">
        <v>61</v>
      </c>
      <c r="D169" s="49">
        <v>0</v>
      </c>
      <c r="E169" s="49">
        <v>0</v>
      </c>
      <c r="F169" s="49">
        <f>E169-D169</f>
        <v>0</v>
      </c>
      <c r="G169" s="50">
        <f>IF(D169=0,0,ABS(F169/D169))</f>
        <v>0</v>
      </c>
      <c r="H169" s="49">
        <v>0</v>
      </c>
      <c r="I169" s="49">
        <v>0</v>
      </c>
      <c r="J169" s="51" t="str">
        <f>IF(H169=0,"No plan at start",I169/H169)</f>
        <v>No plan at start</v>
      </c>
      <c r="K169" s="52">
        <f>H169-I169</f>
        <v>0</v>
      </c>
      <c r="L169" s="49">
        <v>0</v>
      </c>
      <c r="M169" s="49">
        <f>I169+L169</f>
        <v>0</v>
      </c>
      <c r="N169" s="49">
        <f>M169-H169</f>
        <v>0</v>
      </c>
      <c r="O169" s="50" t="str">
        <f>IF(H169=0,"No plan at start",M169/H169)</f>
        <v>No plan at start</v>
      </c>
      <c r="P169" s="53"/>
      <c r="Q169" s="54"/>
      <c r="R169" s="55"/>
      <c r="S169" s="55"/>
    </row>
    <row r="170" spans="1:19" s="10" customFormat="1" hidden="1" outlineLevel="2" x14ac:dyDescent="0.2">
      <c r="A170" s="11"/>
      <c r="B170" s="49" t="s">
        <v>73</v>
      </c>
      <c r="C170" s="49" t="s">
        <v>62</v>
      </c>
      <c r="D170" s="49">
        <v>0</v>
      </c>
      <c r="E170" s="49">
        <v>0</v>
      </c>
      <c r="F170" s="49">
        <f>E170-D170</f>
        <v>0</v>
      </c>
      <c r="G170" s="50">
        <f>IF(D170=0,0,ABS(F170/D170))</f>
        <v>0</v>
      </c>
      <c r="H170" s="49">
        <v>0</v>
      </c>
      <c r="I170" s="49">
        <v>0</v>
      </c>
      <c r="J170" s="51" t="str">
        <f>IF(H170=0,"No plan at start",I170/H170)</f>
        <v>No plan at start</v>
      </c>
      <c r="K170" s="52">
        <f>H170-I170</f>
        <v>0</v>
      </c>
      <c r="L170" s="49">
        <v>0</v>
      </c>
      <c r="M170" s="49">
        <f>I170+L170</f>
        <v>0</v>
      </c>
      <c r="N170" s="49">
        <f>M170-H170</f>
        <v>0</v>
      </c>
      <c r="O170" s="50" t="str">
        <f>IF(H170=0,"No plan at start",M170/H170)</f>
        <v>No plan at start</v>
      </c>
      <c r="P170" s="53"/>
      <c r="Q170" s="54"/>
      <c r="R170" s="55"/>
      <c r="S170" s="55"/>
    </row>
    <row r="171" spans="1:19" s="10" customFormat="1" outlineLevel="1" collapsed="1" x14ac:dyDescent="0.2">
      <c r="A171" s="11"/>
      <c r="B171" s="56" t="s">
        <v>112</v>
      </c>
      <c r="C171" s="49"/>
      <c r="D171" s="49">
        <f>SUBTOTAL(9,D159:D170)</f>
        <v>0</v>
      </c>
      <c r="E171" s="49">
        <f>SUBTOTAL(9,E159:E170)</f>
        <v>0</v>
      </c>
      <c r="F171" s="49">
        <f>SUBTOTAL(9,F159:F170)</f>
        <v>0</v>
      </c>
      <c r="G171" s="50">
        <f>IF(D171=0,0,ABS(F171/D171))</f>
        <v>0</v>
      </c>
      <c r="H171" s="49">
        <f>SUBTOTAL(9,H159:H170)</f>
        <v>1298.3999999999999</v>
      </c>
      <c r="I171" s="49">
        <f>SUBTOTAL(9,I159:I170)</f>
        <v>100.25</v>
      </c>
      <c r="J171" s="51">
        <f>IF(H171=0,"No plan at start",I171/H171)</f>
        <v>7.7210412815773274E-2</v>
      </c>
      <c r="K171" s="52">
        <f>SUBTOTAL(9,K159:K170)</f>
        <v>1198.1499999999999</v>
      </c>
      <c r="L171" s="49">
        <f>SUBTOTAL(9,L159:L170)</f>
        <v>0</v>
      </c>
      <c r="M171" s="49">
        <f>SUBTOTAL(9,M159:M170)</f>
        <v>100.25</v>
      </c>
      <c r="N171" s="49">
        <f>SUBTOTAL(9,N159:N170)</f>
        <v>-1198.1499999999999</v>
      </c>
      <c r="O171" s="50">
        <f>IF(H171=0,"No plan at start",M171/H171)</f>
        <v>7.7210412815773274E-2</v>
      </c>
      <c r="P171" s="53"/>
      <c r="Q171" s="54"/>
      <c r="R171" s="55"/>
      <c r="S171" s="55"/>
    </row>
    <row r="172" spans="1:19" s="10" customFormat="1" hidden="1" outlineLevel="2" x14ac:dyDescent="0.2">
      <c r="A172" s="11"/>
      <c r="B172" s="49" t="s">
        <v>74</v>
      </c>
      <c r="C172" s="49" t="s">
        <v>52</v>
      </c>
      <c r="D172" s="49">
        <v>0</v>
      </c>
      <c r="E172" s="49">
        <v>0</v>
      </c>
      <c r="F172" s="49">
        <f>E172-D172</f>
        <v>0</v>
      </c>
      <c r="G172" s="50">
        <f>IF(D172=0,0,ABS(F172/D172))</f>
        <v>0</v>
      </c>
      <c r="H172" s="49">
        <v>0</v>
      </c>
      <c r="I172" s="49">
        <v>0</v>
      </c>
      <c r="J172" s="51" t="str">
        <f>IF(H172=0,"No plan at start",I172/H172)</f>
        <v>No plan at start</v>
      </c>
      <c r="K172" s="52">
        <f>H172-I172</f>
        <v>0</v>
      </c>
      <c r="L172" s="49">
        <v>0</v>
      </c>
      <c r="M172" s="49">
        <f>I172+L172</f>
        <v>0</v>
      </c>
      <c r="N172" s="49">
        <f>M172-H172</f>
        <v>0</v>
      </c>
      <c r="O172" s="50" t="str">
        <f>IF(H172=0,"No plan at start",M172/H172)</f>
        <v>No plan at start</v>
      </c>
      <c r="P172" s="53"/>
      <c r="Q172" s="54"/>
      <c r="R172" s="55"/>
      <c r="S172" s="55"/>
    </row>
    <row r="173" spans="1:19" s="10" customFormat="1" hidden="1" outlineLevel="2" x14ac:dyDescent="0.2">
      <c r="A173" s="11"/>
      <c r="B173" s="49" t="s">
        <v>74</v>
      </c>
      <c r="C173" s="49" t="s">
        <v>53</v>
      </c>
      <c r="D173" s="49">
        <v>0</v>
      </c>
      <c r="E173" s="49">
        <v>0</v>
      </c>
      <c r="F173" s="49">
        <f>E173-D173</f>
        <v>0</v>
      </c>
      <c r="G173" s="50">
        <f>IF(D173=0,0,ABS(F173/D173))</f>
        <v>0</v>
      </c>
      <c r="H173" s="49">
        <v>0</v>
      </c>
      <c r="I173" s="49">
        <v>0</v>
      </c>
      <c r="J173" s="51" t="str">
        <f>IF(H173=0,"No plan at start",I173/H173)</f>
        <v>No plan at start</v>
      </c>
      <c r="K173" s="52">
        <f>H173-I173</f>
        <v>0</v>
      </c>
      <c r="L173" s="49">
        <v>0</v>
      </c>
      <c r="M173" s="49">
        <f>I173+L173</f>
        <v>0</v>
      </c>
      <c r="N173" s="49">
        <f>M173-H173</f>
        <v>0</v>
      </c>
      <c r="O173" s="50" t="str">
        <f>IF(H173=0,"No plan at start",M173/H173)</f>
        <v>No plan at start</v>
      </c>
      <c r="P173" s="53"/>
      <c r="Q173" s="54"/>
      <c r="R173" s="55"/>
      <c r="S173" s="55"/>
    </row>
    <row r="174" spans="1:19" s="10" customFormat="1" hidden="1" outlineLevel="2" x14ac:dyDescent="0.2">
      <c r="A174" s="11"/>
      <c r="B174" s="49" t="s">
        <v>74</v>
      </c>
      <c r="C174" s="49" t="s">
        <v>54</v>
      </c>
      <c r="D174" s="49">
        <v>0</v>
      </c>
      <c r="E174" s="49">
        <v>0</v>
      </c>
      <c r="F174" s="49">
        <f>E174-D174</f>
        <v>0</v>
      </c>
      <c r="G174" s="50">
        <f>IF(D174=0,0,ABS(F174/D174))</f>
        <v>0</v>
      </c>
      <c r="H174" s="49">
        <v>0</v>
      </c>
      <c r="I174" s="49">
        <v>0</v>
      </c>
      <c r="J174" s="51" t="str">
        <f>IF(H174=0,"No plan at start",I174/H174)</f>
        <v>No plan at start</v>
      </c>
      <c r="K174" s="52">
        <f>H174-I174</f>
        <v>0</v>
      </c>
      <c r="L174" s="49">
        <v>0</v>
      </c>
      <c r="M174" s="49">
        <f>I174+L174</f>
        <v>0</v>
      </c>
      <c r="N174" s="49">
        <f>M174-H174</f>
        <v>0</v>
      </c>
      <c r="O174" s="50" t="str">
        <f>IF(H174=0,"No plan at start",M174/H174)</f>
        <v>No plan at start</v>
      </c>
      <c r="P174" s="53"/>
      <c r="Q174" s="54"/>
      <c r="R174" s="55"/>
      <c r="S174" s="55"/>
    </row>
    <row r="175" spans="1:19" s="10" customFormat="1" hidden="1" outlineLevel="2" x14ac:dyDescent="0.2">
      <c r="A175" s="11"/>
      <c r="B175" s="49" t="s">
        <v>74</v>
      </c>
      <c r="C175" s="49" t="s">
        <v>55</v>
      </c>
      <c r="D175" s="49">
        <v>0</v>
      </c>
      <c r="E175" s="49">
        <v>0</v>
      </c>
      <c r="F175" s="49">
        <f>E175-D175</f>
        <v>0</v>
      </c>
      <c r="G175" s="50">
        <f>IF(D175=0,0,ABS(F175/D175))</f>
        <v>0</v>
      </c>
      <c r="H175" s="49">
        <v>0</v>
      </c>
      <c r="I175" s="49">
        <v>0</v>
      </c>
      <c r="J175" s="51" t="str">
        <f>IF(H175=0,"No plan at start",I175/H175)</f>
        <v>No plan at start</v>
      </c>
      <c r="K175" s="52">
        <f>H175-I175</f>
        <v>0</v>
      </c>
      <c r="L175" s="49">
        <v>0</v>
      </c>
      <c r="M175" s="49">
        <f>I175+L175</f>
        <v>0</v>
      </c>
      <c r="N175" s="49">
        <f>M175-H175</f>
        <v>0</v>
      </c>
      <c r="O175" s="50" t="str">
        <f>IF(H175=0,"No plan at start",M175/H175)</f>
        <v>No plan at start</v>
      </c>
      <c r="P175" s="53"/>
      <c r="Q175" s="54"/>
      <c r="R175" s="55"/>
      <c r="S175" s="55"/>
    </row>
    <row r="176" spans="1:19" s="10" customFormat="1" hidden="1" outlineLevel="2" x14ac:dyDescent="0.2">
      <c r="A176" s="11"/>
      <c r="B176" s="49" t="s">
        <v>74</v>
      </c>
      <c r="C176" s="49" t="s">
        <v>56</v>
      </c>
      <c r="D176" s="49">
        <v>0</v>
      </c>
      <c r="E176" s="49">
        <v>0</v>
      </c>
      <c r="F176" s="49">
        <f>E176-D176</f>
        <v>0</v>
      </c>
      <c r="G176" s="50">
        <f>IF(D176=0,0,ABS(F176/D176))</f>
        <v>0</v>
      </c>
      <c r="H176" s="49">
        <v>0</v>
      </c>
      <c r="I176" s="49">
        <v>0</v>
      </c>
      <c r="J176" s="51" t="str">
        <f>IF(H176=0,"No plan at start",I176/H176)</f>
        <v>No plan at start</v>
      </c>
      <c r="K176" s="52">
        <f>H176-I176</f>
        <v>0</v>
      </c>
      <c r="L176" s="49">
        <v>0</v>
      </c>
      <c r="M176" s="49">
        <f>I176+L176</f>
        <v>0</v>
      </c>
      <c r="N176" s="49">
        <f>M176-H176</f>
        <v>0</v>
      </c>
      <c r="O176" s="50" t="str">
        <f>IF(H176=0,"No plan at start",M176/H176)</f>
        <v>No plan at start</v>
      </c>
      <c r="P176" s="53"/>
      <c r="Q176" s="54"/>
      <c r="R176" s="55"/>
      <c r="S176" s="55"/>
    </row>
    <row r="177" spans="1:19" s="10" customFormat="1" hidden="1" outlineLevel="2" x14ac:dyDescent="0.2">
      <c r="A177" s="11"/>
      <c r="B177" s="49" t="s">
        <v>74</v>
      </c>
      <c r="C177" s="49" t="s">
        <v>57</v>
      </c>
      <c r="D177" s="49">
        <v>0</v>
      </c>
      <c r="E177" s="49">
        <v>0</v>
      </c>
      <c r="F177" s="49">
        <f>E177-D177</f>
        <v>0</v>
      </c>
      <c r="G177" s="50">
        <f>IF(D177=0,0,ABS(F177/D177))</f>
        <v>0</v>
      </c>
      <c r="H177" s="49">
        <v>0</v>
      </c>
      <c r="I177" s="49">
        <v>0</v>
      </c>
      <c r="J177" s="51" t="str">
        <f>IF(H177=0,"No plan at start",I177/H177)</f>
        <v>No plan at start</v>
      </c>
      <c r="K177" s="52">
        <f>H177-I177</f>
        <v>0</v>
      </c>
      <c r="L177" s="49">
        <v>0</v>
      </c>
      <c r="M177" s="49">
        <f>I177+L177</f>
        <v>0</v>
      </c>
      <c r="N177" s="49">
        <f>M177-H177</f>
        <v>0</v>
      </c>
      <c r="O177" s="50" t="str">
        <f>IF(H177=0,"No plan at start",M177/H177)</f>
        <v>No plan at start</v>
      </c>
      <c r="P177" s="53"/>
      <c r="Q177" s="54"/>
      <c r="R177" s="55"/>
      <c r="S177" s="55"/>
    </row>
    <row r="178" spans="1:19" s="10" customFormat="1" hidden="1" outlineLevel="2" x14ac:dyDescent="0.2">
      <c r="A178" s="11"/>
      <c r="B178" s="49" t="s">
        <v>74</v>
      </c>
      <c r="C178" s="49" t="s">
        <v>48</v>
      </c>
      <c r="D178" s="49">
        <v>0</v>
      </c>
      <c r="E178" s="49">
        <v>0</v>
      </c>
      <c r="F178" s="49">
        <f>E178-D178</f>
        <v>0</v>
      </c>
      <c r="G178" s="50">
        <f>IF(D178=0,0,ABS(F178/D178))</f>
        <v>0</v>
      </c>
      <c r="H178" s="49">
        <v>0</v>
      </c>
      <c r="I178" s="49">
        <v>0</v>
      </c>
      <c r="J178" s="51" t="str">
        <f>IF(H178=0,"No plan at start",I178/H178)</f>
        <v>No plan at start</v>
      </c>
      <c r="K178" s="52">
        <f>H178-I178</f>
        <v>0</v>
      </c>
      <c r="L178" s="49">
        <v>0</v>
      </c>
      <c r="M178" s="49">
        <f>I178+L178</f>
        <v>0</v>
      </c>
      <c r="N178" s="49">
        <f>M178-H178</f>
        <v>0</v>
      </c>
      <c r="O178" s="50" t="str">
        <f>IF(H178=0,"No plan at start",M178/H178)</f>
        <v>No plan at start</v>
      </c>
      <c r="P178" s="53"/>
      <c r="Q178" s="54"/>
      <c r="R178" s="55"/>
      <c r="S178" s="55"/>
    </row>
    <row r="179" spans="1:19" s="10" customFormat="1" hidden="1" outlineLevel="2" x14ac:dyDescent="0.2">
      <c r="A179" s="11"/>
      <c r="B179" s="49" t="s">
        <v>74</v>
      </c>
      <c r="C179" s="49" t="s">
        <v>58</v>
      </c>
      <c r="D179" s="49">
        <v>0</v>
      </c>
      <c r="E179" s="49">
        <v>0</v>
      </c>
      <c r="F179" s="49">
        <f>E179-D179</f>
        <v>0</v>
      </c>
      <c r="G179" s="50">
        <f>IF(D179=0,0,ABS(F179/D179))</f>
        <v>0</v>
      </c>
      <c r="H179" s="49">
        <v>0</v>
      </c>
      <c r="I179" s="49">
        <v>0</v>
      </c>
      <c r="J179" s="51" t="str">
        <f>IF(H179=0,"No plan at start",I179/H179)</f>
        <v>No plan at start</v>
      </c>
      <c r="K179" s="52">
        <f>H179-I179</f>
        <v>0</v>
      </c>
      <c r="L179" s="49">
        <v>0</v>
      </c>
      <c r="M179" s="49">
        <f>I179+L179</f>
        <v>0</v>
      </c>
      <c r="N179" s="49">
        <f>M179-H179</f>
        <v>0</v>
      </c>
      <c r="O179" s="50" t="str">
        <f>IF(H179=0,"No plan at start",M179/H179)</f>
        <v>No plan at start</v>
      </c>
      <c r="P179" s="53"/>
      <c r="Q179" s="54"/>
      <c r="R179" s="55"/>
      <c r="S179" s="55"/>
    </row>
    <row r="180" spans="1:19" s="10" customFormat="1" hidden="1" outlineLevel="2" x14ac:dyDescent="0.2">
      <c r="A180" s="11"/>
      <c r="B180" s="49" t="s">
        <v>74</v>
      </c>
      <c r="C180" s="49" t="s">
        <v>59</v>
      </c>
      <c r="D180" s="49">
        <v>0</v>
      </c>
      <c r="E180" s="49">
        <v>0</v>
      </c>
      <c r="F180" s="49">
        <f>E180-D180</f>
        <v>0</v>
      </c>
      <c r="G180" s="50">
        <f>IF(D180=0,0,ABS(F180/D180))</f>
        <v>0</v>
      </c>
      <c r="H180" s="49">
        <v>0</v>
      </c>
      <c r="I180" s="49">
        <v>0</v>
      </c>
      <c r="J180" s="51" t="str">
        <f>IF(H180=0,"No plan at start",I180/H180)</f>
        <v>No plan at start</v>
      </c>
      <c r="K180" s="52">
        <f>H180-I180</f>
        <v>0</v>
      </c>
      <c r="L180" s="49">
        <v>0</v>
      </c>
      <c r="M180" s="49">
        <f>I180+L180</f>
        <v>0</v>
      </c>
      <c r="N180" s="49">
        <f>M180-H180</f>
        <v>0</v>
      </c>
      <c r="O180" s="50" t="str">
        <f>IF(H180=0,"No plan at start",M180/H180)</f>
        <v>No plan at start</v>
      </c>
      <c r="P180" s="53"/>
      <c r="Q180" s="54"/>
      <c r="R180" s="55"/>
      <c r="S180" s="55"/>
    </row>
    <row r="181" spans="1:19" s="10" customFormat="1" hidden="1" outlineLevel="2" x14ac:dyDescent="0.2">
      <c r="A181" s="11"/>
      <c r="B181" s="49" t="s">
        <v>74</v>
      </c>
      <c r="C181" s="49" t="s">
        <v>60</v>
      </c>
      <c r="D181" s="49">
        <v>0</v>
      </c>
      <c r="E181" s="49">
        <v>0</v>
      </c>
      <c r="F181" s="49">
        <f>E181-D181</f>
        <v>0</v>
      </c>
      <c r="G181" s="50">
        <f>IF(D181=0,0,ABS(F181/D181))</f>
        <v>0</v>
      </c>
      <c r="H181" s="49">
        <v>0</v>
      </c>
      <c r="I181" s="49">
        <v>0</v>
      </c>
      <c r="J181" s="51" t="str">
        <f>IF(H181=0,"No plan at start",I181/H181)</f>
        <v>No plan at start</v>
      </c>
      <c r="K181" s="52">
        <f>H181-I181</f>
        <v>0</v>
      </c>
      <c r="L181" s="49">
        <v>0</v>
      </c>
      <c r="M181" s="49">
        <f>I181+L181</f>
        <v>0</v>
      </c>
      <c r="N181" s="49">
        <f>M181-H181</f>
        <v>0</v>
      </c>
      <c r="O181" s="50" t="str">
        <f>IF(H181=0,"No plan at start",M181/H181)</f>
        <v>No plan at start</v>
      </c>
      <c r="P181" s="53"/>
      <c r="Q181" s="54"/>
      <c r="R181" s="55"/>
      <c r="S181" s="55"/>
    </row>
    <row r="182" spans="1:19" s="10" customFormat="1" hidden="1" outlineLevel="2" x14ac:dyDescent="0.2">
      <c r="A182" s="11"/>
      <c r="B182" s="49" t="s">
        <v>74</v>
      </c>
      <c r="C182" s="49" t="s">
        <v>61</v>
      </c>
      <c r="D182" s="49">
        <v>0</v>
      </c>
      <c r="E182" s="49">
        <v>0</v>
      </c>
      <c r="F182" s="49">
        <f>E182-D182</f>
        <v>0</v>
      </c>
      <c r="G182" s="50">
        <f>IF(D182=0,0,ABS(F182/D182))</f>
        <v>0</v>
      </c>
      <c r="H182" s="49">
        <v>0</v>
      </c>
      <c r="I182" s="49">
        <v>0</v>
      </c>
      <c r="J182" s="51" t="str">
        <f>IF(H182=0,"No plan at start",I182/H182)</f>
        <v>No plan at start</v>
      </c>
      <c r="K182" s="52">
        <f>H182-I182</f>
        <v>0</v>
      </c>
      <c r="L182" s="49">
        <v>0</v>
      </c>
      <c r="M182" s="49">
        <f>I182+L182</f>
        <v>0</v>
      </c>
      <c r="N182" s="49">
        <f>M182-H182</f>
        <v>0</v>
      </c>
      <c r="O182" s="50" t="str">
        <f>IF(H182=0,"No plan at start",M182/H182)</f>
        <v>No plan at start</v>
      </c>
      <c r="P182" s="53"/>
      <c r="Q182" s="54"/>
      <c r="R182" s="55"/>
      <c r="S182" s="55"/>
    </row>
    <row r="183" spans="1:19" s="10" customFormat="1" hidden="1" outlineLevel="2" x14ac:dyDescent="0.2">
      <c r="A183" s="11"/>
      <c r="B183" s="49" t="s">
        <v>74</v>
      </c>
      <c r="C183" s="49" t="s">
        <v>62</v>
      </c>
      <c r="D183" s="49">
        <v>0</v>
      </c>
      <c r="E183" s="49">
        <v>0</v>
      </c>
      <c r="F183" s="49">
        <f>E183-D183</f>
        <v>0</v>
      </c>
      <c r="G183" s="50">
        <f>IF(D183=0,0,ABS(F183/D183))</f>
        <v>0</v>
      </c>
      <c r="H183" s="49">
        <v>0</v>
      </c>
      <c r="I183" s="49">
        <v>0</v>
      </c>
      <c r="J183" s="51" t="str">
        <f>IF(H183=0,"No plan at start",I183/H183)</f>
        <v>No plan at start</v>
      </c>
      <c r="K183" s="52">
        <f>H183-I183</f>
        <v>0</v>
      </c>
      <c r="L183" s="49">
        <v>0</v>
      </c>
      <c r="M183" s="49">
        <f>I183+L183</f>
        <v>0</v>
      </c>
      <c r="N183" s="49">
        <f>M183-H183</f>
        <v>0</v>
      </c>
      <c r="O183" s="50" t="str">
        <f>IF(H183=0,"No plan at start",M183/H183)</f>
        <v>No plan at start</v>
      </c>
      <c r="P183" s="53"/>
      <c r="Q183" s="54"/>
      <c r="R183" s="55"/>
      <c r="S183" s="55"/>
    </row>
    <row r="184" spans="1:19" s="10" customFormat="1" outlineLevel="1" collapsed="1" x14ac:dyDescent="0.2">
      <c r="A184" s="11"/>
      <c r="B184" s="56" t="s">
        <v>113</v>
      </c>
      <c r="C184" s="49"/>
      <c r="D184" s="49">
        <f>SUBTOTAL(9,D172:D183)</f>
        <v>0</v>
      </c>
      <c r="E184" s="49">
        <f>SUBTOTAL(9,E172:E183)</f>
        <v>0</v>
      </c>
      <c r="F184" s="49">
        <f>SUBTOTAL(9,F172:F183)</f>
        <v>0</v>
      </c>
      <c r="G184" s="50">
        <f>IF(D184=0,0,ABS(F184/D184))</f>
        <v>0</v>
      </c>
      <c r="H184" s="49">
        <f>SUBTOTAL(9,H172:H183)</f>
        <v>0</v>
      </c>
      <c r="I184" s="49">
        <f>SUBTOTAL(9,I172:I183)</f>
        <v>0</v>
      </c>
      <c r="J184" s="51" t="str">
        <f>IF(H184=0,"No plan at start",I184/H184)</f>
        <v>No plan at start</v>
      </c>
      <c r="K184" s="52">
        <f>SUBTOTAL(9,K172:K183)</f>
        <v>0</v>
      </c>
      <c r="L184" s="49">
        <f>SUBTOTAL(9,L172:L183)</f>
        <v>0</v>
      </c>
      <c r="M184" s="49">
        <f>SUBTOTAL(9,M172:M183)</f>
        <v>0</v>
      </c>
      <c r="N184" s="49">
        <f>SUBTOTAL(9,N172:N183)</f>
        <v>0</v>
      </c>
      <c r="O184" s="50" t="str">
        <f>IF(H184=0,"No plan at start",M184/H184)</f>
        <v>No plan at start</v>
      </c>
      <c r="P184" s="53"/>
      <c r="Q184" s="54"/>
      <c r="R184" s="55"/>
      <c r="S184" s="55"/>
    </row>
    <row r="185" spans="1:19" s="10" customFormat="1" hidden="1" outlineLevel="2" x14ac:dyDescent="0.2">
      <c r="A185" s="11"/>
      <c r="B185" s="49" t="s">
        <v>75</v>
      </c>
      <c r="C185" s="49" t="s">
        <v>52</v>
      </c>
      <c r="D185" s="49">
        <v>0</v>
      </c>
      <c r="E185" s="49">
        <v>0</v>
      </c>
      <c r="F185" s="49">
        <f>E185-D185</f>
        <v>0</v>
      </c>
      <c r="G185" s="50">
        <f>IF(D185=0,0,ABS(F185/D185))</f>
        <v>0</v>
      </c>
      <c r="H185" s="49">
        <v>0</v>
      </c>
      <c r="I185" s="49">
        <v>83</v>
      </c>
      <c r="J185" s="51" t="str">
        <f>IF(H185=0,"No plan at start",I185/H185)</f>
        <v>No plan at start</v>
      </c>
      <c r="K185" s="52">
        <f>H185-I185</f>
        <v>-83</v>
      </c>
      <c r="L185" s="49">
        <v>0</v>
      </c>
      <c r="M185" s="49">
        <f>I185+L185</f>
        <v>83</v>
      </c>
      <c r="N185" s="49">
        <f>M185-H185</f>
        <v>83</v>
      </c>
      <c r="O185" s="50" t="str">
        <f>IF(H185=0,"No plan at start",M185/H185)</f>
        <v>No plan at start</v>
      </c>
      <c r="P185" s="53"/>
      <c r="Q185" s="54"/>
      <c r="R185" s="55"/>
      <c r="S185" s="55"/>
    </row>
    <row r="186" spans="1:19" s="10" customFormat="1" hidden="1" outlineLevel="2" x14ac:dyDescent="0.2">
      <c r="A186" s="11"/>
      <c r="B186" s="49" t="s">
        <v>75</v>
      </c>
      <c r="C186" s="49" t="s">
        <v>53</v>
      </c>
      <c r="D186" s="49">
        <v>0</v>
      </c>
      <c r="E186" s="49">
        <v>0</v>
      </c>
      <c r="F186" s="49">
        <f>E186-D186</f>
        <v>0</v>
      </c>
      <c r="G186" s="50">
        <f>IF(D186=0,0,ABS(F186/D186))</f>
        <v>0</v>
      </c>
      <c r="H186" s="49">
        <v>1039.5300000000002</v>
      </c>
      <c r="I186" s="49">
        <v>312</v>
      </c>
      <c r="J186" s="51">
        <f>IF(H186=0,"No plan at start",I186/H186)</f>
        <v>0.30013563822111911</v>
      </c>
      <c r="K186" s="52">
        <f>H186-I186</f>
        <v>727.5300000000002</v>
      </c>
      <c r="L186" s="49">
        <v>0</v>
      </c>
      <c r="M186" s="49">
        <f>I186+L186</f>
        <v>312</v>
      </c>
      <c r="N186" s="49">
        <f>M186-H186</f>
        <v>-727.5300000000002</v>
      </c>
      <c r="O186" s="50">
        <f>IF(H186=0,"No plan at start",M186/H186)</f>
        <v>0.30013563822111911</v>
      </c>
      <c r="P186" s="53"/>
      <c r="Q186" s="54"/>
      <c r="R186" s="55"/>
      <c r="S186" s="55"/>
    </row>
    <row r="187" spans="1:19" s="10" customFormat="1" hidden="1" outlineLevel="2" x14ac:dyDescent="0.2">
      <c r="A187" s="11"/>
      <c r="B187" s="49" t="s">
        <v>75</v>
      </c>
      <c r="C187" s="49" t="s">
        <v>54</v>
      </c>
      <c r="D187" s="49">
        <v>0</v>
      </c>
      <c r="E187" s="49">
        <v>0</v>
      </c>
      <c r="F187" s="49">
        <f>E187-D187</f>
        <v>0</v>
      </c>
      <c r="G187" s="50">
        <f>IF(D187=0,0,ABS(F187/D187))</f>
        <v>0</v>
      </c>
      <c r="H187" s="49">
        <v>0</v>
      </c>
      <c r="I187" s="49">
        <v>14.5</v>
      </c>
      <c r="J187" s="51" t="str">
        <f>IF(H187=0,"No plan at start",I187/H187)</f>
        <v>No plan at start</v>
      </c>
      <c r="K187" s="52">
        <f>H187-I187</f>
        <v>-14.5</v>
      </c>
      <c r="L187" s="49">
        <v>0</v>
      </c>
      <c r="M187" s="49">
        <f>I187+L187</f>
        <v>14.5</v>
      </c>
      <c r="N187" s="49">
        <f>M187-H187</f>
        <v>14.5</v>
      </c>
      <c r="O187" s="50" t="str">
        <f>IF(H187=0,"No plan at start",M187/H187)</f>
        <v>No plan at start</v>
      </c>
      <c r="P187" s="53"/>
      <c r="Q187" s="54"/>
      <c r="R187" s="55"/>
      <c r="S187" s="55"/>
    </row>
    <row r="188" spans="1:19" s="10" customFormat="1" hidden="1" outlineLevel="2" x14ac:dyDescent="0.2">
      <c r="A188" s="11"/>
      <c r="B188" s="49" t="s">
        <v>75</v>
      </c>
      <c r="C188" s="49" t="s">
        <v>55</v>
      </c>
      <c r="D188" s="49">
        <v>0</v>
      </c>
      <c r="E188" s="49">
        <v>0</v>
      </c>
      <c r="F188" s="49">
        <f>E188-D188</f>
        <v>0</v>
      </c>
      <c r="G188" s="50">
        <f>IF(D188=0,0,ABS(F188/D188))</f>
        <v>0</v>
      </c>
      <c r="H188" s="49">
        <v>0</v>
      </c>
      <c r="I188" s="49">
        <v>377.75</v>
      </c>
      <c r="J188" s="51" t="str">
        <f>IF(H188=0,"No plan at start",I188/H188)</f>
        <v>No plan at start</v>
      </c>
      <c r="K188" s="52">
        <f>H188-I188</f>
        <v>-377.75</v>
      </c>
      <c r="L188" s="49">
        <v>0</v>
      </c>
      <c r="M188" s="49">
        <f>I188+L188</f>
        <v>377.75</v>
      </c>
      <c r="N188" s="49">
        <f>M188-H188</f>
        <v>377.75</v>
      </c>
      <c r="O188" s="50" t="str">
        <f>IF(H188=0,"No plan at start",M188/H188)</f>
        <v>No plan at start</v>
      </c>
      <c r="P188" s="53"/>
      <c r="Q188" s="54"/>
      <c r="R188" s="55"/>
      <c r="S188" s="55"/>
    </row>
    <row r="189" spans="1:19" s="10" customFormat="1" hidden="1" outlineLevel="2" x14ac:dyDescent="0.2">
      <c r="A189" s="11"/>
      <c r="B189" s="49" t="s">
        <v>75</v>
      </c>
      <c r="C189" s="49" t="s">
        <v>56</v>
      </c>
      <c r="D189" s="49">
        <v>0</v>
      </c>
      <c r="E189" s="49">
        <v>0</v>
      </c>
      <c r="F189" s="49">
        <f>E189-D189</f>
        <v>0</v>
      </c>
      <c r="G189" s="50">
        <f>IF(D189=0,0,ABS(F189/D189))</f>
        <v>0</v>
      </c>
      <c r="H189" s="49">
        <v>0</v>
      </c>
      <c r="I189" s="49">
        <v>0</v>
      </c>
      <c r="J189" s="51" t="str">
        <f>IF(H189=0,"No plan at start",I189/H189)</f>
        <v>No plan at start</v>
      </c>
      <c r="K189" s="52">
        <f>H189-I189</f>
        <v>0</v>
      </c>
      <c r="L189" s="49">
        <v>0</v>
      </c>
      <c r="M189" s="49">
        <f>I189+L189</f>
        <v>0</v>
      </c>
      <c r="N189" s="49">
        <f>M189-H189</f>
        <v>0</v>
      </c>
      <c r="O189" s="50" t="str">
        <f>IF(H189=0,"No plan at start",M189/H189)</f>
        <v>No plan at start</v>
      </c>
      <c r="P189" s="53"/>
      <c r="Q189" s="54"/>
      <c r="R189" s="55"/>
      <c r="S189" s="55"/>
    </row>
    <row r="190" spans="1:19" s="10" customFormat="1" hidden="1" outlineLevel="2" x14ac:dyDescent="0.2">
      <c r="A190" s="11"/>
      <c r="B190" s="49" t="s">
        <v>75</v>
      </c>
      <c r="C190" s="49" t="s">
        <v>57</v>
      </c>
      <c r="D190" s="49">
        <v>0</v>
      </c>
      <c r="E190" s="49">
        <v>0</v>
      </c>
      <c r="F190" s="49">
        <f>E190-D190</f>
        <v>0</v>
      </c>
      <c r="G190" s="50">
        <f>IF(D190=0,0,ABS(F190/D190))</f>
        <v>0</v>
      </c>
      <c r="H190" s="49">
        <v>0</v>
      </c>
      <c r="I190" s="49">
        <v>0</v>
      </c>
      <c r="J190" s="51" t="str">
        <f>IF(H190=0,"No plan at start",I190/H190)</f>
        <v>No plan at start</v>
      </c>
      <c r="K190" s="52">
        <f>H190-I190</f>
        <v>0</v>
      </c>
      <c r="L190" s="49">
        <v>0</v>
      </c>
      <c r="M190" s="49">
        <f>I190+L190</f>
        <v>0</v>
      </c>
      <c r="N190" s="49">
        <f>M190-H190</f>
        <v>0</v>
      </c>
      <c r="O190" s="50" t="str">
        <f>IF(H190=0,"No plan at start",M190/H190)</f>
        <v>No plan at start</v>
      </c>
      <c r="P190" s="53"/>
      <c r="Q190" s="54"/>
      <c r="R190" s="55"/>
      <c r="S190" s="55"/>
    </row>
    <row r="191" spans="1:19" s="10" customFormat="1" hidden="1" outlineLevel="2" x14ac:dyDescent="0.2">
      <c r="A191" s="11"/>
      <c r="B191" s="49" t="s">
        <v>75</v>
      </c>
      <c r="C191" s="49" t="s">
        <v>48</v>
      </c>
      <c r="D191" s="49">
        <v>0</v>
      </c>
      <c r="E191" s="49">
        <v>0</v>
      </c>
      <c r="F191" s="49">
        <f>E191-D191</f>
        <v>0</v>
      </c>
      <c r="G191" s="50">
        <f>IF(D191=0,0,ABS(F191/D191))</f>
        <v>0</v>
      </c>
      <c r="H191" s="49">
        <v>0</v>
      </c>
      <c r="I191" s="49">
        <v>0</v>
      </c>
      <c r="J191" s="51" t="str">
        <f>IF(H191=0,"No plan at start",I191/H191)</f>
        <v>No plan at start</v>
      </c>
      <c r="K191" s="52">
        <f>H191-I191</f>
        <v>0</v>
      </c>
      <c r="L191" s="49">
        <v>0</v>
      </c>
      <c r="M191" s="49">
        <f>I191+L191</f>
        <v>0</v>
      </c>
      <c r="N191" s="49">
        <f>M191-H191</f>
        <v>0</v>
      </c>
      <c r="O191" s="50" t="str">
        <f>IF(H191=0,"No plan at start",M191/H191)</f>
        <v>No plan at start</v>
      </c>
      <c r="P191" s="53"/>
      <c r="Q191" s="54"/>
      <c r="R191" s="55"/>
      <c r="S191" s="55"/>
    </row>
    <row r="192" spans="1:19" s="10" customFormat="1" hidden="1" outlineLevel="2" x14ac:dyDescent="0.2">
      <c r="A192" s="11"/>
      <c r="B192" s="49" t="s">
        <v>75</v>
      </c>
      <c r="C192" s="49" t="s">
        <v>58</v>
      </c>
      <c r="D192" s="49">
        <v>0</v>
      </c>
      <c r="E192" s="49">
        <v>0</v>
      </c>
      <c r="F192" s="49">
        <f>E192-D192</f>
        <v>0</v>
      </c>
      <c r="G192" s="50">
        <f>IF(D192=0,0,ABS(F192/D192))</f>
        <v>0</v>
      </c>
      <c r="H192" s="49">
        <v>0</v>
      </c>
      <c r="I192" s="49">
        <v>0</v>
      </c>
      <c r="J192" s="51" t="str">
        <f>IF(H192=0,"No plan at start",I192/H192)</f>
        <v>No plan at start</v>
      </c>
      <c r="K192" s="52">
        <f>H192-I192</f>
        <v>0</v>
      </c>
      <c r="L192" s="49">
        <v>0</v>
      </c>
      <c r="M192" s="49">
        <f>I192+L192</f>
        <v>0</v>
      </c>
      <c r="N192" s="49">
        <f>M192-H192</f>
        <v>0</v>
      </c>
      <c r="O192" s="50" t="str">
        <f>IF(H192=0,"No plan at start",M192/H192)</f>
        <v>No plan at start</v>
      </c>
      <c r="P192" s="53"/>
      <c r="Q192" s="54"/>
      <c r="R192" s="55"/>
      <c r="S192" s="55"/>
    </row>
    <row r="193" spans="1:19" s="10" customFormat="1" hidden="1" outlineLevel="2" x14ac:dyDescent="0.2">
      <c r="A193" s="11"/>
      <c r="B193" s="49" t="s">
        <v>75</v>
      </c>
      <c r="C193" s="49" t="s">
        <v>59</v>
      </c>
      <c r="D193" s="49">
        <v>0</v>
      </c>
      <c r="E193" s="49">
        <v>0</v>
      </c>
      <c r="F193" s="49">
        <f>E193-D193</f>
        <v>0</v>
      </c>
      <c r="G193" s="50">
        <f>IF(D193=0,0,ABS(F193/D193))</f>
        <v>0</v>
      </c>
      <c r="H193" s="49">
        <v>0</v>
      </c>
      <c r="I193" s="49">
        <v>0</v>
      </c>
      <c r="J193" s="51" t="str">
        <f>IF(H193=0,"No plan at start",I193/H193)</f>
        <v>No plan at start</v>
      </c>
      <c r="K193" s="52">
        <f>H193-I193</f>
        <v>0</v>
      </c>
      <c r="L193" s="49">
        <v>0</v>
      </c>
      <c r="M193" s="49">
        <f>I193+L193</f>
        <v>0</v>
      </c>
      <c r="N193" s="49">
        <f>M193-H193</f>
        <v>0</v>
      </c>
      <c r="O193" s="50" t="str">
        <f>IF(H193=0,"No plan at start",M193/H193)</f>
        <v>No plan at start</v>
      </c>
      <c r="P193" s="53"/>
      <c r="Q193" s="54"/>
      <c r="R193" s="55"/>
      <c r="S193" s="55"/>
    </row>
    <row r="194" spans="1:19" s="10" customFormat="1" hidden="1" outlineLevel="2" x14ac:dyDescent="0.2">
      <c r="A194" s="11"/>
      <c r="B194" s="49" t="s">
        <v>75</v>
      </c>
      <c r="C194" s="49" t="s">
        <v>60</v>
      </c>
      <c r="D194" s="49">
        <v>0</v>
      </c>
      <c r="E194" s="49">
        <v>0</v>
      </c>
      <c r="F194" s="49">
        <f>E194-D194</f>
        <v>0</v>
      </c>
      <c r="G194" s="50">
        <f>IF(D194=0,0,ABS(F194/D194))</f>
        <v>0</v>
      </c>
      <c r="H194" s="49">
        <v>0</v>
      </c>
      <c r="I194" s="49">
        <v>0</v>
      </c>
      <c r="J194" s="51" t="str">
        <f>IF(H194=0,"No plan at start",I194/H194)</f>
        <v>No plan at start</v>
      </c>
      <c r="K194" s="52">
        <f>H194-I194</f>
        <v>0</v>
      </c>
      <c r="L194" s="49">
        <v>0</v>
      </c>
      <c r="M194" s="49">
        <f>I194+L194</f>
        <v>0</v>
      </c>
      <c r="N194" s="49">
        <f>M194-H194</f>
        <v>0</v>
      </c>
      <c r="O194" s="50" t="str">
        <f>IF(H194=0,"No plan at start",M194/H194)</f>
        <v>No plan at start</v>
      </c>
      <c r="P194" s="53"/>
      <c r="Q194" s="54"/>
      <c r="R194" s="55"/>
      <c r="S194" s="55"/>
    </row>
    <row r="195" spans="1:19" s="10" customFormat="1" hidden="1" outlineLevel="2" x14ac:dyDescent="0.2">
      <c r="A195" s="11"/>
      <c r="B195" s="49" t="s">
        <v>75</v>
      </c>
      <c r="C195" s="49" t="s">
        <v>61</v>
      </c>
      <c r="D195" s="49">
        <v>0</v>
      </c>
      <c r="E195" s="49">
        <v>0</v>
      </c>
      <c r="F195" s="49">
        <f>E195-D195</f>
        <v>0</v>
      </c>
      <c r="G195" s="50">
        <f>IF(D195=0,0,ABS(F195/D195))</f>
        <v>0</v>
      </c>
      <c r="H195" s="49">
        <v>0</v>
      </c>
      <c r="I195" s="49">
        <v>0</v>
      </c>
      <c r="J195" s="51" t="str">
        <f>IF(H195=0,"No plan at start",I195/H195)</f>
        <v>No plan at start</v>
      </c>
      <c r="K195" s="52">
        <f>H195-I195</f>
        <v>0</v>
      </c>
      <c r="L195" s="49">
        <v>0</v>
      </c>
      <c r="M195" s="49">
        <f>I195+L195</f>
        <v>0</v>
      </c>
      <c r="N195" s="49">
        <f>M195-H195</f>
        <v>0</v>
      </c>
      <c r="O195" s="50" t="str">
        <f>IF(H195=0,"No plan at start",M195/H195)</f>
        <v>No plan at start</v>
      </c>
      <c r="P195" s="53"/>
      <c r="Q195" s="54"/>
      <c r="R195" s="55"/>
      <c r="S195" s="55"/>
    </row>
    <row r="196" spans="1:19" s="10" customFormat="1" hidden="1" outlineLevel="2" x14ac:dyDescent="0.2">
      <c r="A196" s="11"/>
      <c r="B196" s="49" t="s">
        <v>75</v>
      </c>
      <c r="C196" s="49" t="s">
        <v>62</v>
      </c>
      <c r="D196" s="49">
        <v>0</v>
      </c>
      <c r="E196" s="49">
        <v>0</v>
      </c>
      <c r="F196" s="49">
        <f>E196-D196</f>
        <v>0</v>
      </c>
      <c r="G196" s="50">
        <f>IF(D196=0,0,ABS(F196/D196))</f>
        <v>0</v>
      </c>
      <c r="H196" s="49">
        <v>0</v>
      </c>
      <c r="I196" s="49">
        <v>0</v>
      </c>
      <c r="J196" s="51" t="str">
        <f>IF(H196=0,"No plan at start",I196/H196)</f>
        <v>No plan at start</v>
      </c>
      <c r="K196" s="52">
        <f>H196-I196</f>
        <v>0</v>
      </c>
      <c r="L196" s="49">
        <v>0</v>
      </c>
      <c r="M196" s="49">
        <f>I196+L196</f>
        <v>0</v>
      </c>
      <c r="N196" s="49">
        <f>M196-H196</f>
        <v>0</v>
      </c>
      <c r="O196" s="50" t="str">
        <f>IF(H196=0,"No plan at start",M196/H196)</f>
        <v>No plan at start</v>
      </c>
      <c r="P196" s="53"/>
      <c r="Q196" s="54"/>
      <c r="R196" s="55"/>
      <c r="S196" s="55"/>
    </row>
    <row r="197" spans="1:19" s="10" customFormat="1" outlineLevel="1" collapsed="1" x14ac:dyDescent="0.2">
      <c r="A197" s="11"/>
      <c r="B197" s="56" t="s">
        <v>114</v>
      </c>
      <c r="C197" s="49"/>
      <c r="D197" s="49">
        <f>SUBTOTAL(9,D185:D196)</f>
        <v>0</v>
      </c>
      <c r="E197" s="49">
        <f>SUBTOTAL(9,E185:E196)</f>
        <v>0</v>
      </c>
      <c r="F197" s="49">
        <f>SUBTOTAL(9,F185:F196)</f>
        <v>0</v>
      </c>
      <c r="G197" s="50">
        <f>IF(D197=0,0,ABS(F197/D197))</f>
        <v>0</v>
      </c>
      <c r="H197" s="49">
        <f>SUBTOTAL(9,H185:H196)</f>
        <v>1039.5300000000002</v>
      </c>
      <c r="I197" s="49">
        <f>SUBTOTAL(9,I185:I196)</f>
        <v>787.25</v>
      </c>
      <c r="J197" s="51">
        <f>IF(H197=0,"No plan at start",I197/H197)</f>
        <v>0.7573134012486411</v>
      </c>
      <c r="K197" s="52">
        <f>SUBTOTAL(9,K185:K196)</f>
        <v>252.2800000000002</v>
      </c>
      <c r="L197" s="49">
        <f>SUBTOTAL(9,L185:L196)</f>
        <v>0</v>
      </c>
      <c r="M197" s="49">
        <f>SUBTOTAL(9,M185:M196)</f>
        <v>787.25</v>
      </c>
      <c r="N197" s="49">
        <f>SUBTOTAL(9,N185:N196)</f>
        <v>-252.2800000000002</v>
      </c>
      <c r="O197" s="50">
        <f>IF(H197=0,"No plan at start",M197/H197)</f>
        <v>0.7573134012486411</v>
      </c>
      <c r="P197" s="53"/>
      <c r="Q197" s="54"/>
      <c r="R197" s="55"/>
      <c r="S197" s="55"/>
    </row>
    <row r="198" spans="1:19" s="10" customFormat="1" hidden="1" outlineLevel="2" x14ac:dyDescent="0.2">
      <c r="A198" s="11"/>
      <c r="B198" s="49" t="s">
        <v>76</v>
      </c>
      <c r="C198" s="49" t="s">
        <v>52</v>
      </c>
      <c r="D198" s="49">
        <v>0</v>
      </c>
      <c r="E198" s="49">
        <v>0</v>
      </c>
      <c r="F198" s="49">
        <f>E198-D198</f>
        <v>0</v>
      </c>
      <c r="G198" s="50">
        <f>IF(D198=0,0,ABS(F198/D198))</f>
        <v>0</v>
      </c>
      <c r="H198" s="49">
        <v>0</v>
      </c>
      <c r="I198" s="49">
        <v>0</v>
      </c>
      <c r="J198" s="51" t="str">
        <f>IF(H198=0,"No plan at start",I198/H198)</f>
        <v>No plan at start</v>
      </c>
      <c r="K198" s="52">
        <f>H198-I198</f>
        <v>0</v>
      </c>
      <c r="L198" s="49">
        <v>0</v>
      </c>
      <c r="M198" s="49">
        <f>I198+L198</f>
        <v>0</v>
      </c>
      <c r="N198" s="49">
        <f>M198-H198</f>
        <v>0</v>
      </c>
      <c r="O198" s="50" t="str">
        <f>IF(H198=0,"No plan at start",M198/H198)</f>
        <v>No plan at start</v>
      </c>
      <c r="P198" s="53"/>
      <c r="Q198" s="54"/>
      <c r="R198" s="55"/>
      <c r="S198" s="55"/>
    </row>
    <row r="199" spans="1:19" s="10" customFormat="1" hidden="1" outlineLevel="2" x14ac:dyDescent="0.2">
      <c r="A199" s="11"/>
      <c r="B199" s="49" t="s">
        <v>76</v>
      </c>
      <c r="C199" s="49" t="s">
        <v>53</v>
      </c>
      <c r="D199" s="49">
        <v>0</v>
      </c>
      <c r="E199" s="49">
        <v>0</v>
      </c>
      <c r="F199" s="49">
        <f>E199-D199</f>
        <v>0</v>
      </c>
      <c r="G199" s="50">
        <f>IF(D199=0,0,ABS(F199/D199))</f>
        <v>0</v>
      </c>
      <c r="H199" s="49">
        <v>0</v>
      </c>
      <c r="I199" s="49">
        <v>0</v>
      </c>
      <c r="J199" s="51" t="str">
        <f>IF(H199=0,"No plan at start",I199/H199)</f>
        <v>No plan at start</v>
      </c>
      <c r="K199" s="52">
        <f>H199-I199</f>
        <v>0</v>
      </c>
      <c r="L199" s="49">
        <v>0</v>
      </c>
      <c r="M199" s="49">
        <f>I199+L199</f>
        <v>0</v>
      </c>
      <c r="N199" s="49">
        <f>M199-H199</f>
        <v>0</v>
      </c>
      <c r="O199" s="50" t="str">
        <f>IF(H199=0,"No plan at start",M199/H199)</f>
        <v>No plan at start</v>
      </c>
      <c r="P199" s="53"/>
      <c r="Q199" s="54"/>
      <c r="R199" s="55"/>
      <c r="S199" s="55"/>
    </row>
    <row r="200" spans="1:19" s="10" customFormat="1" hidden="1" outlineLevel="2" x14ac:dyDescent="0.2">
      <c r="A200" s="11"/>
      <c r="B200" s="49" t="s">
        <v>76</v>
      </c>
      <c r="C200" s="49" t="s">
        <v>54</v>
      </c>
      <c r="D200" s="49">
        <v>0</v>
      </c>
      <c r="E200" s="49">
        <v>0</v>
      </c>
      <c r="F200" s="49">
        <f>E200-D200</f>
        <v>0</v>
      </c>
      <c r="G200" s="50">
        <f>IF(D200=0,0,ABS(F200/D200))</f>
        <v>0</v>
      </c>
      <c r="H200" s="49">
        <v>0</v>
      </c>
      <c r="I200" s="49">
        <v>0</v>
      </c>
      <c r="J200" s="51" t="str">
        <f>IF(H200=0,"No plan at start",I200/H200)</f>
        <v>No plan at start</v>
      </c>
      <c r="K200" s="52">
        <f>H200-I200</f>
        <v>0</v>
      </c>
      <c r="L200" s="49">
        <v>0</v>
      </c>
      <c r="M200" s="49">
        <f>I200+L200</f>
        <v>0</v>
      </c>
      <c r="N200" s="49">
        <f>M200-H200</f>
        <v>0</v>
      </c>
      <c r="O200" s="50" t="str">
        <f>IF(H200=0,"No plan at start",M200/H200)</f>
        <v>No plan at start</v>
      </c>
      <c r="P200" s="53"/>
      <c r="Q200" s="54"/>
      <c r="R200" s="55"/>
      <c r="S200" s="55"/>
    </row>
    <row r="201" spans="1:19" s="10" customFormat="1" hidden="1" outlineLevel="2" x14ac:dyDescent="0.2">
      <c r="A201" s="11"/>
      <c r="B201" s="49" t="s">
        <v>76</v>
      </c>
      <c r="C201" s="49" t="s">
        <v>55</v>
      </c>
      <c r="D201" s="49">
        <v>0</v>
      </c>
      <c r="E201" s="49">
        <v>0</v>
      </c>
      <c r="F201" s="49">
        <f>E201-D201</f>
        <v>0</v>
      </c>
      <c r="G201" s="50">
        <f>IF(D201=0,0,ABS(F201/D201))</f>
        <v>0</v>
      </c>
      <c r="H201" s="49">
        <v>0</v>
      </c>
      <c r="I201" s="49">
        <v>0</v>
      </c>
      <c r="J201" s="51" t="str">
        <f>IF(H201=0,"No plan at start",I201/H201)</f>
        <v>No plan at start</v>
      </c>
      <c r="K201" s="52">
        <f>H201-I201</f>
        <v>0</v>
      </c>
      <c r="L201" s="49">
        <v>0</v>
      </c>
      <c r="M201" s="49">
        <f>I201+L201</f>
        <v>0</v>
      </c>
      <c r="N201" s="49">
        <f>M201-H201</f>
        <v>0</v>
      </c>
      <c r="O201" s="50" t="str">
        <f>IF(H201=0,"No plan at start",M201/H201)</f>
        <v>No plan at start</v>
      </c>
      <c r="P201" s="53"/>
      <c r="Q201" s="54"/>
      <c r="R201" s="55"/>
      <c r="S201" s="55"/>
    </row>
    <row r="202" spans="1:19" s="10" customFormat="1" hidden="1" outlineLevel="2" x14ac:dyDescent="0.2">
      <c r="A202" s="11"/>
      <c r="B202" s="49" t="s">
        <v>76</v>
      </c>
      <c r="C202" s="49" t="s">
        <v>56</v>
      </c>
      <c r="D202" s="49">
        <v>0</v>
      </c>
      <c r="E202" s="49">
        <v>0</v>
      </c>
      <c r="F202" s="49">
        <f>E202-D202</f>
        <v>0</v>
      </c>
      <c r="G202" s="50">
        <f>IF(D202=0,0,ABS(F202/D202))</f>
        <v>0</v>
      </c>
      <c r="H202" s="49">
        <v>0</v>
      </c>
      <c r="I202" s="49">
        <v>0</v>
      </c>
      <c r="J202" s="51" t="str">
        <f>IF(H202=0,"No plan at start",I202/H202)</f>
        <v>No plan at start</v>
      </c>
      <c r="K202" s="52">
        <f>H202-I202</f>
        <v>0</v>
      </c>
      <c r="L202" s="49">
        <v>0</v>
      </c>
      <c r="M202" s="49">
        <f>I202+L202</f>
        <v>0</v>
      </c>
      <c r="N202" s="49">
        <f>M202-H202</f>
        <v>0</v>
      </c>
      <c r="O202" s="50" t="str">
        <f>IF(H202=0,"No plan at start",M202/H202)</f>
        <v>No plan at start</v>
      </c>
      <c r="P202" s="53"/>
      <c r="Q202" s="54"/>
      <c r="R202" s="55"/>
      <c r="S202" s="55"/>
    </row>
    <row r="203" spans="1:19" s="10" customFormat="1" hidden="1" outlineLevel="2" x14ac:dyDescent="0.2">
      <c r="A203" s="11"/>
      <c r="B203" s="49" t="s">
        <v>76</v>
      </c>
      <c r="C203" s="49" t="s">
        <v>57</v>
      </c>
      <c r="D203" s="49">
        <v>0</v>
      </c>
      <c r="E203" s="49">
        <v>0</v>
      </c>
      <c r="F203" s="49">
        <f>E203-D203</f>
        <v>0</v>
      </c>
      <c r="G203" s="50">
        <f>IF(D203=0,0,ABS(F203/D203))</f>
        <v>0</v>
      </c>
      <c r="H203" s="49">
        <v>0</v>
      </c>
      <c r="I203" s="49">
        <v>0</v>
      </c>
      <c r="J203" s="51" t="str">
        <f>IF(H203=0,"No plan at start",I203/H203)</f>
        <v>No plan at start</v>
      </c>
      <c r="K203" s="52">
        <f>H203-I203</f>
        <v>0</v>
      </c>
      <c r="L203" s="49">
        <v>0</v>
      </c>
      <c r="M203" s="49">
        <f>I203+L203</f>
        <v>0</v>
      </c>
      <c r="N203" s="49">
        <f>M203-H203</f>
        <v>0</v>
      </c>
      <c r="O203" s="50" t="str">
        <f>IF(H203=0,"No plan at start",M203/H203)</f>
        <v>No plan at start</v>
      </c>
      <c r="P203" s="53"/>
      <c r="Q203" s="54"/>
      <c r="R203" s="55"/>
      <c r="S203" s="55"/>
    </row>
    <row r="204" spans="1:19" s="10" customFormat="1" hidden="1" outlineLevel="2" x14ac:dyDescent="0.2">
      <c r="A204" s="11"/>
      <c r="B204" s="49" t="s">
        <v>76</v>
      </c>
      <c r="C204" s="49" t="s">
        <v>48</v>
      </c>
      <c r="D204" s="49">
        <v>0</v>
      </c>
      <c r="E204" s="49">
        <v>0</v>
      </c>
      <c r="F204" s="49">
        <f>E204-D204</f>
        <v>0</v>
      </c>
      <c r="G204" s="50">
        <f>IF(D204=0,0,ABS(F204/D204))</f>
        <v>0</v>
      </c>
      <c r="H204" s="49">
        <v>0</v>
      </c>
      <c r="I204" s="49">
        <v>0</v>
      </c>
      <c r="J204" s="51" t="str">
        <f>IF(H204=0,"No plan at start",I204/H204)</f>
        <v>No plan at start</v>
      </c>
      <c r="K204" s="52">
        <f>H204-I204</f>
        <v>0</v>
      </c>
      <c r="L204" s="49">
        <v>0</v>
      </c>
      <c r="M204" s="49">
        <f>I204+L204</f>
        <v>0</v>
      </c>
      <c r="N204" s="49">
        <f>M204-H204</f>
        <v>0</v>
      </c>
      <c r="O204" s="50" t="str">
        <f>IF(H204=0,"No plan at start",M204/H204)</f>
        <v>No plan at start</v>
      </c>
      <c r="P204" s="53"/>
      <c r="Q204" s="54"/>
      <c r="R204" s="55"/>
      <c r="S204" s="55"/>
    </row>
    <row r="205" spans="1:19" s="10" customFormat="1" hidden="1" outlineLevel="2" x14ac:dyDescent="0.2">
      <c r="A205" s="11"/>
      <c r="B205" s="49" t="s">
        <v>76</v>
      </c>
      <c r="C205" s="49" t="s">
        <v>58</v>
      </c>
      <c r="D205" s="49">
        <v>0</v>
      </c>
      <c r="E205" s="49">
        <v>0</v>
      </c>
      <c r="F205" s="49">
        <f>E205-D205</f>
        <v>0</v>
      </c>
      <c r="G205" s="50">
        <f>IF(D205=0,0,ABS(F205/D205))</f>
        <v>0</v>
      </c>
      <c r="H205" s="49">
        <v>0</v>
      </c>
      <c r="I205" s="49">
        <v>0</v>
      </c>
      <c r="J205" s="51" t="str">
        <f>IF(H205=0,"No plan at start",I205/H205)</f>
        <v>No plan at start</v>
      </c>
      <c r="K205" s="52">
        <f>H205-I205</f>
        <v>0</v>
      </c>
      <c r="L205" s="49">
        <v>0</v>
      </c>
      <c r="M205" s="49">
        <f>I205+L205</f>
        <v>0</v>
      </c>
      <c r="N205" s="49">
        <f>M205-H205</f>
        <v>0</v>
      </c>
      <c r="O205" s="50" t="str">
        <f>IF(H205=0,"No plan at start",M205/H205)</f>
        <v>No plan at start</v>
      </c>
      <c r="P205" s="53"/>
      <c r="Q205" s="54"/>
      <c r="R205" s="55"/>
      <c r="S205" s="55"/>
    </row>
    <row r="206" spans="1:19" s="10" customFormat="1" hidden="1" outlineLevel="2" x14ac:dyDescent="0.2">
      <c r="A206" s="11"/>
      <c r="B206" s="49" t="s">
        <v>76</v>
      </c>
      <c r="C206" s="49" t="s">
        <v>59</v>
      </c>
      <c r="D206" s="49">
        <v>0</v>
      </c>
      <c r="E206" s="49">
        <v>0</v>
      </c>
      <c r="F206" s="49">
        <f>E206-D206</f>
        <v>0</v>
      </c>
      <c r="G206" s="50">
        <f>IF(D206=0,0,ABS(F206/D206))</f>
        <v>0</v>
      </c>
      <c r="H206" s="49">
        <v>0</v>
      </c>
      <c r="I206" s="49">
        <v>0</v>
      </c>
      <c r="J206" s="51" t="str">
        <f>IF(H206=0,"No plan at start",I206/H206)</f>
        <v>No plan at start</v>
      </c>
      <c r="K206" s="52">
        <f>H206-I206</f>
        <v>0</v>
      </c>
      <c r="L206" s="49">
        <v>0</v>
      </c>
      <c r="M206" s="49">
        <f>I206+L206</f>
        <v>0</v>
      </c>
      <c r="N206" s="49">
        <f>M206-H206</f>
        <v>0</v>
      </c>
      <c r="O206" s="50" t="str">
        <f>IF(H206=0,"No plan at start",M206/H206)</f>
        <v>No plan at start</v>
      </c>
      <c r="P206" s="53"/>
      <c r="Q206" s="54"/>
      <c r="R206" s="55"/>
      <c r="S206" s="55"/>
    </row>
    <row r="207" spans="1:19" s="10" customFormat="1" hidden="1" outlineLevel="2" x14ac:dyDescent="0.2">
      <c r="A207" s="11"/>
      <c r="B207" s="49" t="s">
        <v>76</v>
      </c>
      <c r="C207" s="49" t="s">
        <v>60</v>
      </c>
      <c r="D207" s="49">
        <v>0</v>
      </c>
      <c r="E207" s="49">
        <v>0</v>
      </c>
      <c r="F207" s="49">
        <f>E207-D207</f>
        <v>0</v>
      </c>
      <c r="G207" s="50">
        <f>IF(D207=0,0,ABS(F207/D207))</f>
        <v>0</v>
      </c>
      <c r="H207" s="49">
        <v>0</v>
      </c>
      <c r="I207" s="49">
        <v>0</v>
      </c>
      <c r="J207" s="51" t="str">
        <f>IF(H207=0,"No plan at start",I207/H207)</f>
        <v>No plan at start</v>
      </c>
      <c r="K207" s="52">
        <f>H207-I207</f>
        <v>0</v>
      </c>
      <c r="L207" s="49">
        <v>0</v>
      </c>
      <c r="M207" s="49">
        <f>I207+L207</f>
        <v>0</v>
      </c>
      <c r="N207" s="49">
        <f>M207-H207</f>
        <v>0</v>
      </c>
      <c r="O207" s="50" t="str">
        <f>IF(H207=0,"No plan at start",M207/H207)</f>
        <v>No plan at start</v>
      </c>
      <c r="P207" s="53"/>
      <c r="Q207" s="54"/>
      <c r="R207" s="55"/>
      <c r="S207" s="55"/>
    </row>
    <row r="208" spans="1:19" s="10" customFormat="1" hidden="1" outlineLevel="2" x14ac:dyDescent="0.2">
      <c r="A208" s="11"/>
      <c r="B208" s="49" t="s">
        <v>76</v>
      </c>
      <c r="C208" s="49" t="s">
        <v>61</v>
      </c>
      <c r="D208" s="49">
        <v>0</v>
      </c>
      <c r="E208" s="49">
        <v>0</v>
      </c>
      <c r="F208" s="49">
        <f>E208-D208</f>
        <v>0</v>
      </c>
      <c r="G208" s="50">
        <f>IF(D208=0,0,ABS(F208/D208))</f>
        <v>0</v>
      </c>
      <c r="H208" s="49">
        <v>0</v>
      </c>
      <c r="I208" s="49">
        <v>0</v>
      </c>
      <c r="J208" s="51" t="str">
        <f>IF(H208=0,"No plan at start",I208/H208)</f>
        <v>No plan at start</v>
      </c>
      <c r="K208" s="52">
        <f>H208-I208</f>
        <v>0</v>
      </c>
      <c r="L208" s="49">
        <v>0</v>
      </c>
      <c r="M208" s="49">
        <f>I208+L208</f>
        <v>0</v>
      </c>
      <c r="N208" s="49">
        <f>M208-H208</f>
        <v>0</v>
      </c>
      <c r="O208" s="50" t="str">
        <f>IF(H208=0,"No plan at start",M208/H208)</f>
        <v>No plan at start</v>
      </c>
      <c r="P208" s="53"/>
      <c r="Q208" s="54"/>
      <c r="R208" s="55"/>
      <c r="S208" s="55"/>
    </row>
    <row r="209" spans="1:19" s="10" customFormat="1" hidden="1" outlineLevel="2" x14ac:dyDescent="0.2">
      <c r="A209" s="11"/>
      <c r="B209" s="49" t="s">
        <v>76</v>
      </c>
      <c r="C209" s="49" t="s">
        <v>62</v>
      </c>
      <c r="D209" s="49">
        <v>0</v>
      </c>
      <c r="E209" s="49">
        <v>0</v>
      </c>
      <c r="F209" s="49">
        <f>E209-D209</f>
        <v>0</v>
      </c>
      <c r="G209" s="50">
        <f>IF(D209=0,0,ABS(F209/D209))</f>
        <v>0</v>
      </c>
      <c r="H209" s="49">
        <v>0</v>
      </c>
      <c r="I209" s="49">
        <v>0</v>
      </c>
      <c r="J209" s="51" t="str">
        <f>IF(H209=0,"No plan at start",I209/H209)</f>
        <v>No plan at start</v>
      </c>
      <c r="K209" s="52">
        <f>H209-I209</f>
        <v>0</v>
      </c>
      <c r="L209" s="49">
        <v>0</v>
      </c>
      <c r="M209" s="49">
        <f>I209+L209</f>
        <v>0</v>
      </c>
      <c r="N209" s="49">
        <f>M209-H209</f>
        <v>0</v>
      </c>
      <c r="O209" s="50" t="str">
        <f>IF(H209=0,"No plan at start",M209/H209)</f>
        <v>No plan at start</v>
      </c>
      <c r="P209" s="53"/>
      <c r="Q209" s="54"/>
      <c r="R209" s="55"/>
      <c r="S209" s="55"/>
    </row>
    <row r="210" spans="1:19" s="10" customFormat="1" outlineLevel="1" collapsed="1" x14ac:dyDescent="0.2">
      <c r="A210" s="11"/>
      <c r="B210" s="56" t="s">
        <v>115</v>
      </c>
      <c r="C210" s="49"/>
      <c r="D210" s="49">
        <f>SUBTOTAL(9,D198:D209)</f>
        <v>0</v>
      </c>
      <c r="E210" s="49">
        <f>SUBTOTAL(9,E198:E209)</f>
        <v>0</v>
      </c>
      <c r="F210" s="49">
        <f>SUBTOTAL(9,F198:F209)</f>
        <v>0</v>
      </c>
      <c r="G210" s="50">
        <f>IF(D210=0,0,ABS(F210/D210))</f>
        <v>0</v>
      </c>
      <c r="H210" s="49">
        <f>SUBTOTAL(9,H198:H209)</f>
        <v>0</v>
      </c>
      <c r="I210" s="49">
        <f>SUBTOTAL(9,I198:I209)</f>
        <v>0</v>
      </c>
      <c r="J210" s="51" t="str">
        <f>IF(H210=0,"No plan at start",I210/H210)</f>
        <v>No plan at start</v>
      </c>
      <c r="K210" s="52">
        <f>SUBTOTAL(9,K198:K209)</f>
        <v>0</v>
      </c>
      <c r="L210" s="49">
        <f>SUBTOTAL(9,L198:L209)</f>
        <v>0</v>
      </c>
      <c r="M210" s="49">
        <f>SUBTOTAL(9,M198:M209)</f>
        <v>0</v>
      </c>
      <c r="N210" s="49">
        <f>SUBTOTAL(9,N198:N209)</f>
        <v>0</v>
      </c>
      <c r="O210" s="50" t="str">
        <f>IF(H210=0,"No plan at start",M210/H210)</f>
        <v>No plan at start</v>
      </c>
      <c r="P210" s="53"/>
      <c r="Q210" s="54"/>
      <c r="R210" s="55"/>
      <c r="S210" s="55"/>
    </row>
    <row r="211" spans="1:19" s="10" customFormat="1" hidden="1" outlineLevel="2" x14ac:dyDescent="0.2">
      <c r="A211" s="11"/>
      <c r="B211" s="49" t="s">
        <v>77</v>
      </c>
      <c r="C211" s="49" t="s">
        <v>52</v>
      </c>
      <c r="D211" s="49">
        <v>0</v>
      </c>
      <c r="E211" s="49">
        <v>0</v>
      </c>
      <c r="F211" s="49">
        <f>E211-D211</f>
        <v>0</v>
      </c>
      <c r="G211" s="50">
        <f>IF(D211=0,0,ABS(F211/D211))</f>
        <v>0</v>
      </c>
      <c r="H211" s="49">
        <v>0</v>
      </c>
      <c r="I211" s="49">
        <v>0</v>
      </c>
      <c r="J211" s="51" t="str">
        <f>IF(H211=0,"No plan at start",I211/H211)</f>
        <v>No plan at start</v>
      </c>
      <c r="K211" s="52">
        <f>H211-I211</f>
        <v>0</v>
      </c>
      <c r="L211" s="49">
        <v>0</v>
      </c>
      <c r="M211" s="49">
        <f>I211+L211</f>
        <v>0</v>
      </c>
      <c r="N211" s="49">
        <f>M211-H211</f>
        <v>0</v>
      </c>
      <c r="O211" s="50" t="str">
        <f>IF(H211=0,"No plan at start",M211/H211)</f>
        <v>No plan at start</v>
      </c>
      <c r="P211" s="53"/>
      <c r="Q211" s="54"/>
      <c r="R211" s="55"/>
      <c r="S211" s="55"/>
    </row>
    <row r="212" spans="1:19" s="10" customFormat="1" hidden="1" outlineLevel="2" x14ac:dyDescent="0.2">
      <c r="A212" s="11"/>
      <c r="B212" s="49" t="s">
        <v>77</v>
      </c>
      <c r="C212" s="49" t="s">
        <v>53</v>
      </c>
      <c r="D212" s="49">
        <v>0</v>
      </c>
      <c r="E212" s="49">
        <v>0</v>
      </c>
      <c r="F212" s="49">
        <f>E212-D212</f>
        <v>0</v>
      </c>
      <c r="G212" s="50">
        <f>IF(D212=0,0,ABS(F212/D212))</f>
        <v>0</v>
      </c>
      <c r="H212" s="49">
        <v>0</v>
      </c>
      <c r="I212" s="49">
        <v>0</v>
      </c>
      <c r="J212" s="51" t="str">
        <f>IF(H212=0,"No plan at start",I212/H212)</f>
        <v>No plan at start</v>
      </c>
      <c r="K212" s="52">
        <f>H212-I212</f>
        <v>0</v>
      </c>
      <c r="L212" s="49">
        <v>0</v>
      </c>
      <c r="M212" s="49">
        <f>I212+L212</f>
        <v>0</v>
      </c>
      <c r="N212" s="49">
        <f>M212-H212</f>
        <v>0</v>
      </c>
      <c r="O212" s="50" t="str">
        <f>IF(H212=0,"No plan at start",M212/H212)</f>
        <v>No plan at start</v>
      </c>
      <c r="P212" s="53"/>
      <c r="Q212" s="54"/>
      <c r="R212" s="55"/>
      <c r="S212" s="55"/>
    </row>
    <row r="213" spans="1:19" s="10" customFormat="1" hidden="1" outlineLevel="2" x14ac:dyDescent="0.2">
      <c r="A213" s="11"/>
      <c r="B213" s="49" t="s">
        <v>77</v>
      </c>
      <c r="C213" s="49" t="s">
        <v>54</v>
      </c>
      <c r="D213" s="49">
        <v>0</v>
      </c>
      <c r="E213" s="49">
        <v>0</v>
      </c>
      <c r="F213" s="49">
        <f>E213-D213</f>
        <v>0</v>
      </c>
      <c r="G213" s="50">
        <f>IF(D213=0,0,ABS(F213/D213))</f>
        <v>0</v>
      </c>
      <c r="H213" s="49">
        <v>0</v>
      </c>
      <c r="I213" s="49">
        <v>0</v>
      </c>
      <c r="J213" s="51" t="str">
        <f>IF(H213=0,"No plan at start",I213/H213)</f>
        <v>No plan at start</v>
      </c>
      <c r="K213" s="52">
        <f>H213-I213</f>
        <v>0</v>
      </c>
      <c r="L213" s="49">
        <v>0</v>
      </c>
      <c r="M213" s="49">
        <f>I213+L213</f>
        <v>0</v>
      </c>
      <c r="N213" s="49">
        <f>M213-H213</f>
        <v>0</v>
      </c>
      <c r="O213" s="50" t="str">
        <f>IF(H213=0,"No plan at start",M213/H213)</f>
        <v>No plan at start</v>
      </c>
      <c r="P213" s="53"/>
      <c r="Q213" s="54"/>
      <c r="R213" s="55"/>
      <c r="S213" s="55"/>
    </row>
    <row r="214" spans="1:19" s="10" customFormat="1" hidden="1" outlineLevel="2" x14ac:dyDescent="0.2">
      <c r="A214" s="11"/>
      <c r="B214" s="49" t="s">
        <v>77</v>
      </c>
      <c r="C214" s="49" t="s">
        <v>55</v>
      </c>
      <c r="D214" s="49">
        <v>0</v>
      </c>
      <c r="E214" s="49">
        <v>0</v>
      </c>
      <c r="F214" s="49">
        <f>E214-D214</f>
        <v>0</v>
      </c>
      <c r="G214" s="50">
        <f>IF(D214=0,0,ABS(F214/D214))</f>
        <v>0</v>
      </c>
      <c r="H214" s="49">
        <v>0</v>
      </c>
      <c r="I214" s="49">
        <v>0</v>
      </c>
      <c r="J214" s="51" t="str">
        <f>IF(H214=0,"No plan at start",I214/H214)</f>
        <v>No plan at start</v>
      </c>
      <c r="K214" s="52">
        <f>H214-I214</f>
        <v>0</v>
      </c>
      <c r="L214" s="49">
        <v>0</v>
      </c>
      <c r="M214" s="49">
        <f>I214+L214</f>
        <v>0</v>
      </c>
      <c r="N214" s="49">
        <f>M214-H214</f>
        <v>0</v>
      </c>
      <c r="O214" s="50" t="str">
        <f>IF(H214=0,"No plan at start",M214/H214)</f>
        <v>No plan at start</v>
      </c>
      <c r="P214" s="53"/>
      <c r="Q214" s="54"/>
      <c r="R214" s="55"/>
      <c r="S214" s="55"/>
    </row>
    <row r="215" spans="1:19" s="10" customFormat="1" hidden="1" outlineLevel="2" x14ac:dyDescent="0.2">
      <c r="A215" s="11"/>
      <c r="B215" s="49" t="s">
        <v>77</v>
      </c>
      <c r="C215" s="49" t="s">
        <v>56</v>
      </c>
      <c r="D215" s="49">
        <v>0</v>
      </c>
      <c r="E215" s="49">
        <v>0</v>
      </c>
      <c r="F215" s="49">
        <f>E215-D215</f>
        <v>0</v>
      </c>
      <c r="G215" s="50">
        <f>IF(D215=0,0,ABS(F215/D215))</f>
        <v>0</v>
      </c>
      <c r="H215" s="49">
        <v>0</v>
      </c>
      <c r="I215" s="49">
        <v>0</v>
      </c>
      <c r="J215" s="51" t="str">
        <f>IF(H215=0,"No plan at start",I215/H215)</f>
        <v>No plan at start</v>
      </c>
      <c r="K215" s="52">
        <f>H215-I215</f>
        <v>0</v>
      </c>
      <c r="L215" s="49">
        <v>0</v>
      </c>
      <c r="M215" s="49">
        <f>I215+L215</f>
        <v>0</v>
      </c>
      <c r="N215" s="49">
        <f>M215-H215</f>
        <v>0</v>
      </c>
      <c r="O215" s="50" t="str">
        <f>IF(H215=0,"No plan at start",M215/H215)</f>
        <v>No plan at start</v>
      </c>
      <c r="P215" s="53"/>
      <c r="Q215" s="54"/>
      <c r="R215" s="55"/>
      <c r="S215" s="55"/>
    </row>
    <row r="216" spans="1:19" s="10" customFormat="1" hidden="1" outlineLevel="2" x14ac:dyDescent="0.2">
      <c r="A216" s="11"/>
      <c r="B216" s="49" t="s">
        <v>77</v>
      </c>
      <c r="C216" s="49" t="s">
        <v>57</v>
      </c>
      <c r="D216" s="49">
        <v>0</v>
      </c>
      <c r="E216" s="49">
        <v>0</v>
      </c>
      <c r="F216" s="49">
        <f>E216-D216</f>
        <v>0</v>
      </c>
      <c r="G216" s="50">
        <f>IF(D216=0,0,ABS(F216/D216))</f>
        <v>0</v>
      </c>
      <c r="H216" s="49">
        <v>0</v>
      </c>
      <c r="I216" s="49">
        <v>0</v>
      </c>
      <c r="J216" s="51" t="str">
        <f>IF(H216=0,"No plan at start",I216/H216)</f>
        <v>No plan at start</v>
      </c>
      <c r="K216" s="52">
        <f>H216-I216</f>
        <v>0</v>
      </c>
      <c r="L216" s="49">
        <v>0</v>
      </c>
      <c r="M216" s="49">
        <f>I216+L216</f>
        <v>0</v>
      </c>
      <c r="N216" s="49">
        <f>M216-H216</f>
        <v>0</v>
      </c>
      <c r="O216" s="50" t="str">
        <f>IF(H216=0,"No plan at start",M216/H216)</f>
        <v>No plan at start</v>
      </c>
      <c r="P216" s="53"/>
      <c r="Q216" s="54"/>
      <c r="R216" s="55"/>
      <c r="S216" s="55"/>
    </row>
    <row r="217" spans="1:19" s="10" customFormat="1" hidden="1" outlineLevel="2" x14ac:dyDescent="0.2">
      <c r="A217" s="11"/>
      <c r="B217" s="49" t="s">
        <v>77</v>
      </c>
      <c r="C217" s="49" t="s">
        <v>48</v>
      </c>
      <c r="D217" s="49">
        <v>0</v>
      </c>
      <c r="E217" s="49">
        <v>0</v>
      </c>
      <c r="F217" s="49">
        <f>E217-D217</f>
        <v>0</v>
      </c>
      <c r="G217" s="50">
        <f>IF(D217=0,0,ABS(F217/D217))</f>
        <v>0</v>
      </c>
      <c r="H217" s="49">
        <v>0</v>
      </c>
      <c r="I217" s="49">
        <v>0</v>
      </c>
      <c r="J217" s="51" t="str">
        <f>IF(H217=0,"No plan at start",I217/H217)</f>
        <v>No plan at start</v>
      </c>
      <c r="K217" s="52">
        <f>H217-I217</f>
        <v>0</v>
      </c>
      <c r="L217" s="49">
        <v>0</v>
      </c>
      <c r="M217" s="49">
        <f>I217+L217</f>
        <v>0</v>
      </c>
      <c r="N217" s="49">
        <f>M217-H217</f>
        <v>0</v>
      </c>
      <c r="O217" s="50" t="str">
        <f>IF(H217=0,"No plan at start",M217/H217)</f>
        <v>No plan at start</v>
      </c>
      <c r="P217" s="53"/>
      <c r="Q217" s="54"/>
      <c r="R217" s="55"/>
      <c r="S217" s="55"/>
    </row>
    <row r="218" spans="1:19" s="10" customFormat="1" hidden="1" outlineLevel="2" x14ac:dyDescent="0.2">
      <c r="A218" s="11"/>
      <c r="B218" s="49" t="s">
        <v>77</v>
      </c>
      <c r="C218" s="49" t="s">
        <v>58</v>
      </c>
      <c r="D218" s="49">
        <v>0</v>
      </c>
      <c r="E218" s="49">
        <v>0</v>
      </c>
      <c r="F218" s="49">
        <f>E218-D218</f>
        <v>0</v>
      </c>
      <c r="G218" s="50">
        <f>IF(D218=0,0,ABS(F218/D218))</f>
        <v>0</v>
      </c>
      <c r="H218" s="49">
        <v>0</v>
      </c>
      <c r="I218" s="49">
        <v>0</v>
      </c>
      <c r="J218" s="51" t="str">
        <f>IF(H218=0,"No plan at start",I218/H218)</f>
        <v>No plan at start</v>
      </c>
      <c r="K218" s="52">
        <f>H218-I218</f>
        <v>0</v>
      </c>
      <c r="L218" s="49">
        <v>0</v>
      </c>
      <c r="M218" s="49">
        <f>I218+L218</f>
        <v>0</v>
      </c>
      <c r="N218" s="49">
        <f>M218-H218</f>
        <v>0</v>
      </c>
      <c r="O218" s="50" t="str">
        <f>IF(H218=0,"No plan at start",M218/H218)</f>
        <v>No plan at start</v>
      </c>
      <c r="P218" s="53"/>
      <c r="Q218" s="54"/>
      <c r="R218" s="55"/>
      <c r="S218" s="55"/>
    </row>
    <row r="219" spans="1:19" s="10" customFormat="1" hidden="1" outlineLevel="2" x14ac:dyDescent="0.2">
      <c r="A219" s="11"/>
      <c r="B219" s="49" t="s">
        <v>77</v>
      </c>
      <c r="C219" s="49" t="s">
        <v>59</v>
      </c>
      <c r="D219" s="49">
        <v>0</v>
      </c>
      <c r="E219" s="49">
        <v>0</v>
      </c>
      <c r="F219" s="49">
        <f>E219-D219</f>
        <v>0</v>
      </c>
      <c r="G219" s="50">
        <f>IF(D219=0,0,ABS(F219/D219))</f>
        <v>0</v>
      </c>
      <c r="H219" s="49">
        <v>0</v>
      </c>
      <c r="I219" s="49">
        <v>0</v>
      </c>
      <c r="J219" s="51" t="str">
        <f>IF(H219=0,"No plan at start",I219/H219)</f>
        <v>No plan at start</v>
      </c>
      <c r="K219" s="52">
        <f>H219-I219</f>
        <v>0</v>
      </c>
      <c r="L219" s="49">
        <v>0</v>
      </c>
      <c r="M219" s="49">
        <f>I219+L219</f>
        <v>0</v>
      </c>
      <c r="N219" s="49">
        <f>M219-H219</f>
        <v>0</v>
      </c>
      <c r="O219" s="50" t="str">
        <f>IF(H219=0,"No plan at start",M219/H219)</f>
        <v>No plan at start</v>
      </c>
      <c r="P219" s="53"/>
      <c r="Q219" s="54"/>
      <c r="R219" s="55"/>
      <c r="S219" s="55"/>
    </row>
    <row r="220" spans="1:19" s="10" customFormat="1" hidden="1" outlineLevel="2" x14ac:dyDescent="0.2">
      <c r="A220" s="11"/>
      <c r="B220" s="49" t="s">
        <v>77</v>
      </c>
      <c r="C220" s="49" t="s">
        <v>60</v>
      </c>
      <c r="D220" s="49">
        <v>0</v>
      </c>
      <c r="E220" s="49">
        <v>0</v>
      </c>
      <c r="F220" s="49">
        <f>E220-D220</f>
        <v>0</v>
      </c>
      <c r="G220" s="50">
        <f>IF(D220=0,0,ABS(F220/D220))</f>
        <v>0</v>
      </c>
      <c r="H220" s="49">
        <v>0</v>
      </c>
      <c r="I220" s="49">
        <v>0</v>
      </c>
      <c r="J220" s="51" t="str">
        <f>IF(H220=0,"No plan at start",I220/H220)</f>
        <v>No plan at start</v>
      </c>
      <c r="K220" s="52">
        <f>H220-I220</f>
        <v>0</v>
      </c>
      <c r="L220" s="49">
        <v>0</v>
      </c>
      <c r="M220" s="49">
        <f>I220+L220</f>
        <v>0</v>
      </c>
      <c r="N220" s="49">
        <f>M220-H220</f>
        <v>0</v>
      </c>
      <c r="O220" s="50" t="str">
        <f>IF(H220=0,"No plan at start",M220/H220)</f>
        <v>No plan at start</v>
      </c>
      <c r="P220" s="53"/>
      <c r="Q220" s="54"/>
      <c r="R220" s="55"/>
      <c r="S220" s="55"/>
    </row>
    <row r="221" spans="1:19" s="10" customFormat="1" hidden="1" outlineLevel="2" x14ac:dyDescent="0.2">
      <c r="A221" s="11"/>
      <c r="B221" s="49" t="s">
        <v>77</v>
      </c>
      <c r="C221" s="49" t="s">
        <v>61</v>
      </c>
      <c r="D221" s="49">
        <v>0</v>
      </c>
      <c r="E221" s="49">
        <v>0</v>
      </c>
      <c r="F221" s="49">
        <f>E221-D221</f>
        <v>0</v>
      </c>
      <c r="G221" s="50">
        <f>IF(D221=0,0,ABS(F221/D221))</f>
        <v>0</v>
      </c>
      <c r="H221" s="49">
        <v>0</v>
      </c>
      <c r="I221" s="49">
        <v>0</v>
      </c>
      <c r="J221" s="51" t="str">
        <f>IF(H221=0,"No plan at start",I221/H221)</f>
        <v>No plan at start</v>
      </c>
      <c r="K221" s="52">
        <f>H221-I221</f>
        <v>0</v>
      </c>
      <c r="L221" s="49">
        <v>0</v>
      </c>
      <c r="M221" s="49">
        <f>I221+L221</f>
        <v>0</v>
      </c>
      <c r="N221" s="49">
        <f>M221-H221</f>
        <v>0</v>
      </c>
      <c r="O221" s="50" t="str">
        <f>IF(H221=0,"No plan at start",M221/H221)</f>
        <v>No plan at start</v>
      </c>
      <c r="P221" s="53"/>
      <c r="Q221" s="54"/>
      <c r="R221" s="55"/>
      <c r="S221" s="55"/>
    </row>
    <row r="222" spans="1:19" s="10" customFormat="1" hidden="1" outlineLevel="2" x14ac:dyDescent="0.2">
      <c r="A222" s="11"/>
      <c r="B222" s="49" t="s">
        <v>77</v>
      </c>
      <c r="C222" s="49" t="s">
        <v>62</v>
      </c>
      <c r="D222" s="49">
        <v>0</v>
      </c>
      <c r="E222" s="49">
        <v>0</v>
      </c>
      <c r="F222" s="49">
        <f>E222-D222</f>
        <v>0</v>
      </c>
      <c r="G222" s="50">
        <f>IF(D222=0,0,ABS(F222/D222))</f>
        <v>0</v>
      </c>
      <c r="H222" s="49">
        <v>0</v>
      </c>
      <c r="I222" s="49">
        <v>0</v>
      </c>
      <c r="J222" s="51" t="str">
        <f>IF(H222=0,"No plan at start",I222/H222)</f>
        <v>No plan at start</v>
      </c>
      <c r="K222" s="52">
        <f>H222-I222</f>
        <v>0</v>
      </c>
      <c r="L222" s="49">
        <v>0</v>
      </c>
      <c r="M222" s="49">
        <f>I222+L222</f>
        <v>0</v>
      </c>
      <c r="N222" s="49">
        <f>M222-H222</f>
        <v>0</v>
      </c>
      <c r="O222" s="50" t="str">
        <f>IF(H222=0,"No plan at start",M222/H222)</f>
        <v>No plan at start</v>
      </c>
      <c r="P222" s="53"/>
      <c r="Q222" s="54"/>
      <c r="R222" s="55"/>
      <c r="S222" s="55"/>
    </row>
    <row r="223" spans="1:19" s="10" customFormat="1" outlineLevel="1" collapsed="1" x14ac:dyDescent="0.2">
      <c r="A223" s="11"/>
      <c r="B223" s="56" t="s">
        <v>116</v>
      </c>
      <c r="C223" s="49"/>
      <c r="D223" s="49">
        <f>SUBTOTAL(9,D211:D222)</f>
        <v>0</v>
      </c>
      <c r="E223" s="49">
        <f>SUBTOTAL(9,E211:E222)</f>
        <v>0</v>
      </c>
      <c r="F223" s="49">
        <f>SUBTOTAL(9,F211:F222)</f>
        <v>0</v>
      </c>
      <c r="G223" s="50">
        <f>IF(D223=0,0,ABS(F223/D223))</f>
        <v>0</v>
      </c>
      <c r="H223" s="49">
        <f>SUBTOTAL(9,H211:H222)</f>
        <v>0</v>
      </c>
      <c r="I223" s="49">
        <f>SUBTOTAL(9,I211:I222)</f>
        <v>0</v>
      </c>
      <c r="J223" s="51" t="str">
        <f>IF(H223=0,"No plan at start",I223/H223)</f>
        <v>No plan at start</v>
      </c>
      <c r="K223" s="52">
        <f>SUBTOTAL(9,K211:K222)</f>
        <v>0</v>
      </c>
      <c r="L223" s="49">
        <f>SUBTOTAL(9,L211:L222)</f>
        <v>0</v>
      </c>
      <c r="M223" s="49">
        <f>SUBTOTAL(9,M211:M222)</f>
        <v>0</v>
      </c>
      <c r="N223" s="49">
        <f>SUBTOTAL(9,N211:N222)</f>
        <v>0</v>
      </c>
      <c r="O223" s="50" t="str">
        <f>IF(H223=0,"No plan at start",M223/H223)</f>
        <v>No plan at start</v>
      </c>
      <c r="P223" s="53"/>
      <c r="Q223" s="54"/>
      <c r="R223" s="55"/>
      <c r="S223" s="55"/>
    </row>
    <row r="224" spans="1:19" s="10" customFormat="1" hidden="1" outlineLevel="2" x14ac:dyDescent="0.2">
      <c r="A224" s="11"/>
      <c r="B224" s="49" t="s">
        <v>78</v>
      </c>
      <c r="C224" s="49" t="s">
        <v>52</v>
      </c>
      <c r="D224" s="49">
        <v>0</v>
      </c>
      <c r="E224" s="49">
        <v>0</v>
      </c>
      <c r="F224" s="49">
        <f>E224-D224</f>
        <v>0</v>
      </c>
      <c r="G224" s="50">
        <f>IF(D224=0,0,ABS(F224/D224))</f>
        <v>0</v>
      </c>
      <c r="H224" s="49">
        <v>0</v>
      </c>
      <c r="I224" s="49">
        <v>11</v>
      </c>
      <c r="J224" s="51" t="str">
        <f>IF(H224=0,"No plan at start",I224/H224)</f>
        <v>No plan at start</v>
      </c>
      <c r="K224" s="52">
        <f>H224-I224</f>
        <v>-11</v>
      </c>
      <c r="L224" s="49">
        <v>0</v>
      </c>
      <c r="M224" s="49">
        <f>I224+L224</f>
        <v>11</v>
      </c>
      <c r="N224" s="49">
        <f>M224-H224</f>
        <v>11</v>
      </c>
      <c r="O224" s="50" t="str">
        <f>IF(H224=0,"No plan at start",M224/H224)</f>
        <v>No plan at start</v>
      </c>
      <c r="P224" s="53"/>
      <c r="Q224" s="54"/>
      <c r="R224" s="55"/>
      <c r="S224" s="55"/>
    </row>
    <row r="225" spans="1:19" s="10" customFormat="1" hidden="1" outlineLevel="2" x14ac:dyDescent="0.2">
      <c r="A225" s="11"/>
      <c r="B225" s="49" t="s">
        <v>78</v>
      </c>
      <c r="C225" s="49" t="s">
        <v>53</v>
      </c>
      <c r="D225" s="49">
        <v>0</v>
      </c>
      <c r="E225" s="49">
        <v>0</v>
      </c>
      <c r="F225" s="49">
        <f>E225-D225</f>
        <v>0</v>
      </c>
      <c r="G225" s="50">
        <f>IF(D225=0,0,ABS(F225/D225))</f>
        <v>0</v>
      </c>
      <c r="H225" s="49">
        <v>0</v>
      </c>
      <c r="I225" s="49">
        <v>99</v>
      </c>
      <c r="J225" s="51" t="str">
        <f>IF(H225=0,"No plan at start",I225/H225)</f>
        <v>No plan at start</v>
      </c>
      <c r="K225" s="52">
        <f>H225-I225</f>
        <v>-99</v>
      </c>
      <c r="L225" s="49">
        <v>0</v>
      </c>
      <c r="M225" s="49">
        <f>I225+L225</f>
        <v>99</v>
      </c>
      <c r="N225" s="49">
        <f>M225-H225</f>
        <v>99</v>
      </c>
      <c r="O225" s="50" t="str">
        <f>IF(H225=0,"No plan at start",M225/H225)</f>
        <v>No plan at start</v>
      </c>
      <c r="P225" s="53"/>
      <c r="Q225" s="54"/>
      <c r="R225" s="55"/>
      <c r="S225" s="55"/>
    </row>
    <row r="226" spans="1:19" s="10" customFormat="1" hidden="1" outlineLevel="2" x14ac:dyDescent="0.2">
      <c r="A226" s="11"/>
      <c r="B226" s="49" t="s">
        <v>78</v>
      </c>
      <c r="C226" s="49" t="s">
        <v>54</v>
      </c>
      <c r="D226" s="49">
        <v>0</v>
      </c>
      <c r="E226" s="49">
        <v>0</v>
      </c>
      <c r="F226" s="49">
        <f>E226-D226</f>
        <v>0</v>
      </c>
      <c r="G226" s="50">
        <f>IF(D226=0,0,ABS(F226/D226))</f>
        <v>0</v>
      </c>
      <c r="H226" s="49">
        <v>0</v>
      </c>
      <c r="I226" s="49">
        <v>0</v>
      </c>
      <c r="J226" s="51" t="str">
        <f>IF(H226=0,"No plan at start",I226/H226)</f>
        <v>No plan at start</v>
      </c>
      <c r="K226" s="52">
        <f>H226-I226</f>
        <v>0</v>
      </c>
      <c r="L226" s="49">
        <v>0</v>
      </c>
      <c r="M226" s="49">
        <f>I226+L226</f>
        <v>0</v>
      </c>
      <c r="N226" s="49">
        <f>M226-H226</f>
        <v>0</v>
      </c>
      <c r="O226" s="50" t="str">
        <f>IF(H226=0,"No plan at start",M226/H226)</f>
        <v>No plan at start</v>
      </c>
      <c r="P226" s="53"/>
      <c r="Q226" s="54"/>
      <c r="R226" s="55"/>
      <c r="S226" s="55"/>
    </row>
    <row r="227" spans="1:19" s="10" customFormat="1" hidden="1" outlineLevel="2" x14ac:dyDescent="0.2">
      <c r="A227" s="11"/>
      <c r="B227" s="49" t="s">
        <v>78</v>
      </c>
      <c r="C227" s="49" t="s">
        <v>55</v>
      </c>
      <c r="D227" s="49">
        <v>0</v>
      </c>
      <c r="E227" s="49">
        <v>0</v>
      </c>
      <c r="F227" s="49">
        <f>E227-D227</f>
        <v>0</v>
      </c>
      <c r="G227" s="50">
        <f>IF(D227=0,0,ABS(F227/D227))</f>
        <v>0</v>
      </c>
      <c r="H227" s="49">
        <v>0</v>
      </c>
      <c r="I227" s="49">
        <v>25.25</v>
      </c>
      <c r="J227" s="51" t="str">
        <f>IF(H227=0,"No plan at start",I227/H227)</f>
        <v>No plan at start</v>
      </c>
      <c r="K227" s="52">
        <f>H227-I227</f>
        <v>-25.25</v>
      </c>
      <c r="L227" s="49">
        <v>0</v>
      </c>
      <c r="M227" s="49">
        <f>I227+L227</f>
        <v>25.25</v>
      </c>
      <c r="N227" s="49">
        <f>M227-H227</f>
        <v>25.25</v>
      </c>
      <c r="O227" s="50" t="str">
        <f>IF(H227=0,"No plan at start",M227/H227)</f>
        <v>No plan at start</v>
      </c>
      <c r="P227" s="53"/>
      <c r="Q227" s="54"/>
      <c r="R227" s="55"/>
      <c r="S227" s="55"/>
    </row>
    <row r="228" spans="1:19" s="10" customFormat="1" hidden="1" outlineLevel="2" x14ac:dyDescent="0.2">
      <c r="A228" s="11"/>
      <c r="B228" s="49" t="s">
        <v>78</v>
      </c>
      <c r="C228" s="49" t="s">
        <v>56</v>
      </c>
      <c r="D228" s="49">
        <v>0</v>
      </c>
      <c r="E228" s="49">
        <v>0</v>
      </c>
      <c r="F228" s="49">
        <f>E228-D228</f>
        <v>0</v>
      </c>
      <c r="G228" s="50">
        <f>IF(D228=0,0,ABS(F228/D228))</f>
        <v>0</v>
      </c>
      <c r="H228" s="49">
        <v>0</v>
      </c>
      <c r="I228" s="49">
        <v>0</v>
      </c>
      <c r="J228" s="51" t="str">
        <f>IF(H228=0,"No plan at start",I228/H228)</f>
        <v>No plan at start</v>
      </c>
      <c r="K228" s="52">
        <f>H228-I228</f>
        <v>0</v>
      </c>
      <c r="L228" s="49">
        <v>0</v>
      </c>
      <c r="M228" s="49">
        <f>I228+L228</f>
        <v>0</v>
      </c>
      <c r="N228" s="49">
        <f>M228-H228</f>
        <v>0</v>
      </c>
      <c r="O228" s="50" t="str">
        <f>IF(H228=0,"No plan at start",M228/H228)</f>
        <v>No plan at start</v>
      </c>
      <c r="P228" s="53"/>
      <c r="Q228" s="54"/>
      <c r="R228" s="55"/>
      <c r="S228" s="55"/>
    </row>
    <row r="229" spans="1:19" s="10" customFormat="1" hidden="1" outlineLevel="2" x14ac:dyDescent="0.2">
      <c r="A229" s="11"/>
      <c r="B229" s="49" t="s">
        <v>78</v>
      </c>
      <c r="C229" s="49" t="s">
        <v>57</v>
      </c>
      <c r="D229" s="49">
        <v>0</v>
      </c>
      <c r="E229" s="49">
        <v>0</v>
      </c>
      <c r="F229" s="49">
        <f>E229-D229</f>
        <v>0</v>
      </c>
      <c r="G229" s="50">
        <f>IF(D229=0,0,ABS(F229/D229))</f>
        <v>0</v>
      </c>
      <c r="H229" s="49">
        <v>0</v>
      </c>
      <c r="I229" s="49">
        <v>0</v>
      </c>
      <c r="J229" s="51" t="str">
        <f>IF(H229=0,"No plan at start",I229/H229)</f>
        <v>No plan at start</v>
      </c>
      <c r="K229" s="52">
        <f>H229-I229</f>
        <v>0</v>
      </c>
      <c r="L229" s="49">
        <v>0</v>
      </c>
      <c r="M229" s="49">
        <f>I229+L229</f>
        <v>0</v>
      </c>
      <c r="N229" s="49">
        <f>M229-H229</f>
        <v>0</v>
      </c>
      <c r="O229" s="50" t="str">
        <f>IF(H229=0,"No plan at start",M229/H229)</f>
        <v>No plan at start</v>
      </c>
      <c r="P229" s="53"/>
      <c r="Q229" s="54"/>
      <c r="R229" s="55"/>
      <c r="S229" s="55"/>
    </row>
    <row r="230" spans="1:19" s="10" customFormat="1" hidden="1" outlineLevel="2" x14ac:dyDescent="0.2">
      <c r="A230" s="11"/>
      <c r="B230" s="49" t="s">
        <v>78</v>
      </c>
      <c r="C230" s="49" t="s">
        <v>48</v>
      </c>
      <c r="D230" s="49">
        <v>0</v>
      </c>
      <c r="E230" s="49">
        <v>0</v>
      </c>
      <c r="F230" s="49">
        <f>E230-D230</f>
        <v>0</v>
      </c>
      <c r="G230" s="50">
        <f>IF(D230=0,0,ABS(F230/D230))</f>
        <v>0</v>
      </c>
      <c r="H230" s="49">
        <v>0</v>
      </c>
      <c r="I230" s="49">
        <v>0</v>
      </c>
      <c r="J230" s="51" t="str">
        <f>IF(H230=0,"No plan at start",I230/H230)</f>
        <v>No plan at start</v>
      </c>
      <c r="K230" s="52">
        <f>H230-I230</f>
        <v>0</v>
      </c>
      <c r="L230" s="49">
        <v>0</v>
      </c>
      <c r="M230" s="49">
        <f>I230+L230</f>
        <v>0</v>
      </c>
      <c r="N230" s="49">
        <f>M230-H230</f>
        <v>0</v>
      </c>
      <c r="O230" s="50" t="str">
        <f>IF(H230=0,"No plan at start",M230/H230)</f>
        <v>No plan at start</v>
      </c>
      <c r="P230" s="53"/>
      <c r="Q230" s="54"/>
      <c r="R230" s="55"/>
      <c r="S230" s="55"/>
    </row>
    <row r="231" spans="1:19" s="10" customFormat="1" hidden="1" outlineLevel="2" x14ac:dyDescent="0.2">
      <c r="A231" s="11"/>
      <c r="B231" s="49" t="s">
        <v>78</v>
      </c>
      <c r="C231" s="49" t="s">
        <v>58</v>
      </c>
      <c r="D231" s="49">
        <v>0</v>
      </c>
      <c r="E231" s="49">
        <v>0</v>
      </c>
      <c r="F231" s="49">
        <f>E231-D231</f>
        <v>0</v>
      </c>
      <c r="G231" s="50">
        <f>IF(D231=0,0,ABS(F231/D231))</f>
        <v>0</v>
      </c>
      <c r="H231" s="49">
        <v>0</v>
      </c>
      <c r="I231" s="49">
        <v>0</v>
      </c>
      <c r="J231" s="51" t="str">
        <f>IF(H231=0,"No plan at start",I231/H231)</f>
        <v>No plan at start</v>
      </c>
      <c r="K231" s="52">
        <f>H231-I231</f>
        <v>0</v>
      </c>
      <c r="L231" s="49">
        <v>0</v>
      </c>
      <c r="M231" s="49">
        <f>I231+L231</f>
        <v>0</v>
      </c>
      <c r="N231" s="49">
        <f>M231-H231</f>
        <v>0</v>
      </c>
      <c r="O231" s="50" t="str">
        <f>IF(H231=0,"No plan at start",M231/H231)</f>
        <v>No plan at start</v>
      </c>
      <c r="P231" s="53"/>
      <c r="Q231" s="54"/>
      <c r="R231" s="55"/>
      <c r="S231" s="55"/>
    </row>
    <row r="232" spans="1:19" s="10" customFormat="1" hidden="1" outlineLevel="2" x14ac:dyDescent="0.2">
      <c r="A232" s="11"/>
      <c r="B232" s="49" t="s">
        <v>78</v>
      </c>
      <c r="C232" s="49" t="s">
        <v>59</v>
      </c>
      <c r="D232" s="49">
        <v>0</v>
      </c>
      <c r="E232" s="49">
        <v>0</v>
      </c>
      <c r="F232" s="49">
        <f>E232-D232</f>
        <v>0</v>
      </c>
      <c r="G232" s="50">
        <f>IF(D232=0,0,ABS(F232/D232))</f>
        <v>0</v>
      </c>
      <c r="H232" s="49">
        <v>0</v>
      </c>
      <c r="I232" s="49">
        <v>0</v>
      </c>
      <c r="J232" s="51" t="str">
        <f>IF(H232=0,"No plan at start",I232/H232)</f>
        <v>No plan at start</v>
      </c>
      <c r="K232" s="52">
        <f>H232-I232</f>
        <v>0</v>
      </c>
      <c r="L232" s="49">
        <v>0</v>
      </c>
      <c r="M232" s="49">
        <f>I232+L232</f>
        <v>0</v>
      </c>
      <c r="N232" s="49">
        <f>M232-H232</f>
        <v>0</v>
      </c>
      <c r="O232" s="50" t="str">
        <f>IF(H232=0,"No plan at start",M232/H232)</f>
        <v>No plan at start</v>
      </c>
      <c r="P232" s="53"/>
      <c r="Q232" s="54"/>
      <c r="R232" s="55"/>
      <c r="S232" s="55"/>
    </row>
    <row r="233" spans="1:19" s="10" customFormat="1" hidden="1" outlineLevel="2" x14ac:dyDescent="0.2">
      <c r="A233" s="11"/>
      <c r="B233" s="49" t="s">
        <v>78</v>
      </c>
      <c r="C233" s="49" t="s">
        <v>60</v>
      </c>
      <c r="D233" s="49">
        <v>0</v>
      </c>
      <c r="E233" s="49">
        <v>0</v>
      </c>
      <c r="F233" s="49">
        <f>E233-D233</f>
        <v>0</v>
      </c>
      <c r="G233" s="50">
        <f>IF(D233=0,0,ABS(F233/D233))</f>
        <v>0</v>
      </c>
      <c r="H233" s="49">
        <v>0</v>
      </c>
      <c r="I233" s="49">
        <v>0</v>
      </c>
      <c r="J233" s="51" t="str">
        <f>IF(H233=0,"No plan at start",I233/H233)</f>
        <v>No plan at start</v>
      </c>
      <c r="K233" s="52">
        <f>H233-I233</f>
        <v>0</v>
      </c>
      <c r="L233" s="49">
        <v>0</v>
      </c>
      <c r="M233" s="49">
        <f>I233+L233</f>
        <v>0</v>
      </c>
      <c r="N233" s="49">
        <f>M233-H233</f>
        <v>0</v>
      </c>
      <c r="O233" s="50" t="str">
        <f>IF(H233=0,"No plan at start",M233/H233)</f>
        <v>No plan at start</v>
      </c>
      <c r="P233" s="53"/>
      <c r="Q233" s="54"/>
      <c r="R233" s="55"/>
      <c r="S233" s="55"/>
    </row>
    <row r="234" spans="1:19" s="10" customFormat="1" hidden="1" outlineLevel="2" x14ac:dyDescent="0.2">
      <c r="A234" s="11"/>
      <c r="B234" s="49" t="s">
        <v>78</v>
      </c>
      <c r="C234" s="49" t="s">
        <v>61</v>
      </c>
      <c r="D234" s="49">
        <v>0</v>
      </c>
      <c r="E234" s="49">
        <v>0</v>
      </c>
      <c r="F234" s="49">
        <f>E234-D234</f>
        <v>0</v>
      </c>
      <c r="G234" s="50">
        <f>IF(D234=0,0,ABS(F234/D234))</f>
        <v>0</v>
      </c>
      <c r="H234" s="49">
        <v>0</v>
      </c>
      <c r="I234" s="49">
        <v>0</v>
      </c>
      <c r="J234" s="51" t="str">
        <f>IF(H234=0,"No plan at start",I234/H234)</f>
        <v>No plan at start</v>
      </c>
      <c r="K234" s="52">
        <f>H234-I234</f>
        <v>0</v>
      </c>
      <c r="L234" s="49">
        <v>0</v>
      </c>
      <c r="M234" s="49">
        <f>I234+L234</f>
        <v>0</v>
      </c>
      <c r="N234" s="49">
        <f>M234-H234</f>
        <v>0</v>
      </c>
      <c r="O234" s="50" t="str">
        <f>IF(H234=0,"No plan at start",M234/H234)</f>
        <v>No plan at start</v>
      </c>
      <c r="P234" s="53"/>
      <c r="Q234" s="54"/>
      <c r="R234" s="55"/>
      <c r="S234" s="55"/>
    </row>
    <row r="235" spans="1:19" s="10" customFormat="1" hidden="1" outlineLevel="2" x14ac:dyDescent="0.2">
      <c r="A235" s="11"/>
      <c r="B235" s="49" t="s">
        <v>78</v>
      </c>
      <c r="C235" s="49" t="s">
        <v>62</v>
      </c>
      <c r="D235" s="49">
        <v>0</v>
      </c>
      <c r="E235" s="49">
        <v>0</v>
      </c>
      <c r="F235" s="49">
        <f>E235-D235</f>
        <v>0</v>
      </c>
      <c r="G235" s="50">
        <f>IF(D235=0,0,ABS(F235/D235))</f>
        <v>0</v>
      </c>
      <c r="H235" s="49">
        <v>0</v>
      </c>
      <c r="I235" s="49">
        <v>0</v>
      </c>
      <c r="J235" s="51" t="str">
        <f>IF(H235=0,"No plan at start",I235/H235)</f>
        <v>No plan at start</v>
      </c>
      <c r="K235" s="52">
        <f>H235-I235</f>
        <v>0</v>
      </c>
      <c r="L235" s="49">
        <v>0</v>
      </c>
      <c r="M235" s="49">
        <f>I235+L235</f>
        <v>0</v>
      </c>
      <c r="N235" s="49">
        <f>M235-H235</f>
        <v>0</v>
      </c>
      <c r="O235" s="50" t="str">
        <f>IF(H235=0,"No plan at start",M235/H235)</f>
        <v>No plan at start</v>
      </c>
      <c r="P235" s="53"/>
      <c r="Q235" s="54"/>
      <c r="R235" s="55"/>
      <c r="S235" s="55"/>
    </row>
    <row r="236" spans="1:19" s="10" customFormat="1" outlineLevel="1" collapsed="1" x14ac:dyDescent="0.2">
      <c r="A236" s="11"/>
      <c r="B236" s="56" t="s">
        <v>117</v>
      </c>
      <c r="C236" s="49"/>
      <c r="D236" s="49">
        <f>SUBTOTAL(9,D224:D235)</f>
        <v>0</v>
      </c>
      <c r="E236" s="49">
        <f>SUBTOTAL(9,E224:E235)</f>
        <v>0</v>
      </c>
      <c r="F236" s="49">
        <f>SUBTOTAL(9,F224:F235)</f>
        <v>0</v>
      </c>
      <c r="G236" s="50">
        <f>IF(D236=0,0,ABS(F236/D236))</f>
        <v>0</v>
      </c>
      <c r="H236" s="49">
        <f>SUBTOTAL(9,H224:H235)</f>
        <v>0</v>
      </c>
      <c r="I236" s="49">
        <f>SUBTOTAL(9,I224:I235)</f>
        <v>135.25</v>
      </c>
      <c r="J236" s="51" t="str">
        <f>IF(H236=0,"No plan at start",I236/H236)</f>
        <v>No plan at start</v>
      </c>
      <c r="K236" s="52">
        <f>SUBTOTAL(9,K224:K235)</f>
        <v>-135.25</v>
      </c>
      <c r="L236" s="49">
        <f>SUBTOTAL(9,L224:L235)</f>
        <v>0</v>
      </c>
      <c r="M236" s="49">
        <f>SUBTOTAL(9,M224:M235)</f>
        <v>135.25</v>
      </c>
      <c r="N236" s="49">
        <f>SUBTOTAL(9,N224:N235)</f>
        <v>135.25</v>
      </c>
      <c r="O236" s="50" t="str">
        <f>IF(H236=0,"No plan at start",M236/H236)</f>
        <v>No plan at start</v>
      </c>
      <c r="P236" s="53"/>
      <c r="Q236" s="54"/>
      <c r="R236" s="55"/>
      <c r="S236" s="55"/>
    </row>
    <row r="237" spans="1:19" s="10" customFormat="1" hidden="1" outlineLevel="2" x14ac:dyDescent="0.2">
      <c r="A237" s="11"/>
      <c r="B237" s="49" t="s">
        <v>79</v>
      </c>
      <c r="C237" s="49" t="s">
        <v>52</v>
      </c>
      <c r="D237" s="49">
        <v>0</v>
      </c>
      <c r="E237" s="49">
        <v>0</v>
      </c>
      <c r="F237" s="49">
        <f>E237-D237</f>
        <v>0</v>
      </c>
      <c r="G237" s="50">
        <f>IF(D237=0,0,ABS(F237/D237))</f>
        <v>0</v>
      </c>
      <c r="H237" s="49">
        <v>0</v>
      </c>
      <c r="I237" s="49">
        <v>0</v>
      </c>
      <c r="J237" s="51" t="str">
        <f>IF(H237=0,"No plan at start",I237/H237)</f>
        <v>No plan at start</v>
      </c>
      <c r="K237" s="52">
        <f>H237-I237</f>
        <v>0</v>
      </c>
      <c r="L237" s="49">
        <v>0</v>
      </c>
      <c r="M237" s="49">
        <f>I237+L237</f>
        <v>0</v>
      </c>
      <c r="N237" s="49">
        <f>M237-H237</f>
        <v>0</v>
      </c>
      <c r="O237" s="50" t="str">
        <f>IF(H237=0,"No plan at start",M237/H237)</f>
        <v>No plan at start</v>
      </c>
      <c r="P237" s="53"/>
      <c r="Q237" s="54"/>
      <c r="R237" s="55"/>
      <c r="S237" s="55"/>
    </row>
    <row r="238" spans="1:19" s="10" customFormat="1" hidden="1" outlineLevel="2" x14ac:dyDescent="0.2">
      <c r="A238" s="11"/>
      <c r="B238" s="49" t="s">
        <v>79</v>
      </c>
      <c r="C238" s="49" t="s">
        <v>53</v>
      </c>
      <c r="D238" s="49">
        <v>0</v>
      </c>
      <c r="E238" s="49">
        <v>1</v>
      </c>
      <c r="F238" s="49">
        <f>E238-D238</f>
        <v>1</v>
      </c>
      <c r="G238" s="50">
        <f>IF(D238=0,0,ABS(F238/D238))</f>
        <v>0</v>
      </c>
      <c r="H238" s="49">
        <v>547.20000000000005</v>
      </c>
      <c r="I238" s="49">
        <v>2</v>
      </c>
      <c r="J238" s="51">
        <f>IF(H238=0,"No plan at start",I238/H238)</f>
        <v>3.6549707602339179E-3</v>
      </c>
      <c r="K238" s="52">
        <f>H238-I238</f>
        <v>545.20000000000005</v>
      </c>
      <c r="L238" s="49">
        <v>168</v>
      </c>
      <c r="M238" s="49">
        <f>I238+L238</f>
        <v>170</v>
      </c>
      <c r="N238" s="49">
        <f>M238-H238</f>
        <v>-377.20000000000005</v>
      </c>
      <c r="O238" s="50">
        <f>IF(H238=0,"No plan at start",M238/H238)</f>
        <v>0.31067251461988299</v>
      </c>
      <c r="P238" s="53"/>
      <c r="Q238" s="54"/>
      <c r="R238" s="55"/>
      <c r="S238" s="55"/>
    </row>
    <row r="239" spans="1:19" s="10" customFormat="1" hidden="1" outlineLevel="2" x14ac:dyDescent="0.2">
      <c r="A239" s="11"/>
      <c r="B239" s="49" t="s">
        <v>79</v>
      </c>
      <c r="C239" s="49" t="s">
        <v>54</v>
      </c>
      <c r="D239" s="49">
        <v>0</v>
      </c>
      <c r="E239" s="49">
        <v>0</v>
      </c>
      <c r="F239" s="49">
        <f>E239-D239</f>
        <v>0</v>
      </c>
      <c r="G239" s="50">
        <f>IF(D239=0,0,ABS(F239/D239))</f>
        <v>0</v>
      </c>
      <c r="H239" s="49">
        <v>0</v>
      </c>
      <c r="I239" s="49">
        <v>0</v>
      </c>
      <c r="J239" s="51" t="str">
        <f>IF(H239=0,"No plan at start",I239/H239)</f>
        <v>No plan at start</v>
      </c>
      <c r="K239" s="52">
        <f>H239-I239</f>
        <v>0</v>
      </c>
      <c r="L239" s="49">
        <v>0</v>
      </c>
      <c r="M239" s="49">
        <f>I239+L239</f>
        <v>0</v>
      </c>
      <c r="N239" s="49">
        <f>M239-H239</f>
        <v>0</v>
      </c>
      <c r="O239" s="50" t="str">
        <f>IF(H239=0,"No plan at start",M239/H239)</f>
        <v>No plan at start</v>
      </c>
      <c r="P239" s="53"/>
      <c r="Q239" s="54"/>
      <c r="R239" s="55"/>
      <c r="S239" s="55"/>
    </row>
    <row r="240" spans="1:19" s="10" customFormat="1" hidden="1" outlineLevel="2" x14ac:dyDescent="0.2">
      <c r="A240" s="11"/>
      <c r="B240" s="49" t="s">
        <v>79</v>
      </c>
      <c r="C240" s="49" t="s">
        <v>55</v>
      </c>
      <c r="D240" s="49">
        <v>0</v>
      </c>
      <c r="E240" s="49">
        <v>4.5</v>
      </c>
      <c r="F240" s="49">
        <f>E240-D240</f>
        <v>4.5</v>
      </c>
      <c r="G240" s="50">
        <f>IF(D240=0,0,ABS(F240/D240))</f>
        <v>0</v>
      </c>
      <c r="H240" s="49">
        <v>0</v>
      </c>
      <c r="I240" s="49">
        <v>11.5</v>
      </c>
      <c r="J240" s="51" t="str">
        <f>IF(H240=0,"No plan at start",I240/H240)</f>
        <v>No plan at start</v>
      </c>
      <c r="K240" s="52">
        <f>H240-I240</f>
        <v>-11.5</v>
      </c>
      <c r="L240" s="49">
        <v>0</v>
      </c>
      <c r="M240" s="49">
        <f>I240+L240</f>
        <v>11.5</v>
      </c>
      <c r="N240" s="49">
        <f>M240-H240</f>
        <v>11.5</v>
      </c>
      <c r="O240" s="50" t="str">
        <f>IF(H240=0,"No plan at start",M240/H240)</f>
        <v>No plan at start</v>
      </c>
      <c r="P240" s="53"/>
      <c r="Q240" s="54"/>
      <c r="R240" s="55"/>
      <c r="S240" s="55"/>
    </row>
    <row r="241" spans="1:19" s="10" customFormat="1" hidden="1" outlineLevel="2" x14ac:dyDescent="0.2">
      <c r="A241" s="11"/>
      <c r="B241" s="49" t="s">
        <v>79</v>
      </c>
      <c r="C241" s="49" t="s">
        <v>56</v>
      </c>
      <c r="D241" s="49">
        <v>0</v>
      </c>
      <c r="E241" s="49">
        <v>0</v>
      </c>
      <c r="F241" s="49">
        <f>E241-D241</f>
        <v>0</v>
      </c>
      <c r="G241" s="50">
        <f>IF(D241=0,0,ABS(F241/D241))</f>
        <v>0</v>
      </c>
      <c r="H241" s="49">
        <v>0</v>
      </c>
      <c r="I241" s="49">
        <v>0</v>
      </c>
      <c r="J241" s="51" t="str">
        <f>IF(H241=0,"No plan at start",I241/H241)</f>
        <v>No plan at start</v>
      </c>
      <c r="K241" s="52">
        <f>H241-I241</f>
        <v>0</v>
      </c>
      <c r="L241" s="49">
        <v>0</v>
      </c>
      <c r="M241" s="49">
        <f>I241+L241</f>
        <v>0</v>
      </c>
      <c r="N241" s="49">
        <f>M241-H241</f>
        <v>0</v>
      </c>
      <c r="O241" s="50" t="str">
        <f>IF(H241=0,"No plan at start",M241/H241)</f>
        <v>No plan at start</v>
      </c>
      <c r="P241" s="53"/>
      <c r="Q241" s="54"/>
      <c r="R241" s="55"/>
      <c r="S241" s="55"/>
    </row>
    <row r="242" spans="1:19" s="10" customFormat="1" hidden="1" outlineLevel="2" x14ac:dyDescent="0.2">
      <c r="A242" s="11"/>
      <c r="B242" s="49" t="s">
        <v>79</v>
      </c>
      <c r="C242" s="49" t="s">
        <v>57</v>
      </c>
      <c r="D242" s="49">
        <v>0</v>
      </c>
      <c r="E242" s="49">
        <v>0</v>
      </c>
      <c r="F242" s="49">
        <f>E242-D242</f>
        <v>0</v>
      </c>
      <c r="G242" s="50">
        <f>IF(D242=0,0,ABS(F242/D242))</f>
        <v>0</v>
      </c>
      <c r="H242" s="49">
        <v>0</v>
      </c>
      <c r="I242" s="49">
        <v>0</v>
      </c>
      <c r="J242" s="51" t="str">
        <f>IF(H242=0,"No plan at start",I242/H242)</f>
        <v>No plan at start</v>
      </c>
      <c r="K242" s="52">
        <f>H242-I242</f>
        <v>0</v>
      </c>
      <c r="L242" s="49">
        <v>0</v>
      </c>
      <c r="M242" s="49">
        <f>I242+L242</f>
        <v>0</v>
      </c>
      <c r="N242" s="49">
        <f>M242-H242</f>
        <v>0</v>
      </c>
      <c r="O242" s="50" t="str">
        <f>IF(H242=0,"No plan at start",M242/H242)</f>
        <v>No plan at start</v>
      </c>
      <c r="P242" s="53"/>
      <c r="Q242" s="54"/>
      <c r="R242" s="55"/>
      <c r="S242" s="55"/>
    </row>
    <row r="243" spans="1:19" s="10" customFormat="1" hidden="1" outlineLevel="2" x14ac:dyDescent="0.2">
      <c r="A243" s="11"/>
      <c r="B243" s="49" t="s">
        <v>79</v>
      </c>
      <c r="C243" s="49" t="s">
        <v>48</v>
      </c>
      <c r="D243" s="49">
        <v>0</v>
      </c>
      <c r="E243" s="49">
        <v>0</v>
      </c>
      <c r="F243" s="49">
        <f>E243-D243</f>
        <v>0</v>
      </c>
      <c r="G243" s="50">
        <f>IF(D243=0,0,ABS(F243/D243))</f>
        <v>0</v>
      </c>
      <c r="H243" s="49">
        <v>0</v>
      </c>
      <c r="I243" s="49">
        <v>0</v>
      </c>
      <c r="J243" s="51" t="str">
        <f>IF(H243=0,"No plan at start",I243/H243)</f>
        <v>No plan at start</v>
      </c>
      <c r="K243" s="52">
        <f>H243-I243</f>
        <v>0</v>
      </c>
      <c r="L243" s="49">
        <v>0</v>
      </c>
      <c r="M243" s="49">
        <f>I243+L243</f>
        <v>0</v>
      </c>
      <c r="N243" s="49">
        <f>M243-H243</f>
        <v>0</v>
      </c>
      <c r="O243" s="50" t="str">
        <f>IF(H243=0,"No plan at start",M243/H243)</f>
        <v>No plan at start</v>
      </c>
      <c r="P243" s="53"/>
      <c r="Q243" s="54"/>
      <c r="R243" s="55"/>
      <c r="S243" s="55"/>
    </row>
    <row r="244" spans="1:19" s="10" customFormat="1" hidden="1" outlineLevel="2" x14ac:dyDescent="0.2">
      <c r="A244" s="11"/>
      <c r="B244" s="49" t="s">
        <v>79</v>
      </c>
      <c r="C244" s="49" t="s">
        <v>58</v>
      </c>
      <c r="D244" s="49">
        <v>0</v>
      </c>
      <c r="E244" s="49">
        <v>0</v>
      </c>
      <c r="F244" s="49">
        <f>E244-D244</f>
        <v>0</v>
      </c>
      <c r="G244" s="50">
        <f>IF(D244=0,0,ABS(F244/D244))</f>
        <v>0</v>
      </c>
      <c r="H244" s="49">
        <v>0</v>
      </c>
      <c r="I244" s="49">
        <v>0</v>
      </c>
      <c r="J244" s="51" t="str">
        <f>IF(H244=0,"No plan at start",I244/H244)</f>
        <v>No plan at start</v>
      </c>
      <c r="K244" s="52">
        <f>H244-I244</f>
        <v>0</v>
      </c>
      <c r="L244" s="49">
        <v>0</v>
      </c>
      <c r="M244" s="49">
        <f>I244+L244</f>
        <v>0</v>
      </c>
      <c r="N244" s="49">
        <f>M244-H244</f>
        <v>0</v>
      </c>
      <c r="O244" s="50" t="str">
        <f>IF(H244=0,"No plan at start",M244/H244)</f>
        <v>No plan at start</v>
      </c>
      <c r="P244" s="53"/>
      <c r="Q244" s="54"/>
      <c r="R244" s="55"/>
      <c r="S244" s="55"/>
    </row>
    <row r="245" spans="1:19" s="10" customFormat="1" hidden="1" outlineLevel="2" x14ac:dyDescent="0.2">
      <c r="A245" s="11"/>
      <c r="B245" s="49" t="s">
        <v>79</v>
      </c>
      <c r="C245" s="49" t="s">
        <v>59</v>
      </c>
      <c r="D245" s="49">
        <v>0</v>
      </c>
      <c r="E245" s="49">
        <v>0</v>
      </c>
      <c r="F245" s="49">
        <f>E245-D245</f>
        <v>0</v>
      </c>
      <c r="G245" s="50">
        <f>IF(D245=0,0,ABS(F245/D245))</f>
        <v>0</v>
      </c>
      <c r="H245" s="49">
        <v>0</v>
      </c>
      <c r="I245" s="49">
        <v>0</v>
      </c>
      <c r="J245" s="51" t="str">
        <f>IF(H245=0,"No plan at start",I245/H245)</f>
        <v>No plan at start</v>
      </c>
      <c r="K245" s="52">
        <f>H245-I245</f>
        <v>0</v>
      </c>
      <c r="L245" s="49">
        <v>0</v>
      </c>
      <c r="M245" s="49">
        <f>I245+L245</f>
        <v>0</v>
      </c>
      <c r="N245" s="49">
        <f>M245-H245</f>
        <v>0</v>
      </c>
      <c r="O245" s="50" t="str">
        <f>IF(H245=0,"No plan at start",M245/H245)</f>
        <v>No plan at start</v>
      </c>
      <c r="P245" s="53"/>
      <c r="Q245" s="54"/>
      <c r="R245" s="55"/>
      <c r="S245" s="55"/>
    </row>
    <row r="246" spans="1:19" s="10" customFormat="1" hidden="1" outlineLevel="2" x14ac:dyDescent="0.2">
      <c r="A246" s="11"/>
      <c r="B246" s="49" t="s">
        <v>79</v>
      </c>
      <c r="C246" s="49" t="s">
        <v>60</v>
      </c>
      <c r="D246" s="49">
        <v>0</v>
      </c>
      <c r="E246" s="49">
        <v>0</v>
      </c>
      <c r="F246" s="49">
        <f>E246-D246</f>
        <v>0</v>
      </c>
      <c r="G246" s="50">
        <f>IF(D246=0,0,ABS(F246/D246))</f>
        <v>0</v>
      </c>
      <c r="H246" s="49">
        <v>0</v>
      </c>
      <c r="I246" s="49">
        <v>0</v>
      </c>
      <c r="J246" s="51" t="str">
        <f>IF(H246=0,"No plan at start",I246/H246)</f>
        <v>No plan at start</v>
      </c>
      <c r="K246" s="52">
        <f>H246-I246</f>
        <v>0</v>
      </c>
      <c r="L246" s="49">
        <v>0</v>
      </c>
      <c r="M246" s="49">
        <f>I246+L246</f>
        <v>0</v>
      </c>
      <c r="N246" s="49">
        <f>M246-H246</f>
        <v>0</v>
      </c>
      <c r="O246" s="50" t="str">
        <f>IF(H246=0,"No plan at start",M246/H246)</f>
        <v>No plan at start</v>
      </c>
      <c r="P246" s="53"/>
      <c r="Q246" s="54"/>
      <c r="R246" s="55"/>
      <c r="S246" s="55"/>
    </row>
    <row r="247" spans="1:19" s="10" customFormat="1" hidden="1" outlineLevel="2" x14ac:dyDescent="0.2">
      <c r="A247" s="11"/>
      <c r="B247" s="49" t="s">
        <v>79</v>
      </c>
      <c r="C247" s="49" t="s">
        <v>61</v>
      </c>
      <c r="D247" s="49">
        <v>0</v>
      </c>
      <c r="E247" s="49">
        <v>0</v>
      </c>
      <c r="F247" s="49">
        <f>E247-D247</f>
        <v>0</v>
      </c>
      <c r="G247" s="50">
        <f>IF(D247=0,0,ABS(F247/D247))</f>
        <v>0</v>
      </c>
      <c r="H247" s="49">
        <v>0</v>
      </c>
      <c r="I247" s="49">
        <v>0</v>
      </c>
      <c r="J247" s="51" t="str">
        <f>IF(H247=0,"No plan at start",I247/H247)</f>
        <v>No plan at start</v>
      </c>
      <c r="K247" s="52">
        <f>H247-I247</f>
        <v>0</v>
      </c>
      <c r="L247" s="49">
        <v>0</v>
      </c>
      <c r="M247" s="49">
        <f>I247+L247</f>
        <v>0</v>
      </c>
      <c r="N247" s="49">
        <f>M247-H247</f>
        <v>0</v>
      </c>
      <c r="O247" s="50" t="str">
        <f>IF(H247=0,"No plan at start",M247/H247)</f>
        <v>No plan at start</v>
      </c>
      <c r="P247" s="53"/>
      <c r="Q247" s="54"/>
      <c r="R247" s="55"/>
      <c r="S247" s="55"/>
    </row>
    <row r="248" spans="1:19" s="10" customFormat="1" hidden="1" outlineLevel="2" x14ac:dyDescent="0.2">
      <c r="A248" s="11"/>
      <c r="B248" s="49" t="s">
        <v>79</v>
      </c>
      <c r="C248" s="49" t="s">
        <v>62</v>
      </c>
      <c r="D248" s="49">
        <v>0</v>
      </c>
      <c r="E248" s="49">
        <v>0</v>
      </c>
      <c r="F248" s="49">
        <f>E248-D248</f>
        <v>0</v>
      </c>
      <c r="G248" s="50">
        <f>IF(D248=0,0,ABS(F248/D248))</f>
        <v>0</v>
      </c>
      <c r="H248" s="49">
        <v>0</v>
      </c>
      <c r="I248" s="49">
        <v>0</v>
      </c>
      <c r="J248" s="51" t="str">
        <f>IF(H248=0,"No plan at start",I248/H248)</f>
        <v>No plan at start</v>
      </c>
      <c r="K248" s="52">
        <f>H248-I248</f>
        <v>0</v>
      </c>
      <c r="L248" s="49">
        <v>0</v>
      </c>
      <c r="M248" s="49">
        <f>I248+L248</f>
        <v>0</v>
      </c>
      <c r="N248" s="49">
        <f>M248-H248</f>
        <v>0</v>
      </c>
      <c r="O248" s="50" t="str">
        <f>IF(H248=0,"No plan at start",M248/H248)</f>
        <v>No plan at start</v>
      </c>
      <c r="P248" s="53"/>
      <c r="Q248" s="54"/>
      <c r="R248" s="55"/>
      <c r="S248" s="55"/>
    </row>
    <row r="249" spans="1:19" s="10" customFormat="1" outlineLevel="1" collapsed="1" x14ac:dyDescent="0.2">
      <c r="A249" s="11"/>
      <c r="B249" s="56" t="s">
        <v>118</v>
      </c>
      <c r="C249" s="49"/>
      <c r="D249" s="49">
        <f>SUBTOTAL(9,D237:D248)</f>
        <v>0</v>
      </c>
      <c r="E249" s="49">
        <f>SUBTOTAL(9,E237:E248)</f>
        <v>5.5</v>
      </c>
      <c r="F249" s="49">
        <f>SUBTOTAL(9,F237:F248)</f>
        <v>5.5</v>
      </c>
      <c r="G249" s="50">
        <f>IF(D249=0,0,ABS(F249/D249))</f>
        <v>0</v>
      </c>
      <c r="H249" s="49">
        <f>SUBTOTAL(9,H237:H248)</f>
        <v>547.20000000000005</v>
      </c>
      <c r="I249" s="49">
        <f>SUBTOTAL(9,I237:I248)</f>
        <v>13.5</v>
      </c>
      <c r="J249" s="51">
        <f>IF(H249=0,"No plan at start",I249/H249)</f>
        <v>2.4671052631578944E-2</v>
      </c>
      <c r="K249" s="52">
        <f>SUBTOTAL(9,K237:K248)</f>
        <v>533.70000000000005</v>
      </c>
      <c r="L249" s="49">
        <f>SUBTOTAL(9,L237:L248)</f>
        <v>168</v>
      </c>
      <c r="M249" s="49">
        <f>SUBTOTAL(9,M237:M248)</f>
        <v>181.5</v>
      </c>
      <c r="N249" s="49">
        <f>SUBTOTAL(9,N237:N248)</f>
        <v>-365.70000000000005</v>
      </c>
      <c r="O249" s="50">
        <f>IF(H249=0,"No plan at start",M249/H249)</f>
        <v>0.33168859649122806</v>
      </c>
      <c r="P249" s="53"/>
      <c r="Q249" s="54"/>
      <c r="R249" s="55"/>
      <c r="S249" s="55"/>
    </row>
    <row r="250" spans="1:19" s="10" customFormat="1" hidden="1" outlineLevel="2" x14ac:dyDescent="0.2">
      <c r="A250" s="11"/>
      <c r="B250" s="49" t="s">
        <v>80</v>
      </c>
      <c r="C250" s="49" t="s">
        <v>52</v>
      </c>
      <c r="D250" s="49">
        <v>0</v>
      </c>
      <c r="E250" s="49">
        <v>0</v>
      </c>
      <c r="F250" s="49">
        <f>E250-D250</f>
        <v>0</v>
      </c>
      <c r="G250" s="50">
        <f>IF(D250=0,0,ABS(F250/D250))</f>
        <v>0</v>
      </c>
      <c r="H250" s="49">
        <v>25.2</v>
      </c>
      <c r="I250" s="49">
        <v>0</v>
      </c>
      <c r="J250" s="51">
        <f>IF(H250=0,"No plan at start",I250/H250)</f>
        <v>0</v>
      </c>
      <c r="K250" s="52">
        <f>H250-I250</f>
        <v>25.2</v>
      </c>
      <c r="L250" s="49">
        <v>0</v>
      </c>
      <c r="M250" s="49">
        <f>I250+L250</f>
        <v>0</v>
      </c>
      <c r="N250" s="49">
        <f>M250-H250</f>
        <v>-25.2</v>
      </c>
      <c r="O250" s="50">
        <f>IF(H250=0,"No plan at start",M250/H250)</f>
        <v>0</v>
      </c>
      <c r="P250" s="53"/>
      <c r="Q250" s="54"/>
      <c r="R250" s="55"/>
      <c r="S250" s="55"/>
    </row>
    <row r="251" spans="1:19" s="10" customFormat="1" hidden="1" outlineLevel="2" x14ac:dyDescent="0.2">
      <c r="A251" s="11"/>
      <c r="B251" s="49" t="s">
        <v>80</v>
      </c>
      <c r="C251" s="49" t="s">
        <v>53</v>
      </c>
      <c r="D251" s="49">
        <v>0</v>
      </c>
      <c r="E251" s="49">
        <v>0</v>
      </c>
      <c r="F251" s="49">
        <f>E251-D251</f>
        <v>0</v>
      </c>
      <c r="G251" s="50">
        <f>IF(D251=0,0,ABS(F251/D251))</f>
        <v>0</v>
      </c>
      <c r="H251" s="49">
        <v>340</v>
      </c>
      <c r="I251" s="49">
        <v>0</v>
      </c>
      <c r="J251" s="51">
        <f>IF(H251=0,"No plan at start",I251/H251)</f>
        <v>0</v>
      </c>
      <c r="K251" s="52">
        <f>H251-I251</f>
        <v>340</v>
      </c>
      <c r="L251" s="49">
        <v>0</v>
      </c>
      <c r="M251" s="49">
        <f>I251+L251</f>
        <v>0</v>
      </c>
      <c r="N251" s="49">
        <f>M251-H251</f>
        <v>-340</v>
      </c>
      <c r="O251" s="50">
        <f>IF(H251=0,"No plan at start",M251/H251)</f>
        <v>0</v>
      </c>
      <c r="P251" s="53"/>
      <c r="Q251" s="54"/>
      <c r="R251" s="55"/>
      <c r="S251" s="55"/>
    </row>
    <row r="252" spans="1:19" s="10" customFormat="1" hidden="1" outlineLevel="2" x14ac:dyDescent="0.2">
      <c r="A252" s="11"/>
      <c r="B252" s="49" t="s">
        <v>80</v>
      </c>
      <c r="C252" s="49" t="s">
        <v>54</v>
      </c>
      <c r="D252" s="49">
        <v>0</v>
      </c>
      <c r="E252" s="49">
        <v>0</v>
      </c>
      <c r="F252" s="49">
        <f>E252-D252</f>
        <v>0</v>
      </c>
      <c r="G252" s="50">
        <f>IF(D252=0,0,ABS(F252/D252))</f>
        <v>0</v>
      </c>
      <c r="H252" s="49">
        <v>0</v>
      </c>
      <c r="I252" s="49">
        <v>0</v>
      </c>
      <c r="J252" s="51" t="str">
        <f>IF(H252=0,"No plan at start",I252/H252)</f>
        <v>No plan at start</v>
      </c>
      <c r="K252" s="52">
        <f>H252-I252</f>
        <v>0</v>
      </c>
      <c r="L252" s="49">
        <v>0</v>
      </c>
      <c r="M252" s="49">
        <f>I252+L252</f>
        <v>0</v>
      </c>
      <c r="N252" s="49">
        <f>M252-H252</f>
        <v>0</v>
      </c>
      <c r="O252" s="50" t="str">
        <f>IF(H252=0,"No plan at start",M252/H252)</f>
        <v>No plan at start</v>
      </c>
      <c r="P252" s="53"/>
      <c r="Q252" s="54"/>
      <c r="R252" s="55"/>
      <c r="S252" s="55"/>
    </row>
    <row r="253" spans="1:19" s="10" customFormat="1" hidden="1" outlineLevel="2" x14ac:dyDescent="0.2">
      <c r="A253" s="11"/>
      <c r="B253" s="49" t="s">
        <v>80</v>
      </c>
      <c r="C253" s="49" t="s">
        <v>55</v>
      </c>
      <c r="D253" s="49">
        <v>0</v>
      </c>
      <c r="E253" s="49">
        <v>0</v>
      </c>
      <c r="F253" s="49">
        <f>E253-D253</f>
        <v>0</v>
      </c>
      <c r="G253" s="50">
        <f>IF(D253=0,0,ABS(F253/D253))</f>
        <v>0</v>
      </c>
      <c r="H253" s="49">
        <v>0</v>
      </c>
      <c r="I253" s="49">
        <v>0</v>
      </c>
      <c r="J253" s="51" t="str">
        <f>IF(H253=0,"No plan at start",I253/H253)</f>
        <v>No plan at start</v>
      </c>
      <c r="K253" s="52">
        <f>H253-I253</f>
        <v>0</v>
      </c>
      <c r="L253" s="49">
        <v>0</v>
      </c>
      <c r="M253" s="49">
        <f>I253+L253</f>
        <v>0</v>
      </c>
      <c r="N253" s="49">
        <f>M253-H253</f>
        <v>0</v>
      </c>
      <c r="O253" s="50" t="str">
        <f>IF(H253=0,"No plan at start",M253/H253)</f>
        <v>No plan at start</v>
      </c>
      <c r="P253" s="53"/>
      <c r="Q253" s="54"/>
      <c r="R253" s="55"/>
      <c r="S253" s="55"/>
    </row>
    <row r="254" spans="1:19" s="10" customFormat="1" hidden="1" outlineLevel="2" x14ac:dyDescent="0.2">
      <c r="A254" s="11"/>
      <c r="B254" s="49" t="s">
        <v>80</v>
      </c>
      <c r="C254" s="49" t="s">
        <v>56</v>
      </c>
      <c r="D254" s="49">
        <v>0</v>
      </c>
      <c r="E254" s="49">
        <v>0</v>
      </c>
      <c r="F254" s="49">
        <f>E254-D254</f>
        <v>0</v>
      </c>
      <c r="G254" s="50">
        <f>IF(D254=0,0,ABS(F254/D254))</f>
        <v>0</v>
      </c>
      <c r="H254" s="49">
        <v>0</v>
      </c>
      <c r="I254" s="49">
        <v>0</v>
      </c>
      <c r="J254" s="51" t="str">
        <f>IF(H254=0,"No plan at start",I254/H254)</f>
        <v>No plan at start</v>
      </c>
      <c r="K254" s="52">
        <f>H254-I254</f>
        <v>0</v>
      </c>
      <c r="L254" s="49">
        <v>0</v>
      </c>
      <c r="M254" s="49">
        <f>I254+L254</f>
        <v>0</v>
      </c>
      <c r="N254" s="49">
        <f>M254-H254</f>
        <v>0</v>
      </c>
      <c r="O254" s="50" t="str">
        <f>IF(H254=0,"No plan at start",M254/H254)</f>
        <v>No plan at start</v>
      </c>
      <c r="P254" s="53"/>
      <c r="Q254" s="54"/>
      <c r="R254" s="55"/>
      <c r="S254" s="55"/>
    </row>
    <row r="255" spans="1:19" s="10" customFormat="1" hidden="1" outlineLevel="2" x14ac:dyDescent="0.2">
      <c r="A255" s="11"/>
      <c r="B255" s="49" t="s">
        <v>80</v>
      </c>
      <c r="C255" s="49" t="s">
        <v>57</v>
      </c>
      <c r="D255" s="49">
        <v>0</v>
      </c>
      <c r="E255" s="49">
        <v>0</v>
      </c>
      <c r="F255" s="49">
        <f>E255-D255</f>
        <v>0</v>
      </c>
      <c r="G255" s="50">
        <f>IF(D255=0,0,ABS(F255/D255))</f>
        <v>0</v>
      </c>
      <c r="H255" s="49">
        <v>0</v>
      </c>
      <c r="I255" s="49">
        <v>0</v>
      </c>
      <c r="J255" s="51" t="str">
        <f>IF(H255=0,"No plan at start",I255/H255)</f>
        <v>No plan at start</v>
      </c>
      <c r="K255" s="52">
        <f>H255-I255</f>
        <v>0</v>
      </c>
      <c r="L255" s="49">
        <v>0</v>
      </c>
      <c r="M255" s="49">
        <f>I255+L255</f>
        <v>0</v>
      </c>
      <c r="N255" s="49">
        <f>M255-H255</f>
        <v>0</v>
      </c>
      <c r="O255" s="50" t="str">
        <f>IF(H255=0,"No plan at start",M255/H255)</f>
        <v>No plan at start</v>
      </c>
      <c r="P255" s="53"/>
      <c r="Q255" s="54"/>
      <c r="R255" s="55"/>
      <c r="S255" s="55"/>
    </row>
    <row r="256" spans="1:19" s="10" customFormat="1" hidden="1" outlineLevel="2" x14ac:dyDescent="0.2">
      <c r="A256" s="11"/>
      <c r="B256" s="49" t="s">
        <v>80</v>
      </c>
      <c r="C256" s="49" t="s">
        <v>48</v>
      </c>
      <c r="D256" s="49">
        <v>0</v>
      </c>
      <c r="E256" s="49">
        <v>0</v>
      </c>
      <c r="F256" s="49">
        <f>E256-D256</f>
        <v>0</v>
      </c>
      <c r="G256" s="50">
        <f>IF(D256=0,0,ABS(F256/D256))</f>
        <v>0</v>
      </c>
      <c r="H256" s="49">
        <v>0</v>
      </c>
      <c r="I256" s="49">
        <v>0</v>
      </c>
      <c r="J256" s="51" t="str">
        <f>IF(H256=0,"No plan at start",I256/H256)</f>
        <v>No plan at start</v>
      </c>
      <c r="K256" s="52">
        <f>H256-I256</f>
        <v>0</v>
      </c>
      <c r="L256" s="49">
        <v>0</v>
      </c>
      <c r="M256" s="49">
        <f>I256+L256</f>
        <v>0</v>
      </c>
      <c r="N256" s="49">
        <f>M256-H256</f>
        <v>0</v>
      </c>
      <c r="O256" s="50" t="str">
        <f>IF(H256=0,"No plan at start",M256/H256)</f>
        <v>No plan at start</v>
      </c>
      <c r="P256" s="53"/>
      <c r="Q256" s="54"/>
      <c r="R256" s="55"/>
      <c r="S256" s="55"/>
    </row>
    <row r="257" spans="1:19" s="10" customFormat="1" hidden="1" outlineLevel="2" x14ac:dyDescent="0.2">
      <c r="A257" s="11"/>
      <c r="B257" s="49" t="s">
        <v>80</v>
      </c>
      <c r="C257" s="49" t="s">
        <v>58</v>
      </c>
      <c r="D257" s="49">
        <v>0</v>
      </c>
      <c r="E257" s="49">
        <v>0</v>
      </c>
      <c r="F257" s="49">
        <f>E257-D257</f>
        <v>0</v>
      </c>
      <c r="G257" s="50">
        <f>IF(D257=0,0,ABS(F257/D257))</f>
        <v>0</v>
      </c>
      <c r="H257" s="49">
        <v>0</v>
      </c>
      <c r="I257" s="49">
        <v>0</v>
      </c>
      <c r="J257" s="51" t="str">
        <f>IF(H257=0,"No plan at start",I257/H257)</f>
        <v>No plan at start</v>
      </c>
      <c r="K257" s="52">
        <f>H257-I257</f>
        <v>0</v>
      </c>
      <c r="L257" s="49">
        <v>0</v>
      </c>
      <c r="M257" s="49">
        <f>I257+L257</f>
        <v>0</v>
      </c>
      <c r="N257" s="49">
        <f>M257-H257</f>
        <v>0</v>
      </c>
      <c r="O257" s="50" t="str">
        <f>IF(H257=0,"No plan at start",M257/H257)</f>
        <v>No plan at start</v>
      </c>
      <c r="P257" s="53"/>
      <c r="Q257" s="54"/>
      <c r="R257" s="55"/>
      <c r="S257" s="55"/>
    </row>
    <row r="258" spans="1:19" s="10" customFormat="1" hidden="1" outlineLevel="2" x14ac:dyDescent="0.2">
      <c r="A258" s="11"/>
      <c r="B258" s="49" t="s">
        <v>80</v>
      </c>
      <c r="C258" s="49" t="s">
        <v>59</v>
      </c>
      <c r="D258" s="49">
        <v>0</v>
      </c>
      <c r="E258" s="49">
        <v>0</v>
      </c>
      <c r="F258" s="49">
        <f>E258-D258</f>
        <v>0</v>
      </c>
      <c r="G258" s="50">
        <f>IF(D258=0,0,ABS(F258/D258))</f>
        <v>0</v>
      </c>
      <c r="H258" s="49">
        <v>0</v>
      </c>
      <c r="I258" s="49">
        <v>0</v>
      </c>
      <c r="J258" s="51" t="str">
        <f>IF(H258=0,"No plan at start",I258/H258)</f>
        <v>No plan at start</v>
      </c>
      <c r="K258" s="52">
        <f>H258-I258</f>
        <v>0</v>
      </c>
      <c r="L258" s="49">
        <v>0</v>
      </c>
      <c r="M258" s="49">
        <f>I258+L258</f>
        <v>0</v>
      </c>
      <c r="N258" s="49">
        <f>M258-H258</f>
        <v>0</v>
      </c>
      <c r="O258" s="50" t="str">
        <f>IF(H258=0,"No plan at start",M258/H258)</f>
        <v>No plan at start</v>
      </c>
      <c r="P258" s="53"/>
      <c r="Q258" s="54"/>
      <c r="R258" s="55"/>
      <c r="S258" s="55"/>
    </row>
    <row r="259" spans="1:19" s="10" customFormat="1" hidden="1" outlineLevel="2" x14ac:dyDescent="0.2">
      <c r="A259" s="11"/>
      <c r="B259" s="49" t="s">
        <v>80</v>
      </c>
      <c r="C259" s="49" t="s">
        <v>60</v>
      </c>
      <c r="D259" s="49">
        <v>0</v>
      </c>
      <c r="E259" s="49">
        <v>0</v>
      </c>
      <c r="F259" s="49">
        <f>E259-D259</f>
        <v>0</v>
      </c>
      <c r="G259" s="50">
        <f>IF(D259=0,0,ABS(F259/D259))</f>
        <v>0</v>
      </c>
      <c r="H259" s="49">
        <v>0</v>
      </c>
      <c r="I259" s="49">
        <v>0</v>
      </c>
      <c r="J259" s="51" t="str">
        <f>IF(H259=0,"No plan at start",I259/H259)</f>
        <v>No plan at start</v>
      </c>
      <c r="K259" s="52">
        <f>H259-I259</f>
        <v>0</v>
      </c>
      <c r="L259" s="49">
        <v>0</v>
      </c>
      <c r="M259" s="49">
        <f>I259+L259</f>
        <v>0</v>
      </c>
      <c r="N259" s="49">
        <f>M259-H259</f>
        <v>0</v>
      </c>
      <c r="O259" s="50" t="str">
        <f>IF(H259=0,"No plan at start",M259/H259)</f>
        <v>No plan at start</v>
      </c>
      <c r="P259" s="53"/>
      <c r="Q259" s="54"/>
      <c r="R259" s="55"/>
      <c r="S259" s="55"/>
    </row>
    <row r="260" spans="1:19" s="10" customFormat="1" hidden="1" outlineLevel="2" x14ac:dyDescent="0.2">
      <c r="A260" s="11"/>
      <c r="B260" s="49" t="s">
        <v>80</v>
      </c>
      <c r="C260" s="49" t="s">
        <v>61</v>
      </c>
      <c r="D260" s="49">
        <v>0</v>
      </c>
      <c r="E260" s="49">
        <v>0</v>
      </c>
      <c r="F260" s="49">
        <f>E260-D260</f>
        <v>0</v>
      </c>
      <c r="G260" s="50">
        <f>IF(D260=0,0,ABS(F260/D260))</f>
        <v>0</v>
      </c>
      <c r="H260" s="49">
        <v>0</v>
      </c>
      <c r="I260" s="49">
        <v>0</v>
      </c>
      <c r="J260" s="51" t="str">
        <f>IF(H260=0,"No plan at start",I260/H260)</f>
        <v>No plan at start</v>
      </c>
      <c r="K260" s="52">
        <f>H260-I260</f>
        <v>0</v>
      </c>
      <c r="L260" s="49">
        <v>0</v>
      </c>
      <c r="M260" s="49">
        <f>I260+L260</f>
        <v>0</v>
      </c>
      <c r="N260" s="49">
        <f>M260-H260</f>
        <v>0</v>
      </c>
      <c r="O260" s="50" t="str">
        <f>IF(H260=0,"No plan at start",M260/H260)</f>
        <v>No plan at start</v>
      </c>
      <c r="P260" s="53"/>
      <c r="Q260" s="54"/>
      <c r="R260" s="55"/>
      <c r="S260" s="55"/>
    </row>
    <row r="261" spans="1:19" s="10" customFormat="1" hidden="1" outlineLevel="2" x14ac:dyDescent="0.2">
      <c r="A261" s="11"/>
      <c r="B261" s="49" t="s">
        <v>80</v>
      </c>
      <c r="C261" s="49" t="s">
        <v>62</v>
      </c>
      <c r="D261" s="49">
        <v>0</v>
      </c>
      <c r="E261" s="49">
        <v>0</v>
      </c>
      <c r="F261" s="49">
        <f>E261-D261</f>
        <v>0</v>
      </c>
      <c r="G261" s="50">
        <f>IF(D261=0,0,ABS(F261/D261))</f>
        <v>0</v>
      </c>
      <c r="H261" s="49">
        <v>0</v>
      </c>
      <c r="I261" s="49">
        <v>0</v>
      </c>
      <c r="J261" s="51" t="str">
        <f>IF(H261=0,"No plan at start",I261/H261)</f>
        <v>No plan at start</v>
      </c>
      <c r="K261" s="52">
        <f>H261-I261</f>
        <v>0</v>
      </c>
      <c r="L261" s="49">
        <v>0</v>
      </c>
      <c r="M261" s="49">
        <f>I261+L261</f>
        <v>0</v>
      </c>
      <c r="N261" s="49">
        <f>M261-H261</f>
        <v>0</v>
      </c>
      <c r="O261" s="50" t="str">
        <f>IF(H261=0,"No plan at start",M261/H261)</f>
        <v>No plan at start</v>
      </c>
      <c r="P261" s="53"/>
      <c r="Q261" s="54"/>
      <c r="R261" s="55"/>
      <c r="S261" s="55"/>
    </row>
    <row r="262" spans="1:19" s="10" customFormat="1" outlineLevel="1" collapsed="1" x14ac:dyDescent="0.2">
      <c r="A262" s="11"/>
      <c r="B262" s="56" t="s">
        <v>119</v>
      </c>
      <c r="C262" s="49"/>
      <c r="D262" s="49">
        <f>SUBTOTAL(9,D250:D261)</f>
        <v>0</v>
      </c>
      <c r="E262" s="49">
        <f>SUBTOTAL(9,E250:E261)</f>
        <v>0</v>
      </c>
      <c r="F262" s="49">
        <f>SUBTOTAL(9,F250:F261)</f>
        <v>0</v>
      </c>
      <c r="G262" s="50">
        <f>IF(D262=0,0,ABS(F262/D262))</f>
        <v>0</v>
      </c>
      <c r="H262" s="49">
        <f>SUBTOTAL(9,H250:H261)</f>
        <v>365.2</v>
      </c>
      <c r="I262" s="49">
        <f>SUBTOTAL(9,I250:I261)</f>
        <v>0</v>
      </c>
      <c r="J262" s="51">
        <f>IF(H262=0,"No plan at start",I262/H262)</f>
        <v>0</v>
      </c>
      <c r="K262" s="52">
        <f>SUBTOTAL(9,K250:K261)</f>
        <v>365.2</v>
      </c>
      <c r="L262" s="49">
        <f>SUBTOTAL(9,L250:L261)</f>
        <v>0</v>
      </c>
      <c r="M262" s="49">
        <f>SUBTOTAL(9,M250:M261)</f>
        <v>0</v>
      </c>
      <c r="N262" s="49">
        <f>SUBTOTAL(9,N250:N261)</f>
        <v>-365.2</v>
      </c>
      <c r="O262" s="50">
        <f>IF(H262=0,"No plan at start",M262/H262)</f>
        <v>0</v>
      </c>
      <c r="P262" s="53"/>
      <c r="Q262" s="54"/>
      <c r="R262" s="55"/>
      <c r="S262" s="55"/>
    </row>
    <row r="263" spans="1:19" s="10" customFormat="1" hidden="1" outlineLevel="2" x14ac:dyDescent="0.2">
      <c r="A263" s="11"/>
      <c r="B263" s="49" t="s">
        <v>81</v>
      </c>
      <c r="C263" s="49" t="s">
        <v>52</v>
      </c>
      <c r="D263" s="49">
        <v>0</v>
      </c>
      <c r="E263" s="49">
        <v>0</v>
      </c>
      <c r="F263" s="49">
        <f>E263-D263</f>
        <v>0</v>
      </c>
      <c r="G263" s="50">
        <f>IF(D263=0,0,ABS(F263/D263))</f>
        <v>0</v>
      </c>
      <c r="H263" s="49">
        <v>0</v>
      </c>
      <c r="I263" s="49">
        <v>0</v>
      </c>
      <c r="J263" s="51" t="str">
        <f>IF(H263=0,"No plan at start",I263/H263)</f>
        <v>No plan at start</v>
      </c>
      <c r="K263" s="52">
        <f>H263-I263</f>
        <v>0</v>
      </c>
      <c r="L263" s="49">
        <v>0</v>
      </c>
      <c r="M263" s="49">
        <f>I263+L263</f>
        <v>0</v>
      </c>
      <c r="N263" s="49">
        <f>M263-H263</f>
        <v>0</v>
      </c>
      <c r="O263" s="50" t="str">
        <f>IF(H263=0,"No plan at start",M263/H263)</f>
        <v>No plan at start</v>
      </c>
      <c r="P263" s="53"/>
      <c r="Q263" s="54"/>
      <c r="R263" s="55"/>
      <c r="S263" s="55"/>
    </row>
    <row r="264" spans="1:19" s="10" customFormat="1" hidden="1" outlineLevel="2" x14ac:dyDescent="0.2">
      <c r="A264" s="11"/>
      <c r="B264" s="49" t="s">
        <v>81</v>
      </c>
      <c r="C264" s="49" t="s">
        <v>53</v>
      </c>
      <c r="D264" s="49">
        <v>0</v>
      </c>
      <c r="E264" s="49">
        <v>0</v>
      </c>
      <c r="F264" s="49">
        <f>E264-D264</f>
        <v>0</v>
      </c>
      <c r="G264" s="50">
        <f>IF(D264=0,0,ABS(F264/D264))</f>
        <v>0</v>
      </c>
      <c r="H264" s="49">
        <v>0</v>
      </c>
      <c r="I264" s="49">
        <v>2</v>
      </c>
      <c r="J264" s="51" t="str">
        <f>IF(H264=0,"No plan at start",I264/H264)</f>
        <v>No plan at start</v>
      </c>
      <c r="K264" s="52">
        <f>H264-I264</f>
        <v>-2</v>
      </c>
      <c r="L264" s="49">
        <v>0</v>
      </c>
      <c r="M264" s="49">
        <f>I264+L264</f>
        <v>2</v>
      </c>
      <c r="N264" s="49">
        <f>M264-H264</f>
        <v>2</v>
      </c>
      <c r="O264" s="50" t="str">
        <f>IF(H264=0,"No plan at start",M264/H264)</f>
        <v>No plan at start</v>
      </c>
      <c r="P264" s="53"/>
      <c r="Q264" s="54"/>
      <c r="R264" s="55"/>
      <c r="S264" s="55"/>
    </row>
    <row r="265" spans="1:19" s="10" customFormat="1" hidden="1" outlineLevel="2" x14ac:dyDescent="0.2">
      <c r="A265" s="11"/>
      <c r="B265" s="49" t="s">
        <v>81</v>
      </c>
      <c r="C265" s="49" t="s">
        <v>54</v>
      </c>
      <c r="D265" s="49">
        <v>0</v>
      </c>
      <c r="E265" s="49">
        <v>0</v>
      </c>
      <c r="F265" s="49">
        <f>E265-D265</f>
        <v>0</v>
      </c>
      <c r="G265" s="50">
        <f>IF(D265=0,0,ABS(F265/D265))</f>
        <v>0</v>
      </c>
      <c r="H265" s="49">
        <v>0</v>
      </c>
      <c r="I265" s="49">
        <v>0</v>
      </c>
      <c r="J265" s="51" t="str">
        <f>IF(H265=0,"No plan at start",I265/H265)</f>
        <v>No plan at start</v>
      </c>
      <c r="K265" s="52">
        <f>H265-I265</f>
        <v>0</v>
      </c>
      <c r="L265" s="49">
        <v>0</v>
      </c>
      <c r="M265" s="49">
        <f>I265+L265</f>
        <v>0</v>
      </c>
      <c r="N265" s="49">
        <f>M265-H265</f>
        <v>0</v>
      </c>
      <c r="O265" s="50" t="str">
        <f>IF(H265=0,"No plan at start",M265/H265)</f>
        <v>No plan at start</v>
      </c>
      <c r="P265" s="53"/>
      <c r="Q265" s="54"/>
      <c r="R265" s="55"/>
      <c r="S265" s="55"/>
    </row>
    <row r="266" spans="1:19" s="10" customFormat="1" hidden="1" outlineLevel="2" x14ac:dyDescent="0.2">
      <c r="A266" s="11"/>
      <c r="B266" s="49" t="s">
        <v>81</v>
      </c>
      <c r="C266" s="49" t="s">
        <v>55</v>
      </c>
      <c r="D266" s="49">
        <v>0</v>
      </c>
      <c r="E266" s="49">
        <v>0</v>
      </c>
      <c r="F266" s="49">
        <f>E266-D266</f>
        <v>0</v>
      </c>
      <c r="G266" s="50">
        <f>IF(D266=0,0,ABS(F266/D266))</f>
        <v>0</v>
      </c>
      <c r="H266" s="49">
        <v>0</v>
      </c>
      <c r="I266" s="49">
        <v>12</v>
      </c>
      <c r="J266" s="51" t="str">
        <f>IF(H266=0,"No plan at start",I266/H266)</f>
        <v>No plan at start</v>
      </c>
      <c r="K266" s="52">
        <f>H266-I266</f>
        <v>-12</v>
      </c>
      <c r="L266" s="49">
        <v>0</v>
      </c>
      <c r="M266" s="49">
        <f>I266+L266</f>
        <v>12</v>
      </c>
      <c r="N266" s="49">
        <f>M266-H266</f>
        <v>12</v>
      </c>
      <c r="O266" s="50" t="str">
        <f>IF(H266=0,"No plan at start",M266/H266)</f>
        <v>No plan at start</v>
      </c>
      <c r="P266" s="53"/>
      <c r="Q266" s="54"/>
      <c r="R266" s="55"/>
      <c r="S266" s="55"/>
    </row>
    <row r="267" spans="1:19" s="10" customFormat="1" hidden="1" outlineLevel="2" x14ac:dyDescent="0.2">
      <c r="A267" s="11"/>
      <c r="B267" s="49" t="s">
        <v>81</v>
      </c>
      <c r="C267" s="49" t="s">
        <v>56</v>
      </c>
      <c r="D267" s="49">
        <v>0</v>
      </c>
      <c r="E267" s="49">
        <v>0</v>
      </c>
      <c r="F267" s="49">
        <f>E267-D267</f>
        <v>0</v>
      </c>
      <c r="G267" s="50">
        <f>IF(D267=0,0,ABS(F267/D267))</f>
        <v>0</v>
      </c>
      <c r="H267" s="49">
        <v>0</v>
      </c>
      <c r="I267" s="49">
        <v>0</v>
      </c>
      <c r="J267" s="51" t="str">
        <f>IF(H267=0,"No plan at start",I267/H267)</f>
        <v>No plan at start</v>
      </c>
      <c r="K267" s="52">
        <f>H267-I267</f>
        <v>0</v>
      </c>
      <c r="L267" s="49">
        <v>0</v>
      </c>
      <c r="M267" s="49">
        <f>I267+L267</f>
        <v>0</v>
      </c>
      <c r="N267" s="49">
        <f>M267-H267</f>
        <v>0</v>
      </c>
      <c r="O267" s="50" t="str">
        <f>IF(H267=0,"No plan at start",M267/H267)</f>
        <v>No plan at start</v>
      </c>
      <c r="P267" s="53"/>
      <c r="Q267" s="54"/>
      <c r="R267" s="55"/>
      <c r="S267" s="55"/>
    </row>
    <row r="268" spans="1:19" s="10" customFormat="1" hidden="1" outlineLevel="2" x14ac:dyDescent="0.2">
      <c r="A268" s="11"/>
      <c r="B268" s="49" t="s">
        <v>81</v>
      </c>
      <c r="C268" s="49" t="s">
        <v>57</v>
      </c>
      <c r="D268" s="49">
        <v>0</v>
      </c>
      <c r="E268" s="49">
        <v>0</v>
      </c>
      <c r="F268" s="49">
        <f>E268-D268</f>
        <v>0</v>
      </c>
      <c r="G268" s="50">
        <f>IF(D268=0,0,ABS(F268/D268))</f>
        <v>0</v>
      </c>
      <c r="H268" s="49">
        <v>0</v>
      </c>
      <c r="I268" s="49">
        <v>0</v>
      </c>
      <c r="J268" s="51" t="str">
        <f>IF(H268=0,"No plan at start",I268/H268)</f>
        <v>No plan at start</v>
      </c>
      <c r="K268" s="52">
        <f>H268-I268</f>
        <v>0</v>
      </c>
      <c r="L268" s="49">
        <v>0</v>
      </c>
      <c r="M268" s="49">
        <f>I268+L268</f>
        <v>0</v>
      </c>
      <c r="N268" s="49">
        <f>M268-H268</f>
        <v>0</v>
      </c>
      <c r="O268" s="50" t="str">
        <f>IF(H268=0,"No plan at start",M268/H268)</f>
        <v>No plan at start</v>
      </c>
      <c r="P268" s="53"/>
      <c r="Q268" s="54"/>
      <c r="R268" s="55"/>
      <c r="S268" s="55"/>
    </row>
    <row r="269" spans="1:19" s="10" customFormat="1" hidden="1" outlineLevel="2" x14ac:dyDescent="0.2">
      <c r="A269" s="11"/>
      <c r="B269" s="49" t="s">
        <v>81</v>
      </c>
      <c r="C269" s="49" t="s">
        <v>48</v>
      </c>
      <c r="D269" s="49">
        <v>0</v>
      </c>
      <c r="E269" s="49">
        <v>0</v>
      </c>
      <c r="F269" s="49">
        <f>E269-D269</f>
        <v>0</v>
      </c>
      <c r="G269" s="50">
        <f>IF(D269=0,0,ABS(F269/D269))</f>
        <v>0</v>
      </c>
      <c r="H269" s="49">
        <v>0</v>
      </c>
      <c r="I269" s="49">
        <v>0</v>
      </c>
      <c r="J269" s="51" t="str">
        <f>IF(H269=0,"No plan at start",I269/H269)</f>
        <v>No plan at start</v>
      </c>
      <c r="K269" s="52">
        <f>H269-I269</f>
        <v>0</v>
      </c>
      <c r="L269" s="49">
        <v>0</v>
      </c>
      <c r="M269" s="49">
        <f>I269+L269</f>
        <v>0</v>
      </c>
      <c r="N269" s="49">
        <f>M269-H269</f>
        <v>0</v>
      </c>
      <c r="O269" s="50" t="str">
        <f>IF(H269=0,"No plan at start",M269/H269)</f>
        <v>No plan at start</v>
      </c>
      <c r="P269" s="53"/>
      <c r="Q269" s="54"/>
      <c r="R269" s="55"/>
      <c r="S269" s="55"/>
    </row>
    <row r="270" spans="1:19" s="10" customFormat="1" hidden="1" outlineLevel="2" x14ac:dyDescent="0.2">
      <c r="A270" s="11"/>
      <c r="B270" s="49" t="s">
        <v>81</v>
      </c>
      <c r="C270" s="49" t="s">
        <v>58</v>
      </c>
      <c r="D270" s="49">
        <v>0</v>
      </c>
      <c r="E270" s="49">
        <v>0</v>
      </c>
      <c r="F270" s="49">
        <f>E270-D270</f>
        <v>0</v>
      </c>
      <c r="G270" s="50">
        <f>IF(D270=0,0,ABS(F270/D270))</f>
        <v>0</v>
      </c>
      <c r="H270" s="49">
        <v>0</v>
      </c>
      <c r="I270" s="49">
        <v>0</v>
      </c>
      <c r="J270" s="51" t="str">
        <f>IF(H270=0,"No plan at start",I270/H270)</f>
        <v>No plan at start</v>
      </c>
      <c r="K270" s="52">
        <f>H270-I270</f>
        <v>0</v>
      </c>
      <c r="L270" s="49">
        <v>0</v>
      </c>
      <c r="M270" s="49">
        <f>I270+L270</f>
        <v>0</v>
      </c>
      <c r="N270" s="49">
        <f>M270-H270</f>
        <v>0</v>
      </c>
      <c r="O270" s="50" t="str">
        <f>IF(H270=0,"No plan at start",M270/H270)</f>
        <v>No plan at start</v>
      </c>
      <c r="P270" s="53"/>
      <c r="Q270" s="54"/>
      <c r="R270" s="55"/>
      <c r="S270" s="55"/>
    </row>
    <row r="271" spans="1:19" s="10" customFormat="1" hidden="1" outlineLevel="2" x14ac:dyDescent="0.2">
      <c r="A271" s="11"/>
      <c r="B271" s="49" t="s">
        <v>81</v>
      </c>
      <c r="C271" s="49" t="s">
        <v>59</v>
      </c>
      <c r="D271" s="49">
        <v>0</v>
      </c>
      <c r="E271" s="49">
        <v>0</v>
      </c>
      <c r="F271" s="49">
        <f>E271-D271</f>
        <v>0</v>
      </c>
      <c r="G271" s="50">
        <f>IF(D271=0,0,ABS(F271/D271))</f>
        <v>0</v>
      </c>
      <c r="H271" s="49">
        <v>0</v>
      </c>
      <c r="I271" s="49">
        <v>0</v>
      </c>
      <c r="J271" s="51" t="str">
        <f>IF(H271=0,"No plan at start",I271/H271)</f>
        <v>No plan at start</v>
      </c>
      <c r="K271" s="52">
        <f>H271-I271</f>
        <v>0</v>
      </c>
      <c r="L271" s="49">
        <v>0</v>
      </c>
      <c r="M271" s="49">
        <f>I271+L271</f>
        <v>0</v>
      </c>
      <c r="N271" s="49">
        <f>M271-H271</f>
        <v>0</v>
      </c>
      <c r="O271" s="50" t="str">
        <f>IF(H271=0,"No plan at start",M271/H271)</f>
        <v>No plan at start</v>
      </c>
      <c r="P271" s="53"/>
      <c r="Q271" s="54"/>
      <c r="R271" s="55"/>
      <c r="S271" s="55"/>
    </row>
    <row r="272" spans="1:19" s="10" customFormat="1" hidden="1" outlineLevel="2" x14ac:dyDescent="0.2">
      <c r="A272" s="11"/>
      <c r="B272" s="49" t="s">
        <v>81</v>
      </c>
      <c r="C272" s="49" t="s">
        <v>60</v>
      </c>
      <c r="D272" s="49">
        <v>0</v>
      </c>
      <c r="E272" s="49">
        <v>0</v>
      </c>
      <c r="F272" s="49">
        <f>E272-D272</f>
        <v>0</v>
      </c>
      <c r="G272" s="50">
        <f>IF(D272=0,0,ABS(F272/D272))</f>
        <v>0</v>
      </c>
      <c r="H272" s="49">
        <v>0</v>
      </c>
      <c r="I272" s="49">
        <v>0</v>
      </c>
      <c r="J272" s="51" t="str">
        <f>IF(H272=0,"No plan at start",I272/H272)</f>
        <v>No plan at start</v>
      </c>
      <c r="K272" s="52">
        <f>H272-I272</f>
        <v>0</v>
      </c>
      <c r="L272" s="49">
        <v>0</v>
      </c>
      <c r="M272" s="49">
        <f>I272+L272</f>
        <v>0</v>
      </c>
      <c r="N272" s="49">
        <f>M272-H272</f>
        <v>0</v>
      </c>
      <c r="O272" s="50" t="str">
        <f>IF(H272=0,"No plan at start",M272/H272)</f>
        <v>No plan at start</v>
      </c>
      <c r="P272" s="53"/>
      <c r="Q272" s="54"/>
      <c r="R272" s="55"/>
      <c r="S272" s="55"/>
    </row>
    <row r="273" spans="1:19" s="10" customFormat="1" hidden="1" outlineLevel="2" x14ac:dyDescent="0.2">
      <c r="A273" s="11"/>
      <c r="B273" s="49" t="s">
        <v>81</v>
      </c>
      <c r="C273" s="49" t="s">
        <v>61</v>
      </c>
      <c r="D273" s="49">
        <v>0</v>
      </c>
      <c r="E273" s="49">
        <v>0</v>
      </c>
      <c r="F273" s="49">
        <f>E273-D273</f>
        <v>0</v>
      </c>
      <c r="G273" s="50">
        <f>IF(D273=0,0,ABS(F273/D273))</f>
        <v>0</v>
      </c>
      <c r="H273" s="49">
        <v>0</v>
      </c>
      <c r="I273" s="49">
        <v>0</v>
      </c>
      <c r="J273" s="51" t="str">
        <f>IF(H273=0,"No plan at start",I273/H273)</f>
        <v>No plan at start</v>
      </c>
      <c r="K273" s="52">
        <f>H273-I273</f>
        <v>0</v>
      </c>
      <c r="L273" s="49">
        <v>0</v>
      </c>
      <c r="M273" s="49">
        <f>I273+L273</f>
        <v>0</v>
      </c>
      <c r="N273" s="49">
        <f>M273-H273</f>
        <v>0</v>
      </c>
      <c r="O273" s="50" t="str">
        <f>IF(H273=0,"No plan at start",M273/H273)</f>
        <v>No plan at start</v>
      </c>
      <c r="P273" s="53"/>
      <c r="Q273" s="54"/>
      <c r="R273" s="55"/>
      <c r="S273" s="55"/>
    </row>
    <row r="274" spans="1:19" s="10" customFormat="1" hidden="1" outlineLevel="2" x14ac:dyDescent="0.2">
      <c r="A274" s="11"/>
      <c r="B274" s="49" t="s">
        <v>81</v>
      </c>
      <c r="C274" s="49" t="s">
        <v>62</v>
      </c>
      <c r="D274" s="49">
        <v>0</v>
      </c>
      <c r="E274" s="49">
        <v>0</v>
      </c>
      <c r="F274" s="49">
        <f>E274-D274</f>
        <v>0</v>
      </c>
      <c r="G274" s="50">
        <f>IF(D274=0,0,ABS(F274/D274))</f>
        <v>0</v>
      </c>
      <c r="H274" s="49">
        <v>0</v>
      </c>
      <c r="I274" s="49">
        <v>0</v>
      </c>
      <c r="J274" s="51" t="str">
        <f>IF(H274=0,"No plan at start",I274/H274)</f>
        <v>No plan at start</v>
      </c>
      <c r="K274" s="52">
        <f>H274-I274</f>
        <v>0</v>
      </c>
      <c r="L274" s="49">
        <v>0</v>
      </c>
      <c r="M274" s="49">
        <f>I274+L274</f>
        <v>0</v>
      </c>
      <c r="N274" s="49">
        <f>M274-H274</f>
        <v>0</v>
      </c>
      <c r="O274" s="50" t="str">
        <f>IF(H274=0,"No plan at start",M274/H274)</f>
        <v>No plan at start</v>
      </c>
      <c r="P274" s="53"/>
      <c r="Q274" s="54"/>
      <c r="R274" s="55"/>
      <c r="S274" s="55"/>
    </row>
    <row r="275" spans="1:19" s="10" customFormat="1" outlineLevel="1" collapsed="1" x14ac:dyDescent="0.2">
      <c r="A275" s="11"/>
      <c r="B275" s="56" t="s">
        <v>120</v>
      </c>
      <c r="C275" s="49"/>
      <c r="D275" s="49">
        <f>SUBTOTAL(9,D263:D274)</f>
        <v>0</v>
      </c>
      <c r="E275" s="49">
        <f>SUBTOTAL(9,E263:E274)</f>
        <v>0</v>
      </c>
      <c r="F275" s="49">
        <f>SUBTOTAL(9,F263:F274)</f>
        <v>0</v>
      </c>
      <c r="G275" s="50">
        <f>IF(D275=0,0,ABS(F275/D275))</f>
        <v>0</v>
      </c>
      <c r="H275" s="49">
        <f>SUBTOTAL(9,H263:H274)</f>
        <v>0</v>
      </c>
      <c r="I275" s="49">
        <f>SUBTOTAL(9,I263:I274)</f>
        <v>14</v>
      </c>
      <c r="J275" s="51" t="str">
        <f>IF(H275=0,"No plan at start",I275/H275)</f>
        <v>No plan at start</v>
      </c>
      <c r="K275" s="52">
        <f>SUBTOTAL(9,K263:K274)</f>
        <v>-14</v>
      </c>
      <c r="L275" s="49">
        <f>SUBTOTAL(9,L263:L274)</f>
        <v>0</v>
      </c>
      <c r="M275" s="49">
        <f>SUBTOTAL(9,M263:M274)</f>
        <v>14</v>
      </c>
      <c r="N275" s="49">
        <f>SUBTOTAL(9,N263:N274)</f>
        <v>14</v>
      </c>
      <c r="O275" s="50" t="str">
        <f>IF(H275=0,"No plan at start",M275/H275)</f>
        <v>No plan at start</v>
      </c>
      <c r="P275" s="53"/>
      <c r="Q275" s="54"/>
      <c r="R275" s="55"/>
      <c r="S275" s="55"/>
    </row>
    <row r="276" spans="1:19" s="10" customFormat="1" hidden="1" outlineLevel="2" x14ac:dyDescent="0.2">
      <c r="A276" s="11"/>
      <c r="B276" s="49" t="s">
        <v>82</v>
      </c>
      <c r="C276" s="49" t="s">
        <v>52</v>
      </c>
      <c r="D276" s="49">
        <v>0</v>
      </c>
      <c r="E276" s="49">
        <v>0</v>
      </c>
      <c r="F276" s="49">
        <f>E276-D276</f>
        <v>0</v>
      </c>
      <c r="G276" s="50">
        <f>IF(D276=0,0,ABS(F276/D276))</f>
        <v>0</v>
      </c>
      <c r="H276" s="49">
        <v>0</v>
      </c>
      <c r="I276" s="49">
        <v>14</v>
      </c>
      <c r="J276" s="51" t="str">
        <f>IF(H276=0,"No plan at start",I276/H276)</f>
        <v>No plan at start</v>
      </c>
      <c r="K276" s="52">
        <f>H276-I276</f>
        <v>-14</v>
      </c>
      <c r="L276" s="49">
        <v>0</v>
      </c>
      <c r="M276" s="49">
        <f>I276+L276</f>
        <v>14</v>
      </c>
      <c r="N276" s="49">
        <f>M276-H276</f>
        <v>14</v>
      </c>
      <c r="O276" s="50" t="str">
        <f>IF(H276=0,"No plan at start",M276/H276)</f>
        <v>No plan at start</v>
      </c>
      <c r="P276" s="53"/>
      <c r="Q276" s="54"/>
      <c r="R276" s="55"/>
      <c r="S276" s="55"/>
    </row>
    <row r="277" spans="1:19" s="10" customFormat="1" hidden="1" outlineLevel="2" x14ac:dyDescent="0.2">
      <c r="A277" s="11"/>
      <c r="B277" s="49" t="s">
        <v>82</v>
      </c>
      <c r="C277" s="49" t="s">
        <v>53</v>
      </c>
      <c r="D277" s="49">
        <v>0</v>
      </c>
      <c r="E277" s="49">
        <v>0</v>
      </c>
      <c r="F277" s="49">
        <f>E277-D277</f>
        <v>0</v>
      </c>
      <c r="G277" s="50">
        <f>IF(D277=0,0,ABS(F277/D277))</f>
        <v>0</v>
      </c>
      <c r="H277" s="49">
        <v>248.95</v>
      </c>
      <c r="I277" s="49">
        <v>90</v>
      </c>
      <c r="J277" s="51">
        <f>IF(H277=0,"No plan at start",I277/H277)</f>
        <v>0.36151837718417357</v>
      </c>
      <c r="K277" s="52">
        <f>H277-I277</f>
        <v>158.94999999999999</v>
      </c>
      <c r="L277" s="49">
        <v>0</v>
      </c>
      <c r="M277" s="49">
        <f>I277+L277</f>
        <v>90</v>
      </c>
      <c r="N277" s="49">
        <f>M277-H277</f>
        <v>-158.94999999999999</v>
      </c>
      <c r="O277" s="50">
        <f>IF(H277=0,"No plan at start",M277/H277)</f>
        <v>0.36151837718417357</v>
      </c>
      <c r="P277" s="53"/>
      <c r="Q277" s="54"/>
      <c r="R277" s="55"/>
      <c r="S277" s="55"/>
    </row>
    <row r="278" spans="1:19" s="10" customFormat="1" hidden="1" outlineLevel="2" x14ac:dyDescent="0.2">
      <c r="A278" s="11"/>
      <c r="B278" s="49" t="s">
        <v>82</v>
      </c>
      <c r="C278" s="49" t="s">
        <v>54</v>
      </c>
      <c r="D278" s="49">
        <v>0</v>
      </c>
      <c r="E278" s="49">
        <v>0</v>
      </c>
      <c r="F278" s="49">
        <f>E278-D278</f>
        <v>0</v>
      </c>
      <c r="G278" s="50">
        <f>IF(D278=0,0,ABS(F278/D278))</f>
        <v>0</v>
      </c>
      <c r="H278" s="49">
        <v>0</v>
      </c>
      <c r="I278" s="49">
        <v>0</v>
      </c>
      <c r="J278" s="51" t="str">
        <f>IF(H278=0,"No plan at start",I278/H278)</f>
        <v>No plan at start</v>
      </c>
      <c r="K278" s="52">
        <f>H278-I278</f>
        <v>0</v>
      </c>
      <c r="L278" s="49">
        <v>0</v>
      </c>
      <c r="M278" s="49">
        <f>I278+L278</f>
        <v>0</v>
      </c>
      <c r="N278" s="49">
        <f>M278-H278</f>
        <v>0</v>
      </c>
      <c r="O278" s="50" t="str">
        <f>IF(H278=0,"No plan at start",M278/H278)</f>
        <v>No plan at start</v>
      </c>
      <c r="P278" s="53"/>
      <c r="Q278" s="54"/>
      <c r="R278" s="55"/>
      <c r="S278" s="55"/>
    </row>
    <row r="279" spans="1:19" s="10" customFormat="1" hidden="1" outlineLevel="2" x14ac:dyDescent="0.2">
      <c r="A279" s="11"/>
      <c r="B279" s="49" t="s">
        <v>82</v>
      </c>
      <c r="C279" s="49" t="s">
        <v>55</v>
      </c>
      <c r="D279" s="49">
        <v>0</v>
      </c>
      <c r="E279" s="49">
        <v>0</v>
      </c>
      <c r="F279" s="49">
        <f>E279-D279</f>
        <v>0</v>
      </c>
      <c r="G279" s="50">
        <f>IF(D279=0,0,ABS(F279/D279))</f>
        <v>0</v>
      </c>
      <c r="H279" s="49">
        <v>0</v>
      </c>
      <c r="I279" s="49">
        <v>34</v>
      </c>
      <c r="J279" s="51" t="str">
        <f>IF(H279=0,"No plan at start",I279/H279)</f>
        <v>No plan at start</v>
      </c>
      <c r="K279" s="52">
        <f>H279-I279</f>
        <v>-34</v>
      </c>
      <c r="L279" s="49">
        <v>0</v>
      </c>
      <c r="M279" s="49">
        <f>I279+L279</f>
        <v>34</v>
      </c>
      <c r="N279" s="49">
        <f>M279-H279</f>
        <v>34</v>
      </c>
      <c r="O279" s="50" t="str">
        <f>IF(H279=0,"No plan at start",M279/H279)</f>
        <v>No plan at start</v>
      </c>
      <c r="P279" s="53"/>
      <c r="Q279" s="54"/>
      <c r="R279" s="55"/>
      <c r="S279" s="55"/>
    </row>
    <row r="280" spans="1:19" s="10" customFormat="1" hidden="1" outlineLevel="2" x14ac:dyDescent="0.2">
      <c r="A280" s="11"/>
      <c r="B280" s="49" t="s">
        <v>82</v>
      </c>
      <c r="C280" s="49" t="s">
        <v>56</v>
      </c>
      <c r="D280" s="49">
        <v>0</v>
      </c>
      <c r="E280" s="49">
        <v>0</v>
      </c>
      <c r="F280" s="49">
        <f>E280-D280</f>
        <v>0</v>
      </c>
      <c r="G280" s="50">
        <f>IF(D280=0,0,ABS(F280/D280))</f>
        <v>0</v>
      </c>
      <c r="H280" s="49">
        <v>0</v>
      </c>
      <c r="I280" s="49">
        <v>0</v>
      </c>
      <c r="J280" s="51" t="str">
        <f>IF(H280=0,"No plan at start",I280/H280)</f>
        <v>No plan at start</v>
      </c>
      <c r="K280" s="52">
        <f>H280-I280</f>
        <v>0</v>
      </c>
      <c r="L280" s="49">
        <v>0</v>
      </c>
      <c r="M280" s="49">
        <f>I280+L280</f>
        <v>0</v>
      </c>
      <c r="N280" s="49">
        <f>M280-H280</f>
        <v>0</v>
      </c>
      <c r="O280" s="50" t="str">
        <f>IF(H280=0,"No plan at start",M280/H280)</f>
        <v>No plan at start</v>
      </c>
      <c r="P280" s="53"/>
      <c r="Q280" s="54"/>
      <c r="R280" s="55"/>
      <c r="S280" s="55"/>
    </row>
    <row r="281" spans="1:19" s="10" customFormat="1" hidden="1" outlineLevel="2" x14ac:dyDescent="0.2">
      <c r="A281" s="11"/>
      <c r="B281" s="49" t="s">
        <v>82</v>
      </c>
      <c r="C281" s="49" t="s">
        <v>57</v>
      </c>
      <c r="D281" s="49">
        <v>0</v>
      </c>
      <c r="E281" s="49">
        <v>0</v>
      </c>
      <c r="F281" s="49">
        <f>E281-D281</f>
        <v>0</v>
      </c>
      <c r="G281" s="50">
        <f>IF(D281=0,0,ABS(F281/D281))</f>
        <v>0</v>
      </c>
      <c r="H281" s="49">
        <v>0</v>
      </c>
      <c r="I281" s="49">
        <v>0</v>
      </c>
      <c r="J281" s="51" t="str">
        <f>IF(H281=0,"No plan at start",I281/H281)</f>
        <v>No plan at start</v>
      </c>
      <c r="K281" s="52">
        <f>H281-I281</f>
        <v>0</v>
      </c>
      <c r="L281" s="49">
        <v>0</v>
      </c>
      <c r="M281" s="49">
        <f>I281+L281</f>
        <v>0</v>
      </c>
      <c r="N281" s="49">
        <f>M281-H281</f>
        <v>0</v>
      </c>
      <c r="O281" s="50" t="str">
        <f>IF(H281=0,"No plan at start",M281/H281)</f>
        <v>No plan at start</v>
      </c>
      <c r="P281" s="53"/>
      <c r="Q281" s="54"/>
      <c r="R281" s="55"/>
      <c r="S281" s="55"/>
    </row>
    <row r="282" spans="1:19" s="10" customFormat="1" hidden="1" outlineLevel="2" x14ac:dyDescent="0.2">
      <c r="A282" s="11"/>
      <c r="B282" s="49" t="s">
        <v>82</v>
      </c>
      <c r="C282" s="49" t="s">
        <v>48</v>
      </c>
      <c r="D282" s="49">
        <v>0</v>
      </c>
      <c r="E282" s="49">
        <v>0</v>
      </c>
      <c r="F282" s="49">
        <f>E282-D282</f>
        <v>0</v>
      </c>
      <c r="G282" s="50">
        <f>IF(D282=0,0,ABS(F282/D282))</f>
        <v>0</v>
      </c>
      <c r="H282" s="49">
        <v>0</v>
      </c>
      <c r="I282" s="49">
        <v>0</v>
      </c>
      <c r="J282" s="51" t="str">
        <f>IF(H282=0,"No plan at start",I282/H282)</f>
        <v>No plan at start</v>
      </c>
      <c r="K282" s="52">
        <f>H282-I282</f>
        <v>0</v>
      </c>
      <c r="L282" s="49">
        <v>0</v>
      </c>
      <c r="M282" s="49">
        <f>I282+L282</f>
        <v>0</v>
      </c>
      <c r="N282" s="49">
        <f>M282-H282</f>
        <v>0</v>
      </c>
      <c r="O282" s="50" t="str">
        <f>IF(H282=0,"No plan at start",M282/H282)</f>
        <v>No plan at start</v>
      </c>
      <c r="P282" s="53"/>
      <c r="Q282" s="54"/>
      <c r="R282" s="55"/>
      <c r="S282" s="55"/>
    </row>
    <row r="283" spans="1:19" s="10" customFormat="1" hidden="1" outlineLevel="2" x14ac:dyDescent="0.2">
      <c r="A283" s="11"/>
      <c r="B283" s="49" t="s">
        <v>82</v>
      </c>
      <c r="C283" s="49" t="s">
        <v>58</v>
      </c>
      <c r="D283" s="49">
        <v>0</v>
      </c>
      <c r="E283" s="49">
        <v>0</v>
      </c>
      <c r="F283" s="49">
        <f>E283-D283</f>
        <v>0</v>
      </c>
      <c r="G283" s="50">
        <f>IF(D283=0,0,ABS(F283/D283))</f>
        <v>0</v>
      </c>
      <c r="H283" s="49">
        <v>0</v>
      </c>
      <c r="I283" s="49">
        <v>0</v>
      </c>
      <c r="J283" s="51" t="str">
        <f>IF(H283=0,"No plan at start",I283/H283)</f>
        <v>No plan at start</v>
      </c>
      <c r="K283" s="52">
        <f>H283-I283</f>
        <v>0</v>
      </c>
      <c r="L283" s="49">
        <v>0</v>
      </c>
      <c r="M283" s="49">
        <f>I283+L283</f>
        <v>0</v>
      </c>
      <c r="N283" s="49">
        <f>M283-H283</f>
        <v>0</v>
      </c>
      <c r="O283" s="50" t="str">
        <f>IF(H283=0,"No plan at start",M283/H283)</f>
        <v>No plan at start</v>
      </c>
      <c r="P283" s="53"/>
      <c r="Q283" s="54"/>
      <c r="R283" s="55"/>
      <c r="S283" s="55"/>
    </row>
    <row r="284" spans="1:19" s="10" customFormat="1" hidden="1" outlineLevel="2" x14ac:dyDescent="0.2">
      <c r="A284" s="11"/>
      <c r="B284" s="49" t="s">
        <v>82</v>
      </c>
      <c r="C284" s="49" t="s">
        <v>59</v>
      </c>
      <c r="D284" s="49">
        <v>0</v>
      </c>
      <c r="E284" s="49">
        <v>0</v>
      </c>
      <c r="F284" s="49">
        <f>E284-D284</f>
        <v>0</v>
      </c>
      <c r="G284" s="50">
        <f>IF(D284=0,0,ABS(F284/D284))</f>
        <v>0</v>
      </c>
      <c r="H284" s="49">
        <v>0</v>
      </c>
      <c r="I284" s="49">
        <v>0</v>
      </c>
      <c r="J284" s="51" t="str">
        <f>IF(H284=0,"No plan at start",I284/H284)</f>
        <v>No plan at start</v>
      </c>
      <c r="K284" s="52">
        <f>H284-I284</f>
        <v>0</v>
      </c>
      <c r="L284" s="49">
        <v>0</v>
      </c>
      <c r="M284" s="49">
        <f>I284+L284</f>
        <v>0</v>
      </c>
      <c r="N284" s="49">
        <f>M284-H284</f>
        <v>0</v>
      </c>
      <c r="O284" s="50" t="str">
        <f>IF(H284=0,"No plan at start",M284/H284)</f>
        <v>No plan at start</v>
      </c>
      <c r="P284" s="53"/>
      <c r="Q284" s="54"/>
      <c r="R284" s="55"/>
      <c r="S284" s="55"/>
    </row>
    <row r="285" spans="1:19" s="10" customFormat="1" hidden="1" outlineLevel="2" x14ac:dyDescent="0.2">
      <c r="A285" s="11"/>
      <c r="B285" s="49" t="s">
        <v>82</v>
      </c>
      <c r="C285" s="49" t="s">
        <v>60</v>
      </c>
      <c r="D285" s="49">
        <v>0</v>
      </c>
      <c r="E285" s="49">
        <v>0</v>
      </c>
      <c r="F285" s="49">
        <f>E285-D285</f>
        <v>0</v>
      </c>
      <c r="G285" s="50">
        <f>IF(D285=0,0,ABS(F285/D285))</f>
        <v>0</v>
      </c>
      <c r="H285" s="49">
        <v>0</v>
      </c>
      <c r="I285" s="49">
        <v>0</v>
      </c>
      <c r="J285" s="51" t="str">
        <f>IF(H285=0,"No plan at start",I285/H285)</f>
        <v>No plan at start</v>
      </c>
      <c r="K285" s="52">
        <f>H285-I285</f>
        <v>0</v>
      </c>
      <c r="L285" s="49">
        <v>0</v>
      </c>
      <c r="M285" s="49">
        <f>I285+L285</f>
        <v>0</v>
      </c>
      <c r="N285" s="49">
        <f>M285-H285</f>
        <v>0</v>
      </c>
      <c r="O285" s="50" t="str">
        <f>IF(H285=0,"No plan at start",M285/H285)</f>
        <v>No plan at start</v>
      </c>
      <c r="P285" s="53"/>
      <c r="Q285" s="54"/>
      <c r="R285" s="55"/>
      <c r="S285" s="55"/>
    </row>
    <row r="286" spans="1:19" s="10" customFormat="1" hidden="1" outlineLevel="2" x14ac:dyDescent="0.2">
      <c r="A286" s="11"/>
      <c r="B286" s="49" t="s">
        <v>82</v>
      </c>
      <c r="C286" s="49" t="s">
        <v>61</v>
      </c>
      <c r="D286" s="49">
        <v>0</v>
      </c>
      <c r="E286" s="49">
        <v>0</v>
      </c>
      <c r="F286" s="49">
        <f>E286-D286</f>
        <v>0</v>
      </c>
      <c r="G286" s="50">
        <f>IF(D286=0,0,ABS(F286/D286))</f>
        <v>0</v>
      </c>
      <c r="H286" s="49">
        <v>0</v>
      </c>
      <c r="I286" s="49">
        <v>0</v>
      </c>
      <c r="J286" s="51" t="str">
        <f>IF(H286=0,"No plan at start",I286/H286)</f>
        <v>No plan at start</v>
      </c>
      <c r="K286" s="52">
        <f>H286-I286</f>
        <v>0</v>
      </c>
      <c r="L286" s="49">
        <v>0</v>
      </c>
      <c r="M286" s="49">
        <f>I286+L286</f>
        <v>0</v>
      </c>
      <c r="N286" s="49">
        <f>M286-H286</f>
        <v>0</v>
      </c>
      <c r="O286" s="50" t="str">
        <f>IF(H286=0,"No plan at start",M286/H286)</f>
        <v>No plan at start</v>
      </c>
      <c r="P286" s="53"/>
      <c r="Q286" s="54"/>
      <c r="R286" s="55"/>
      <c r="S286" s="55"/>
    </row>
    <row r="287" spans="1:19" s="10" customFormat="1" hidden="1" outlineLevel="2" x14ac:dyDescent="0.2">
      <c r="A287" s="11"/>
      <c r="B287" s="49" t="s">
        <v>82</v>
      </c>
      <c r="C287" s="49" t="s">
        <v>62</v>
      </c>
      <c r="D287" s="49">
        <v>0</v>
      </c>
      <c r="E287" s="49">
        <v>0</v>
      </c>
      <c r="F287" s="49">
        <f>E287-D287</f>
        <v>0</v>
      </c>
      <c r="G287" s="50">
        <f>IF(D287=0,0,ABS(F287/D287))</f>
        <v>0</v>
      </c>
      <c r="H287" s="49">
        <v>0</v>
      </c>
      <c r="I287" s="49">
        <v>0</v>
      </c>
      <c r="J287" s="51" t="str">
        <f>IF(H287=0,"No plan at start",I287/H287)</f>
        <v>No plan at start</v>
      </c>
      <c r="K287" s="52">
        <f>H287-I287</f>
        <v>0</v>
      </c>
      <c r="L287" s="49">
        <v>0</v>
      </c>
      <c r="M287" s="49">
        <f>I287+L287</f>
        <v>0</v>
      </c>
      <c r="N287" s="49">
        <f>M287-H287</f>
        <v>0</v>
      </c>
      <c r="O287" s="50" t="str">
        <f>IF(H287=0,"No plan at start",M287/H287)</f>
        <v>No plan at start</v>
      </c>
      <c r="P287" s="53"/>
      <c r="Q287" s="54"/>
      <c r="R287" s="55"/>
      <c r="S287" s="55"/>
    </row>
    <row r="288" spans="1:19" s="10" customFormat="1" outlineLevel="1" collapsed="1" x14ac:dyDescent="0.2">
      <c r="A288" s="11"/>
      <c r="B288" s="56" t="s">
        <v>121</v>
      </c>
      <c r="C288" s="49"/>
      <c r="D288" s="49">
        <f>SUBTOTAL(9,D276:D287)</f>
        <v>0</v>
      </c>
      <c r="E288" s="49">
        <f>SUBTOTAL(9,E276:E287)</f>
        <v>0</v>
      </c>
      <c r="F288" s="49">
        <f>SUBTOTAL(9,F276:F287)</f>
        <v>0</v>
      </c>
      <c r="G288" s="50">
        <f>IF(D288=0,0,ABS(F288/D288))</f>
        <v>0</v>
      </c>
      <c r="H288" s="49">
        <f>SUBTOTAL(9,H276:H287)</f>
        <v>248.95</v>
      </c>
      <c r="I288" s="49">
        <f>SUBTOTAL(9,I276:I287)</f>
        <v>138</v>
      </c>
      <c r="J288" s="51">
        <f>IF(H288=0,"No plan at start",I288/H288)</f>
        <v>0.55432817834906611</v>
      </c>
      <c r="K288" s="52">
        <f>SUBTOTAL(9,K276:K287)</f>
        <v>110.94999999999999</v>
      </c>
      <c r="L288" s="49">
        <f>SUBTOTAL(9,L276:L287)</f>
        <v>0</v>
      </c>
      <c r="M288" s="49">
        <f>SUBTOTAL(9,M276:M287)</f>
        <v>138</v>
      </c>
      <c r="N288" s="49">
        <f>SUBTOTAL(9,N276:N287)</f>
        <v>-110.94999999999999</v>
      </c>
      <c r="O288" s="50">
        <f>IF(H288=0,"No plan at start",M288/H288)</f>
        <v>0.55432817834906611</v>
      </c>
      <c r="P288" s="53"/>
      <c r="Q288" s="54"/>
      <c r="R288" s="55"/>
      <c r="S288" s="55"/>
    </row>
    <row r="289" spans="1:19" s="10" customFormat="1" hidden="1" outlineLevel="2" x14ac:dyDescent="0.2">
      <c r="A289" s="11"/>
      <c r="B289" s="49" t="s">
        <v>83</v>
      </c>
      <c r="C289" s="49" t="s">
        <v>52</v>
      </c>
      <c r="D289" s="49">
        <v>0</v>
      </c>
      <c r="E289" s="49">
        <v>0</v>
      </c>
      <c r="F289" s="49">
        <f>E289-D289</f>
        <v>0</v>
      </c>
      <c r="G289" s="50">
        <f>IF(D289=0,0,ABS(F289/D289))</f>
        <v>0</v>
      </c>
      <c r="H289" s="49">
        <v>654.4</v>
      </c>
      <c r="I289" s="49">
        <v>483</v>
      </c>
      <c r="J289" s="51">
        <f>IF(H289=0,"No plan at start",I289/H289)</f>
        <v>0.73808068459657705</v>
      </c>
      <c r="K289" s="52">
        <f>H289-I289</f>
        <v>171.39999999999998</v>
      </c>
      <c r="L289" s="49">
        <v>0</v>
      </c>
      <c r="M289" s="49">
        <f>I289+L289</f>
        <v>483</v>
      </c>
      <c r="N289" s="49">
        <f>M289-H289</f>
        <v>-171.39999999999998</v>
      </c>
      <c r="O289" s="50">
        <f>IF(H289=0,"No plan at start",M289/H289)</f>
        <v>0.73808068459657705</v>
      </c>
      <c r="P289" s="53"/>
      <c r="Q289" s="54"/>
      <c r="R289" s="55"/>
      <c r="S289" s="55"/>
    </row>
    <row r="290" spans="1:19" s="10" customFormat="1" hidden="1" outlineLevel="2" x14ac:dyDescent="0.2">
      <c r="A290" s="11"/>
      <c r="B290" s="49" t="s">
        <v>83</v>
      </c>
      <c r="C290" s="49" t="s">
        <v>53</v>
      </c>
      <c r="D290" s="49">
        <v>0</v>
      </c>
      <c r="E290" s="49">
        <v>0</v>
      </c>
      <c r="F290" s="49">
        <f>E290-D290</f>
        <v>0</v>
      </c>
      <c r="G290" s="50">
        <f>IF(D290=0,0,ABS(F290/D290))</f>
        <v>0</v>
      </c>
      <c r="H290" s="49">
        <v>438</v>
      </c>
      <c r="I290" s="49">
        <v>118.5</v>
      </c>
      <c r="J290" s="51">
        <f>IF(H290=0,"No plan at start",I290/H290)</f>
        <v>0.27054794520547948</v>
      </c>
      <c r="K290" s="52">
        <f>H290-I290</f>
        <v>319.5</v>
      </c>
      <c r="L290" s="49">
        <v>0</v>
      </c>
      <c r="M290" s="49">
        <f>I290+L290</f>
        <v>118.5</v>
      </c>
      <c r="N290" s="49">
        <f>M290-H290</f>
        <v>-319.5</v>
      </c>
      <c r="O290" s="50">
        <f>IF(H290=0,"No plan at start",M290/H290)</f>
        <v>0.27054794520547948</v>
      </c>
      <c r="P290" s="53"/>
      <c r="Q290" s="54"/>
      <c r="R290" s="55"/>
      <c r="S290" s="55"/>
    </row>
    <row r="291" spans="1:19" s="10" customFormat="1" hidden="1" outlineLevel="2" x14ac:dyDescent="0.2">
      <c r="A291" s="11"/>
      <c r="B291" s="49" t="s">
        <v>83</v>
      </c>
      <c r="C291" s="49" t="s">
        <v>54</v>
      </c>
      <c r="D291" s="49">
        <v>0</v>
      </c>
      <c r="E291" s="49">
        <v>0</v>
      </c>
      <c r="F291" s="49">
        <f>E291-D291</f>
        <v>0</v>
      </c>
      <c r="G291" s="50">
        <f>IF(D291=0,0,ABS(F291/D291))</f>
        <v>0</v>
      </c>
      <c r="H291" s="49">
        <v>0</v>
      </c>
      <c r="I291" s="49">
        <v>0</v>
      </c>
      <c r="J291" s="51" t="str">
        <f>IF(H291=0,"No plan at start",I291/H291)</f>
        <v>No plan at start</v>
      </c>
      <c r="K291" s="52">
        <f>H291-I291</f>
        <v>0</v>
      </c>
      <c r="L291" s="49">
        <v>0</v>
      </c>
      <c r="M291" s="49">
        <f>I291+L291</f>
        <v>0</v>
      </c>
      <c r="N291" s="49">
        <f>M291-H291</f>
        <v>0</v>
      </c>
      <c r="O291" s="50" t="str">
        <f>IF(H291=0,"No plan at start",M291/H291)</f>
        <v>No plan at start</v>
      </c>
      <c r="P291" s="53"/>
      <c r="Q291" s="54"/>
      <c r="R291" s="55"/>
      <c r="S291" s="55"/>
    </row>
    <row r="292" spans="1:19" s="10" customFormat="1" hidden="1" outlineLevel="2" x14ac:dyDescent="0.2">
      <c r="A292" s="11"/>
      <c r="B292" s="49" t="s">
        <v>83</v>
      </c>
      <c r="C292" s="49" t="s">
        <v>55</v>
      </c>
      <c r="D292" s="49">
        <v>0</v>
      </c>
      <c r="E292" s="49">
        <v>0</v>
      </c>
      <c r="F292" s="49">
        <f>E292-D292</f>
        <v>0</v>
      </c>
      <c r="G292" s="50">
        <f>IF(D292=0,0,ABS(F292/D292))</f>
        <v>0</v>
      </c>
      <c r="H292" s="49">
        <v>578</v>
      </c>
      <c r="I292" s="49">
        <v>702.5</v>
      </c>
      <c r="J292" s="51">
        <f>IF(H292=0,"No plan at start",I292/H292)</f>
        <v>1.2153979238754324</v>
      </c>
      <c r="K292" s="52">
        <f>H292-I292</f>
        <v>-124.5</v>
      </c>
      <c r="L292" s="49">
        <v>0</v>
      </c>
      <c r="M292" s="49">
        <f>I292+L292</f>
        <v>702.5</v>
      </c>
      <c r="N292" s="49">
        <f>M292-H292</f>
        <v>124.5</v>
      </c>
      <c r="O292" s="50">
        <f>IF(H292=0,"No plan at start",M292/H292)</f>
        <v>1.2153979238754324</v>
      </c>
      <c r="P292" s="53"/>
      <c r="Q292" s="54"/>
      <c r="R292" s="55"/>
      <c r="S292" s="55"/>
    </row>
    <row r="293" spans="1:19" s="10" customFormat="1" hidden="1" outlineLevel="2" x14ac:dyDescent="0.2">
      <c r="A293" s="11"/>
      <c r="B293" s="49" t="s">
        <v>83</v>
      </c>
      <c r="C293" s="49" t="s">
        <v>56</v>
      </c>
      <c r="D293" s="49">
        <v>0</v>
      </c>
      <c r="E293" s="49">
        <v>0</v>
      </c>
      <c r="F293" s="49">
        <f>E293-D293</f>
        <v>0</v>
      </c>
      <c r="G293" s="50">
        <f>IF(D293=0,0,ABS(F293/D293))</f>
        <v>0</v>
      </c>
      <c r="H293" s="49">
        <v>0</v>
      </c>
      <c r="I293" s="49">
        <v>5</v>
      </c>
      <c r="J293" s="51" t="str">
        <f>IF(H293=0,"No plan at start",I293/H293)</f>
        <v>No plan at start</v>
      </c>
      <c r="K293" s="52">
        <f>H293-I293</f>
        <v>-5</v>
      </c>
      <c r="L293" s="49">
        <v>0</v>
      </c>
      <c r="M293" s="49">
        <f>I293+L293</f>
        <v>5</v>
      </c>
      <c r="N293" s="49">
        <f>M293-H293</f>
        <v>5</v>
      </c>
      <c r="O293" s="50" t="str">
        <f>IF(H293=0,"No plan at start",M293/H293)</f>
        <v>No plan at start</v>
      </c>
      <c r="P293" s="53"/>
      <c r="Q293" s="54"/>
      <c r="R293" s="55"/>
      <c r="S293" s="55"/>
    </row>
    <row r="294" spans="1:19" s="10" customFormat="1" hidden="1" outlineLevel="2" x14ac:dyDescent="0.2">
      <c r="A294" s="11"/>
      <c r="B294" s="49" t="s">
        <v>83</v>
      </c>
      <c r="C294" s="49" t="s">
        <v>57</v>
      </c>
      <c r="D294" s="49">
        <v>0</v>
      </c>
      <c r="E294" s="49">
        <v>0</v>
      </c>
      <c r="F294" s="49">
        <f>E294-D294</f>
        <v>0</v>
      </c>
      <c r="G294" s="50">
        <f>IF(D294=0,0,ABS(F294/D294))</f>
        <v>0</v>
      </c>
      <c r="H294" s="49">
        <v>0</v>
      </c>
      <c r="I294" s="49">
        <v>0</v>
      </c>
      <c r="J294" s="51" t="str">
        <f>IF(H294=0,"No plan at start",I294/H294)</f>
        <v>No plan at start</v>
      </c>
      <c r="K294" s="52">
        <f>H294-I294</f>
        <v>0</v>
      </c>
      <c r="L294" s="49">
        <v>0</v>
      </c>
      <c r="M294" s="49">
        <f>I294+L294</f>
        <v>0</v>
      </c>
      <c r="N294" s="49">
        <f>M294-H294</f>
        <v>0</v>
      </c>
      <c r="O294" s="50" t="str">
        <f>IF(H294=0,"No plan at start",M294/H294)</f>
        <v>No plan at start</v>
      </c>
      <c r="P294" s="53"/>
      <c r="Q294" s="54"/>
      <c r="R294" s="55"/>
      <c r="S294" s="55"/>
    </row>
    <row r="295" spans="1:19" s="10" customFormat="1" hidden="1" outlineLevel="2" x14ac:dyDescent="0.2">
      <c r="A295" s="11"/>
      <c r="B295" s="49" t="s">
        <v>83</v>
      </c>
      <c r="C295" s="49" t="s">
        <v>48</v>
      </c>
      <c r="D295" s="49">
        <v>0</v>
      </c>
      <c r="E295" s="49">
        <v>0</v>
      </c>
      <c r="F295" s="49">
        <f>E295-D295</f>
        <v>0</v>
      </c>
      <c r="G295" s="50">
        <f>IF(D295=0,0,ABS(F295/D295))</f>
        <v>0</v>
      </c>
      <c r="H295" s="49">
        <v>0</v>
      </c>
      <c r="I295" s="49">
        <v>0</v>
      </c>
      <c r="J295" s="51" t="str">
        <f>IF(H295=0,"No plan at start",I295/H295)</f>
        <v>No plan at start</v>
      </c>
      <c r="K295" s="52">
        <f>H295-I295</f>
        <v>0</v>
      </c>
      <c r="L295" s="49">
        <v>0</v>
      </c>
      <c r="M295" s="49">
        <f>I295+L295</f>
        <v>0</v>
      </c>
      <c r="N295" s="49">
        <f>M295-H295</f>
        <v>0</v>
      </c>
      <c r="O295" s="50" t="str">
        <f>IF(H295=0,"No plan at start",M295/H295)</f>
        <v>No plan at start</v>
      </c>
      <c r="P295" s="53"/>
      <c r="Q295" s="54"/>
      <c r="R295" s="55"/>
      <c r="S295" s="55"/>
    </row>
    <row r="296" spans="1:19" s="10" customFormat="1" hidden="1" outlineLevel="2" x14ac:dyDescent="0.2">
      <c r="A296" s="11"/>
      <c r="B296" s="49" t="s">
        <v>83</v>
      </c>
      <c r="C296" s="49" t="s">
        <v>58</v>
      </c>
      <c r="D296" s="49">
        <v>0</v>
      </c>
      <c r="E296" s="49">
        <v>0</v>
      </c>
      <c r="F296" s="49">
        <f>E296-D296</f>
        <v>0</v>
      </c>
      <c r="G296" s="50">
        <f>IF(D296=0,0,ABS(F296/D296))</f>
        <v>0</v>
      </c>
      <c r="H296" s="49">
        <v>0</v>
      </c>
      <c r="I296" s="49">
        <v>0</v>
      </c>
      <c r="J296" s="51" t="str">
        <f>IF(H296=0,"No plan at start",I296/H296)</f>
        <v>No plan at start</v>
      </c>
      <c r="K296" s="52">
        <f>H296-I296</f>
        <v>0</v>
      </c>
      <c r="L296" s="49">
        <v>0</v>
      </c>
      <c r="M296" s="49">
        <f>I296+L296</f>
        <v>0</v>
      </c>
      <c r="N296" s="49">
        <f>M296-H296</f>
        <v>0</v>
      </c>
      <c r="O296" s="50" t="str">
        <f>IF(H296=0,"No plan at start",M296/H296)</f>
        <v>No plan at start</v>
      </c>
      <c r="P296" s="53"/>
      <c r="Q296" s="54"/>
      <c r="R296" s="55"/>
      <c r="S296" s="55"/>
    </row>
    <row r="297" spans="1:19" s="10" customFormat="1" hidden="1" outlineLevel="2" x14ac:dyDescent="0.2">
      <c r="A297" s="11"/>
      <c r="B297" s="49" t="s">
        <v>83</v>
      </c>
      <c r="C297" s="49" t="s">
        <v>59</v>
      </c>
      <c r="D297" s="49">
        <v>0</v>
      </c>
      <c r="E297" s="49">
        <v>0</v>
      </c>
      <c r="F297" s="49">
        <f>E297-D297</f>
        <v>0</v>
      </c>
      <c r="G297" s="50">
        <f>IF(D297=0,0,ABS(F297/D297))</f>
        <v>0</v>
      </c>
      <c r="H297" s="49">
        <v>0</v>
      </c>
      <c r="I297" s="49">
        <v>0</v>
      </c>
      <c r="J297" s="51" t="str">
        <f>IF(H297=0,"No plan at start",I297/H297)</f>
        <v>No plan at start</v>
      </c>
      <c r="K297" s="52">
        <f>H297-I297</f>
        <v>0</v>
      </c>
      <c r="L297" s="49">
        <v>0</v>
      </c>
      <c r="M297" s="49">
        <f>I297+L297</f>
        <v>0</v>
      </c>
      <c r="N297" s="49">
        <f>M297-H297</f>
        <v>0</v>
      </c>
      <c r="O297" s="50" t="str">
        <f>IF(H297=0,"No plan at start",M297/H297)</f>
        <v>No plan at start</v>
      </c>
      <c r="P297" s="53"/>
      <c r="Q297" s="54"/>
      <c r="R297" s="55"/>
      <c r="S297" s="55"/>
    </row>
    <row r="298" spans="1:19" s="10" customFormat="1" hidden="1" outlineLevel="2" x14ac:dyDescent="0.2">
      <c r="A298" s="11"/>
      <c r="B298" s="49" t="s">
        <v>83</v>
      </c>
      <c r="C298" s="49" t="s">
        <v>60</v>
      </c>
      <c r="D298" s="49">
        <v>0</v>
      </c>
      <c r="E298" s="49">
        <v>0</v>
      </c>
      <c r="F298" s="49">
        <f>E298-D298</f>
        <v>0</v>
      </c>
      <c r="G298" s="50">
        <f>IF(D298=0,0,ABS(F298/D298))</f>
        <v>0</v>
      </c>
      <c r="H298" s="49">
        <v>0</v>
      </c>
      <c r="I298" s="49">
        <v>0</v>
      </c>
      <c r="J298" s="51" t="str">
        <f>IF(H298=0,"No plan at start",I298/H298)</f>
        <v>No plan at start</v>
      </c>
      <c r="K298" s="52">
        <f>H298-I298</f>
        <v>0</v>
      </c>
      <c r="L298" s="49">
        <v>0</v>
      </c>
      <c r="M298" s="49">
        <f>I298+L298</f>
        <v>0</v>
      </c>
      <c r="N298" s="49">
        <f>M298-H298</f>
        <v>0</v>
      </c>
      <c r="O298" s="50" t="str">
        <f>IF(H298=0,"No plan at start",M298/H298)</f>
        <v>No plan at start</v>
      </c>
      <c r="P298" s="53"/>
      <c r="Q298" s="54"/>
      <c r="R298" s="55"/>
      <c r="S298" s="55"/>
    </row>
    <row r="299" spans="1:19" s="10" customFormat="1" hidden="1" outlineLevel="2" x14ac:dyDescent="0.2">
      <c r="A299" s="11"/>
      <c r="B299" s="49" t="s">
        <v>83</v>
      </c>
      <c r="C299" s="49" t="s">
        <v>61</v>
      </c>
      <c r="D299" s="49">
        <v>0</v>
      </c>
      <c r="E299" s="49">
        <v>0</v>
      </c>
      <c r="F299" s="49">
        <f>E299-D299</f>
        <v>0</v>
      </c>
      <c r="G299" s="50">
        <f>IF(D299=0,0,ABS(F299/D299))</f>
        <v>0</v>
      </c>
      <c r="H299" s="49">
        <v>0</v>
      </c>
      <c r="I299" s="49">
        <v>0</v>
      </c>
      <c r="J299" s="51" t="str">
        <f>IF(H299=0,"No plan at start",I299/H299)</f>
        <v>No plan at start</v>
      </c>
      <c r="K299" s="52">
        <f>H299-I299</f>
        <v>0</v>
      </c>
      <c r="L299" s="49">
        <v>0</v>
      </c>
      <c r="M299" s="49">
        <f>I299+L299</f>
        <v>0</v>
      </c>
      <c r="N299" s="49">
        <f>M299-H299</f>
        <v>0</v>
      </c>
      <c r="O299" s="50" t="str">
        <f>IF(H299=0,"No plan at start",M299/H299)</f>
        <v>No plan at start</v>
      </c>
      <c r="P299" s="53"/>
      <c r="Q299" s="54"/>
      <c r="R299" s="55"/>
      <c r="S299" s="55"/>
    </row>
    <row r="300" spans="1:19" s="10" customFormat="1" hidden="1" outlineLevel="2" x14ac:dyDescent="0.2">
      <c r="A300" s="11"/>
      <c r="B300" s="49" t="s">
        <v>83</v>
      </c>
      <c r="C300" s="49" t="s">
        <v>62</v>
      </c>
      <c r="D300" s="49">
        <v>0</v>
      </c>
      <c r="E300" s="49">
        <v>0</v>
      </c>
      <c r="F300" s="49">
        <f>E300-D300</f>
        <v>0</v>
      </c>
      <c r="G300" s="50">
        <f>IF(D300=0,0,ABS(F300/D300))</f>
        <v>0</v>
      </c>
      <c r="H300" s="49">
        <v>0</v>
      </c>
      <c r="I300" s="49">
        <v>0</v>
      </c>
      <c r="J300" s="51" t="str">
        <f>IF(H300=0,"No plan at start",I300/H300)</f>
        <v>No plan at start</v>
      </c>
      <c r="K300" s="52">
        <f>H300-I300</f>
        <v>0</v>
      </c>
      <c r="L300" s="49">
        <v>0</v>
      </c>
      <c r="M300" s="49">
        <f>I300+L300</f>
        <v>0</v>
      </c>
      <c r="N300" s="49">
        <f>M300-H300</f>
        <v>0</v>
      </c>
      <c r="O300" s="50" t="str">
        <f>IF(H300=0,"No plan at start",M300/H300)</f>
        <v>No plan at start</v>
      </c>
      <c r="P300" s="53"/>
      <c r="Q300" s="54"/>
      <c r="R300" s="55"/>
      <c r="S300" s="55"/>
    </row>
    <row r="301" spans="1:19" s="10" customFormat="1" outlineLevel="1" collapsed="1" x14ac:dyDescent="0.2">
      <c r="A301" s="11"/>
      <c r="B301" s="56" t="s">
        <v>122</v>
      </c>
      <c r="C301" s="49"/>
      <c r="D301" s="49">
        <f>SUBTOTAL(9,D289:D300)</f>
        <v>0</v>
      </c>
      <c r="E301" s="49">
        <f>SUBTOTAL(9,E289:E300)</f>
        <v>0</v>
      </c>
      <c r="F301" s="49">
        <f>SUBTOTAL(9,F289:F300)</f>
        <v>0</v>
      </c>
      <c r="G301" s="50">
        <f>IF(D301=0,0,ABS(F301/D301))</f>
        <v>0</v>
      </c>
      <c r="H301" s="49">
        <f>SUBTOTAL(9,H289:H300)</f>
        <v>1670.4</v>
      </c>
      <c r="I301" s="49">
        <f>SUBTOTAL(9,I289:I300)</f>
        <v>1309</v>
      </c>
      <c r="J301" s="51">
        <f>IF(H301=0,"No plan at start",I301/H301)</f>
        <v>0.78364463601532564</v>
      </c>
      <c r="K301" s="52">
        <f>SUBTOTAL(9,K289:K300)</f>
        <v>361.4</v>
      </c>
      <c r="L301" s="49">
        <f>SUBTOTAL(9,L289:L300)</f>
        <v>0</v>
      </c>
      <c r="M301" s="49">
        <f>SUBTOTAL(9,M289:M300)</f>
        <v>1309</v>
      </c>
      <c r="N301" s="49">
        <f>SUBTOTAL(9,N289:N300)</f>
        <v>-361.4</v>
      </c>
      <c r="O301" s="50">
        <f>IF(H301=0,"No plan at start",M301/H301)</f>
        <v>0.78364463601532564</v>
      </c>
      <c r="P301" s="53"/>
      <c r="Q301" s="54"/>
      <c r="R301" s="55"/>
      <c r="S301" s="55"/>
    </row>
    <row r="302" spans="1:19" s="10" customFormat="1" hidden="1" outlineLevel="2" x14ac:dyDescent="0.2">
      <c r="A302" s="11"/>
      <c r="B302" s="49" t="s">
        <v>84</v>
      </c>
      <c r="C302" s="49" t="s">
        <v>52</v>
      </c>
      <c r="D302" s="49">
        <v>0</v>
      </c>
      <c r="E302" s="49">
        <v>0</v>
      </c>
      <c r="F302" s="49">
        <f>E302-D302</f>
        <v>0</v>
      </c>
      <c r="G302" s="50">
        <f>IF(D302=0,0,ABS(F302/D302))</f>
        <v>0</v>
      </c>
      <c r="H302" s="49">
        <v>0</v>
      </c>
      <c r="I302" s="49">
        <v>0</v>
      </c>
      <c r="J302" s="51" t="str">
        <f>IF(H302=0,"No plan at start",I302/H302)</f>
        <v>No plan at start</v>
      </c>
      <c r="K302" s="52">
        <f>H302-I302</f>
        <v>0</v>
      </c>
      <c r="L302" s="49">
        <v>0</v>
      </c>
      <c r="M302" s="49">
        <f>I302+L302</f>
        <v>0</v>
      </c>
      <c r="N302" s="49">
        <f>M302-H302</f>
        <v>0</v>
      </c>
      <c r="O302" s="50" t="str">
        <f>IF(H302=0,"No plan at start",M302/H302)</f>
        <v>No plan at start</v>
      </c>
      <c r="P302" s="53"/>
      <c r="Q302" s="54"/>
      <c r="R302" s="55"/>
      <c r="S302" s="55"/>
    </row>
    <row r="303" spans="1:19" s="10" customFormat="1" hidden="1" outlineLevel="2" x14ac:dyDescent="0.2">
      <c r="A303" s="11"/>
      <c r="B303" s="49" t="s">
        <v>84</v>
      </c>
      <c r="C303" s="49" t="s">
        <v>53</v>
      </c>
      <c r="D303" s="49">
        <v>0</v>
      </c>
      <c r="E303" s="49">
        <v>0</v>
      </c>
      <c r="F303" s="49">
        <f>E303-D303</f>
        <v>0</v>
      </c>
      <c r="G303" s="50">
        <f>IF(D303=0,0,ABS(F303/D303))</f>
        <v>0</v>
      </c>
      <c r="H303" s="49">
        <v>105.60000000000001</v>
      </c>
      <c r="I303" s="49">
        <v>14.5</v>
      </c>
      <c r="J303" s="51">
        <f>IF(H303=0,"No plan at start",I303/H303)</f>
        <v>0.13731060606060605</v>
      </c>
      <c r="K303" s="52">
        <f>H303-I303</f>
        <v>91.100000000000009</v>
      </c>
      <c r="L303" s="49">
        <v>104.00000000000001</v>
      </c>
      <c r="M303" s="49">
        <f>I303+L303</f>
        <v>118.50000000000001</v>
      </c>
      <c r="N303" s="49">
        <f>M303-H303</f>
        <v>12.900000000000006</v>
      </c>
      <c r="O303" s="50">
        <f>IF(H303=0,"No plan at start",M303/H303)</f>
        <v>1.1221590909090911</v>
      </c>
      <c r="P303" s="53"/>
      <c r="Q303" s="54"/>
      <c r="R303" s="55"/>
      <c r="S303" s="55"/>
    </row>
    <row r="304" spans="1:19" s="10" customFormat="1" hidden="1" outlineLevel="2" x14ac:dyDescent="0.2">
      <c r="A304" s="11"/>
      <c r="B304" s="49" t="s">
        <v>84</v>
      </c>
      <c r="C304" s="49" t="s">
        <v>54</v>
      </c>
      <c r="D304" s="49">
        <v>0</v>
      </c>
      <c r="E304" s="49">
        <v>0</v>
      </c>
      <c r="F304" s="49">
        <f>E304-D304</f>
        <v>0</v>
      </c>
      <c r="G304" s="50">
        <f>IF(D304=0,0,ABS(F304/D304))</f>
        <v>0</v>
      </c>
      <c r="H304" s="49">
        <v>0</v>
      </c>
      <c r="I304" s="49">
        <v>0</v>
      </c>
      <c r="J304" s="51" t="str">
        <f>IF(H304=0,"No plan at start",I304/H304)</f>
        <v>No plan at start</v>
      </c>
      <c r="K304" s="52">
        <f>H304-I304</f>
        <v>0</v>
      </c>
      <c r="L304" s="49">
        <v>0</v>
      </c>
      <c r="M304" s="49">
        <f>I304+L304</f>
        <v>0</v>
      </c>
      <c r="N304" s="49">
        <f>M304-H304</f>
        <v>0</v>
      </c>
      <c r="O304" s="50" t="str">
        <f>IF(H304=0,"No plan at start",M304/H304)</f>
        <v>No plan at start</v>
      </c>
      <c r="P304" s="53"/>
      <c r="Q304" s="54"/>
      <c r="R304" s="55"/>
      <c r="S304" s="55"/>
    </row>
    <row r="305" spans="1:19" s="10" customFormat="1" hidden="1" outlineLevel="2" x14ac:dyDescent="0.2">
      <c r="A305" s="11"/>
      <c r="B305" s="49" t="s">
        <v>84</v>
      </c>
      <c r="C305" s="49" t="s">
        <v>55</v>
      </c>
      <c r="D305" s="49">
        <v>0</v>
      </c>
      <c r="E305" s="49">
        <v>0</v>
      </c>
      <c r="F305" s="49">
        <f>E305-D305</f>
        <v>0</v>
      </c>
      <c r="G305" s="50">
        <f>IF(D305=0,0,ABS(F305/D305))</f>
        <v>0</v>
      </c>
      <c r="H305" s="49">
        <v>0</v>
      </c>
      <c r="I305" s="49">
        <v>4</v>
      </c>
      <c r="J305" s="51" t="str">
        <f>IF(H305=0,"No plan at start",I305/H305)</f>
        <v>No plan at start</v>
      </c>
      <c r="K305" s="52">
        <f>H305-I305</f>
        <v>-4</v>
      </c>
      <c r="L305" s="49">
        <v>0</v>
      </c>
      <c r="M305" s="49">
        <f>I305+L305</f>
        <v>4</v>
      </c>
      <c r="N305" s="49">
        <f>M305-H305</f>
        <v>4</v>
      </c>
      <c r="O305" s="50" t="str">
        <f>IF(H305=0,"No plan at start",M305/H305)</f>
        <v>No plan at start</v>
      </c>
      <c r="P305" s="53"/>
      <c r="Q305" s="54"/>
      <c r="R305" s="55"/>
      <c r="S305" s="55"/>
    </row>
    <row r="306" spans="1:19" s="10" customFormat="1" hidden="1" outlineLevel="2" x14ac:dyDescent="0.2">
      <c r="A306" s="11"/>
      <c r="B306" s="49" t="s">
        <v>84</v>
      </c>
      <c r="C306" s="49" t="s">
        <v>56</v>
      </c>
      <c r="D306" s="49">
        <v>0</v>
      </c>
      <c r="E306" s="49">
        <v>0</v>
      </c>
      <c r="F306" s="49">
        <f>E306-D306</f>
        <v>0</v>
      </c>
      <c r="G306" s="50">
        <f>IF(D306=0,0,ABS(F306/D306))</f>
        <v>0</v>
      </c>
      <c r="H306" s="49">
        <v>0</v>
      </c>
      <c r="I306" s="49">
        <v>0</v>
      </c>
      <c r="J306" s="51" t="str">
        <f>IF(H306=0,"No plan at start",I306/H306)</f>
        <v>No plan at start</v>
      </c>
      <c r="K306" s="52">
        <f>H306-I306</f>
        <v>0</v>
      </c>
      <c r="L306" s="49">
        <v>0</v>
      </c>
      <c r="M306" s="49">
        <f>I306+L306</f>
        <v>0</v>
      </c>
      <c r="N306" s="49">
        <f>M306-H306</f>
        <v>0</v>
      </c>
      <c r="O306" s="50" t="str">
        <f>IF(H306=0,"No plan at start",M306/H306)</f>
        <v>No plan at start</v>
      </c>
      <c r="P306" s="53"/>
      <c r="Q306" s="54"/>
      <c r="R306" s="55"/>
      <c r="S306" s="55"/>
    </row>
    <row r="307" spans="1:19" s="10" customFormat="1" hidden="1" outlineLevel="2" x14ac:dyDescent="0.2">
      <c r="A307" s="11"/>
      <c r="B307" s="49" t="s">
        <v>84</v>
      </c>
      <c r="C307" s="49" t="s">
        <v>57</v>
      </c>
      <c r="D307" s="49">
        <v>0</v>
      </c>
      <c r="E307" s="49">
        <v>0</v>
      </c>
      <c r="F307" s="49">
        <f>E307-D307</f>
        <v>0</v>
      </c>
      <c r="G307" s="50">
        <f>IF(D307=0,0,ABS(F307/D307))</f>
        <v>0</v>
      </c>
      <c r="H307" s="49">
        <v>0</v>
      </c>
      <c r="I307" s="49">
        <v>0</v>
      </c>
      <c r="J307" s="51" t="str">
        <f>IF(H307=0,"No plan at start",I307/H307)</f>
        <v>No plan at start</v>
      </c>
      <c r="K307" s="52">
        <f>H307-I307</f>
        <v>0</v>
      </c>
      <c r="L307" s="49">
        <v>0</v>
      </c>
      <c r="M307" s="49">
        <f>I307+L307</f>
        <v>0</v>
      </c>
      <c r="N307" s="49">
        <f>M307-H307</f>
        <v>0</v>
      </c>
      <c r="O307" s="50" t="str">
        <f>IF(H307=0,"No plan at start",M307/H307)</f>
        <v>No plan at start</v>
      </c>
      <c r="P307" s="53"/>
      <c r="Q307" s="54"/>
      <c r="R307" s="55"/>
      <c r="S307" s="55"/>
    </row>
    <row r="308" spans="1:19" s="10" customFormat="1" hidden="1" outlineLevel="2" x14ac:dyDescent="0.2">
      <c r="A308" s="11"/>
      <c r="B308" s="49" t="s">
        <v>84</v>
      </c>
      <c r="C308" s="49" t="s">
        <v>48</v>
      </c>
      <c r="D308" s="49">
        <v>0</v>
      </c>
      <c r="E308" s="49">
        <v>0</v>
      </c>
      <c r="F308" s="49">
        <f>E308-D308</f>
        <v>0</v>
      </c>
      <c r="G308" s="50">
        <f>IF(D308=0,0,ABS(F308/D308))</f>
        <v>0</v>
      </c>
      <c r="H308" s="49">
        <v>0</v>
      </c>
      <c r="I308" s="49">
        <v>0</v>
      </c>
      <c r="J308" s="51" t="str">
        <f>IF(H308=0,"No plan at start",I308/H308)</f>
        <v>No plan at start</v>
      </c>
      <c r="K308" s="52">
        <f>H308-I308</f>
        <v>0</v>
      </c>
      <c r="L308" s="49">
        <v>0</v>
      </c>
      <c r="M308" s="49">
        <f>I308+L308</f>
        <v>0</v>
      </c>
      <c r="N308" s="49">
        <f>M308-H308</f>
        <v>0</v>
      </c>
      <c r="O308" s="50" t="str">
        <f>IF(H308=0,"No plan at start",M308/H308)</f>
        <v>No plan at start</v>
      </c>
      <c r="P308" s="53"/>
      <c r="Q308" s="54"/>
      <c r="R308" s="55"/>
      <c r="S308" s="55"/>
    </row>
    <row r="309" spans="1:19" s="10" customFormat="1" hidden="1" outlineLevel="2" x14ac:dyDescent="0.2">
      <c r="A309" s="11"/>
      <c r="B309" s="49" t="s">
        <v>84</v>
      </c>
      <c r="C309" s="49" t="s">
        <v>58</v>
      </c>
      <c r="D309" s="49">
        <v>0</v>
      </c>
      <c r="E309" s="49">
        <v>0</v>
      </c>
      <c r="F309" s="49">
        <f>E309-D309</f>
        <v>0</v>
      </c>
      <c r="G309" s="50">
        <f>IF(D309=0,0,ABS(F309/D309))</f>
        <v>0</v>
      </c>
      <c r="H309" s="49">
        <v>0</v>
      </c>
      <c r="I309" s="49">
        <v>0</v>
      </c>
      <c r="J309" s="51" t="str">
        <f>IF(H309=0,"No plan at start",I309/H309)</f>
        <v>No plan at start</v>
      </c>
      <c r="K309" s="52">
        <f>H309-I309</f>
        <v>0</v>
      </c>
      <c r="L309" s="49">
        <v>0</v>
      </c>
      <c r="M309" s="49">
        <f>I309+L309</f>
        <v>0</v>
      </c>
      <c r="N309" s="49">
        <f>M309-H309</f>
        <v>0</v>
      </c>
      <c r="O309" s="50" t="str">
        <f>IF(H309=0,"No plan at start",M309/H309)</f>
        <v>No plan at start</v>
      </c>
      <c r="P309" s="53"/>
      <c r="Q309" s="54"/>
      <c r="R309" s="55"/>
      <c r="S309" s="55"/>
    </row>
    <row r="310" spans="1:19" s="10" customFormat="1" hidden="1" outlineLevel="2" x14ac:dyDescent="0.2">
      <c r="A310" s="11"/>
      <c r="B310" s="49" t="s">
        <v>84</v>
      </c>
      <c r="C310" s="49" t="s">
        <v>59</v>
      </c>
      <c r="D310" s="49">
        <v>0</v>
      </c>
      <c r="E310" s="49">
        <v>0</v>
      </c>
      <c r="F310" s="49">
        <f>E310-D310</f>
        <v>0</v>
      </c>
      <c r="G310" s="50">
        <f>IF(D310=0,0,ABS(F310/D310))</f>
        <v>0</v>
      </c>
      <c r="H310" s="49">
        <v>0</v>
      </c>
      <c r="I310" s="49">
        <v>0</v>
      </c>
      <c r="J310" s="51" t="str">
        <f>IF(H310=0,"No plan at start",I310/H310)</f>
        <v>No plan at start</v>
      </c>
      <c r="K310" s="52">
        <f>H310-I310</f>
        <v>0</v>
      </c>
      <c r="L310" s="49">
        <v>0</v>
      </c>
      <c r="M310" s="49">
        <f>I310+L310</f>
        <v>0</v>
      </c>
      <c r="N310" s="49">
        <f>M310-H310</f>
        <v>0</v>
      </c>
      <c r="O310" s="50" t="str">
        <f>IF(H310=0,"No plan at start",M310/H310)</f>
        <v>No plan at start</v>
      </c>
      <c r="P310" s="53"/>
      <c r="Q310" s="54"/>
      <c r="R310" s="55"/>
      <c r="S310" s="55"/>
    </row>
    <row r="311" spans="1:19" s="10" customFormat="1" hidden="1" outlineLevel="2" x14ac:dyDescent="0.2">
      <c r="A311" s="11"/>
      <c r="B311" s="49" t="s">
        <v>84</v>
      </c>
      <c r="C311" s="49" t="s">
        <v>60</v>
      </c>
      <c r="D311" s="49">
        <v>0</v>
      </c>
      <c r="E311" s="49">
        <v>0</v>
      </c>
      <c r="F311" s="49">
        <f>E311-D311</f>
        <v>0</v>
      </c>
      <c r="G311" s="50">
        <f>IF(D311=0,0,ABS(F311/D311))</f>
        <v>0</v>
      </c>
      <c r="H311" s="49">
        <v>0</v>
      </c>
      <c r="I311" s="49">
        <v>0</v>
      </c>
      <c r="J311" s="51" t="str">
        <f>IF(H311=0,"No plan at start",I311/H311)</f>
        <v>No plan at start</v>
      </c>
      <c r="K311" s="52">
        <f>H311-I311</f>
        <v>0</v>
      </c>
      <c r="L311" s="49">
        <v>0</v>
      </c>
      <c r="M311" s="49">
        <f>I311+L311</f>
        <v>0</v>
      </c>
      <c r="N311" s="49">
        <f>M311-H311</f>
        <v>0</v>
      </c>
      <c r="O311" s="50" t="str">
        <f>IF(H311=0,"No plan at start",M311/H311)</f>
        <v>No plan at start</v>
      </c>
      <c r="P311" s="53"/>
      <c r="Q311" s="54"/>
      <c r="R311" s="55"/>
      <c r="S311" s="55"/>
    </row>
    <row r="312" spans="1:19" s="10" customFormat="1" hidden="1" outlineLevel="2" x14ac:dyDescent="0.2">
      <c r="A312" s="11"/>
      <c r="B312" s="49" t="s">
        <v>84</v>
      </c>
      <c r="C312" s="49" t="s">
        <v>61</v>
      </c>
      <c r="D312" s="49">
        <v>0</v>
      </c>
      <c r="E312" s="49">
        <v>0</v>
      </c>
      <c r="F312" s="49">
        <f>E312-D312</f>
        <v>0</v>
      </c>
      <c r="G312" s="50">
        <f>IF(D312=0,0,ABS(F312/D312))</f>
        <v>0</v>
      </c>
      <c r="H312" s="49">
        <v>0</v>
      </c>
      <c r="I312" s="49">
        <v>0</v>
      </c>
      <c r="J312" s="51" t="str">
        <f>IF(H312=0,"No plan at start",I312/H312)</f>
        <v>No plan at start</v>
      </c>
      <c r="K312" s="52">
        <f>H312-I312</f>
        <v>0</v>
      </c>
      <c r="L312" s="49">
        <v>0</v>
      </c>
      <c r="M312" s="49">
        <f>I312+L312</f>
        <v>0</v>
      </c>
      <c r="N312" s="49">
        <f>M312-H312</f>
        <v>0</v>
      </c>
      <c r="O312" s="50" t="str">
        <f>IF(H312=0,"No plan at start",M312/H312)</f>
        <v>No plan at start</v>
      </c>
      <c r="P312" s="53"/>
      <c r="Q312" s="54"/>
      <c r="R312" s="55"/>
      <c r="S312" s="55"/>
    </row>
    <row r="313" spans="1:19" s="10" customFormat="1" hidden="1" outlineLevel="2" x14ac:dyDescent="0.2">
      <c r="A313" s="11"/>
      <c r="B313" s="49" t="s">
        <v>84</v>
      </c>
      <c r="C313" s="49" t="s">
        <v>62</v>
      </c>
      <c r="D313" s="49">
        <v>0</v>
      </c>
      <c r="E313" s="49">
        <v>0</v>
      </c>
      <c r="F313" s="49">
        <f>E313-D313</f>
        <v>0</v>
      </c>
      <c r="G313" s="50">
        <f>IF(D313=0,0,ABS(F313/D313))</f>
        <v>0</v>
      </c>
      <c r="H313" s="49">
        <v>0</v>
      </c>
      <c r="I313" s="49">
        <v>0</v>
      </c>
      <c r="J313" s="51" t="str">
        <f>IF(H313=0,"No plan at start",I313/H313)</f>
        <v>No plan at start</v>
      </c>
      <c r="K313" s="52">
        <f>H313-I313</f>
        <v>0</v>
      </c>
      <c r="L313" s="49">
        <v>0</v>
      </c>
      <c r="M313" s="49">
        <f>I313+L313</f>
        <v>0</v>
      </c>
      <c r="N313" s="49">
        <f>M313-H313</f>
        <v>0</v>
      </c>
      <c r="O313" s="50" t="str">
        <f>IF(H313=0,"No plan at start",M313/H313)</f>
        <v>No plan at start</v>
      </c>
      <c r="P313" s="53"/>
      <c r="Q313" s="54"/>
      <c r="R313" s="55"/>
      <c r="S313" s="55"/>
    </row>
    <row r="314" spans="1:19" s="10" customFormat="1" outlineLevel="1" collapsed="1" x14ac:dyDescent="0.2">
      <c r="A314" s="11"/>
      <c r="B314" s="56" t="s">
        <v>123</v>
      </c>
      <c r="C314" s="49"/>
      <c r="D314" s="49">
        <f>SUBTOTAL(9,D302:D313)</f>
        <v>0</v>
      </c>
      <c r="E314" s="49">
        <f>SUBTOTAL(9,E302:E313)</f>
        <v>0</v>
      </c>
      <c r="F314" s="49">
        <f>SUBTOTAL(9,F302:F313)</f>
        <v>0</v>
      </c>
      <c r="G314" s="50">
        <f>IF(D314=0,0,ABS(F314/D314))</f>
        <v>0</v>
      </c>
      <c r="H314" s="49">
        <f>SUBTOTAL(9,H302:H313)</f>
        <v>105.60000000000001</v>
      </c>
      <c r="I314" s="49">
        <f>SUBTOTAL(9,I302:I313)</f>
        <v>18.5</v>
      </c>
      <c r="J314" s="51">
        <f>IF(H314=0,"No plan at start",I314/H314)</f>
        <v>0.17518939393939392</v>
      </c>
      <c r="K314" s="52">
        <f>SUBTOTAL(9,K302:K313)</f>
        <v>87.100000000000009</v>
      </c>
      <c r="L314" s="49">
        <f>SUBTOTAL(9,L302:L313)</f>
        <v>104.00000000000001</v>
      </c>
      <c r="M314" s="49">
        <f>SUBTOTAL(9,M302:M313)</f>
        <v>122.50000000000001</v>
      </c>
      <c r="N314" s="49">
        <f>SUBTOTAL(9,N302:N313)</f>
        <v>16.900000000000006</v>
      </c>
      <c r="O314" s="50">
        <f>IF(H314=0,"No plan at start",M314/H314)</f>
        <v>1.1600378787878789</v>
      </c>
      <c r="P314" s="53"/>
      <c r="Q314" s="54"/>
      <c r="R314" s="55"/>
      <c r="S314" s="55"/>
    </row>
    <row r="315" spans="1:19" s="10" customFormat="1" hidden="1" outlineLevel="2" x14ac:dyDescent="0.2">
      <c r="A315" s="11"/>
      <c r="B315" s="49" t="s">
        <v>85</v>
      </c>
      <c r="C315" s="49" t="s">
        <v>52</v>
      </c>
      <c r="D315" s="49">
        <v>0</v>
      </c>
      <c r="E315" s="49">
        <v>0</v>
      </c>
      <c r="F315" s="49">
        <f>E315-D315</f>
        <v>0</v>
      </c>
      <c r="G315" s="50">
        <f>IF(D315=0,0,ABS(F315/D315))</f>
        <v>0</v>
      </c>
      <c r="H315" s="49">
        <v>0</v>
      </c>
      <c r="I315" s="49">
        <v>0</v>
      </c>
      <c r="J315" s="51" t="str">
        <f>IF(H315=0,"No plan at start",I315/H315)</f>
        <v>No plan at start</v>
      </c>
      <c r="K315" s="52">
        <f>H315-I315</f>
        <v>0</v>
      </c>
      <c r="L315" s="49">
        <v>0</v>
      </c>
      <c r="M315" s="49">
        <f>I315+L315</f>
        <v>0</v>
      </c>
      <c r="N315" s="49">
        <f>M315-H315</f>
        <v>0</v>
      </c>
      <c r="O315" s="50" t="str">
        <f>IF(H315=0,"No plan at start",M315/H315)</f>
        <v>No plan at start</v>
      </c>
      <c r="P315" s="53"/>
      <c r="Q315" s="54"/>
      <c r="R315" s="55"/>
      <c r="S315" s="55"/>
    </row>
    <row r="316" spans="1:19" s="10" customFormat="1" hidden="1" outlineLevel="2" x14ac:dyDescent="0.2">
      <c r="A316" s="11"/>
      <c r="B316" s="49" t="s">
        <v>85</v>
      </c>
      <c r="C316" s="49" t="s">
        <v>53</v>
      </c>
      <c r="D316" s="49">
        <v>0</v>
      </c>
      <c r="E316" s="49">
        <v>0</v>
      </c>
      <c r="F316" s="49">
        <f>E316-D316</f>
        <v>0</v>
      </c>
      <c r="G316" s="50">
        <f>IF(D316=0,0,ABS(F316/D316))</f>
        <v>0</v>
      </c>
      <c r="H316" s="49">
        <v>0</v>
      </c>
      <c r="I316" s="49">
        <v>0</v>
      </c>
      <c r="J316" s="51" t="str">
        <f>IF(H316=0,"No plan at start",I316/H316)</f>
        <v>No plan at start</v>
      </c>
      <c r="K316" s="52">
        <f>H316-I316</f>
        <v>0</v>
      </c>
      <c r="L316" s="49">
        <v>0</v>
      </c>
      <c r="M316" s="49">
        <f>I316+L316</f>
        <v>0</v>
      </c>
      <c r="N316" s="49">
        <f>M316-H316</f>
        <v>0</v>
      </c>
      <c r="O316" s="50" t="str">
        <f>IF(H316=0,"No plan at start",M316/H316)</f>
        <v>No plan at start</v>
      </c>
      <c r="P316" s="53"/>
      <c r="Q316" s="54"/>
      <c r="R316" s="55"/>
      <c r="S316" s="55"/>
    </row>
    <row r="317" spans="1:19" s="10" customFormat="1" hidden="1" outlineLevel="2" x14ac:dyDescent="0.2">
      <c r="A317" s="11"/>
      <c r="B317" s="49" t="s">
        <v>85</v>
      </c>
      <c r="C317" s="49" t="s">
        <v>54</v>
      </c>
      <c r="D317" s="49">
        <v>0</v>
      </c>
      <c r="E317" s="49">
        <v>0</v>
      </c>
      <c r="F317" s="49">
        <f>E317-D317</f>
        <v>0</v>
      </c>
      <c r="G317" s="50">
        <f>IF(D317=0,0,ABS(F317/D317))</f>
        <v>0</v>
      </c>
      <c r="H317" s="49">
        <v>0</v>
      </c>
      <c r="I317" s="49">
        <v>0</v>
      </c>
      <c r="J317" s="51" t="str">
        <f>IF(H317=0,"No plan at start",I317/H317)</f>
        <v>No plan at start</v>
      </c>
      <c r="K317" s="52">
        <f>H317-I317</f>
        <v>0</v>
      </c>
      <c r="L317" s="49">
        <v>0</v>
      </c>
      <c r="M317" s="49">
        <f>I317+L317</f>
        <v>0</v>
      </c>
      <c r="N317" s="49">
        <f>M317-H317</f>
        <v>0</v>
      </c>
      <c r="O317" s="50" t="str">
        <f>IF(H317=0,"No plan at start",M317/H317)</f>
        <v>No plan at start</v>
      </c>
      <c r="P317" s="53"/>
      <c r="Q317" s="54"/>
      <c r="R317" s="55"/>
      <c r="S317" s="55"/>
    </row>
    <row r="318" spans="1:19" s="10" customFormat="1" hidden="1" outlineLevel="2" x14ac:dyDescent="0.2">
      <c r="A318" s="11"/>
      <c r="B318" s="49" t="s">
        <v>85</v>
      </c>
      <c r="C318" s="49" t="s">
        <v>55</v>
      </c>
      <c r="D318" s="49">
        <v>0</v>
      </c>
      <c r="E318" s="49">
        <v>0</v>
      </c>
      <c r="F318" s="49">
        <f>E318-D318</f>
        <v>0</v>
      </c>
      <c r="G318" s="50">
        <f>IF(D318=0,0,ABS(F318/D318))</f>
        <v>0</v>
      </c>
      <c r="H318" s="49">
        <v>0</v>
      </c>
      <c r="I318" s="49">
        <v>0</v>
      </c>
      <c r="J318" s="51" t="str">
        <f>IF(H318=0,"No plan at start",I318/H318)</f>
        <v>No plan at start</v>
      </c>
      <c r="K318" s="52">
        <f>H318-I318</f>
        <v>0</v>
      </c>
      <c r="L318" s="49">
        <v>0</v>
      </c>
      <c r="M318" s="49">
        <f>I318+L318</f>
        <v>0</v>
      </c>
      <c r="N318" s="49">
        <f>M318-H318</f>
        <v>0</v>
      </c>
      <c r="O318" s="50" t="str">
        <f>IF(H318=0,"No plan at start",M318/H318)</f>
        <v>No plan at start</v>
      </c>
      <c r="P318" s="53"/>
      <c r="Q318" s="54"/>
      <c r="R318" s="55"/>
      <c r="S318" s="55"/>
    </row>
    <row r="319" spans="1:19" s="10" customFormat="1" hidden="1" outlineLevel="2" x14ac:dyDescent="0.2">
      <c r="A319" s="11"/>
      <c r="B319" s="49" t="s">
        <v>85</v>
      </c>
      <c r="C319" s="49" t="s">
        <v>56</v>
      </c>
      <c r="D319" s="49">
        <v>0</v>
      </c>
      <c r="E319" s="49">
        <v>0</v>
      </c>
      <c r="F319" s="49">
        <f>E319-D319</f>
        <v>0</v>
      </c>
      <c r="G319" s="50">
        <f>IF(D319=0,0,ABS(F319/D319))</f>
        <v>0</v>
      </c>
      <c r="H319" s="49">
        <v>0</v>
      </c>
      <c r="I319" s="49">
        <v>0</v>
      </c>
      <c r="J319" s="51" t="str">
        <f>IF(H319=0,"No plan at start",I319/H319)</f>
        <v>No plan at start</v>
      </c>
      <c r="K319" s="52">
        <f>H319-I319</f>
        <v>0</v>
      </c>
      <c r="L319" s="49">
        <v>0</v>
      </c>
      <c r="M319" s="49">
        <f>I319+L319</f>
        <v>0</v>
      </c>
      <c r="N319" s="49">
        <f>M319-H319</f>
        <v>0</v>
      </c>
      <c r="O319" s="50" t="str">
        <f>IF(H319=0,"No plan at start",M319/H319)</f>
        <v>No plan at start</v>
      </c>
      <c r="P319" s="53"/>
      <c r="Q319" s="54"/>
      <c r="R319" s="55"/>
      <c r="S319" s="55"/>
    </row>
    <row r="320" spans="1:19" s="10" customFormat="1" hidden="1" outlineLevel="2" x14ac:dyDescent="0.2">
      <c r="A320" s="11"/>
      <c r="B320" s="49" t="s">
        <v>85</v>
      </c>
      <c r="C320" s="49" t="s">
        <v>57</v>
      </c>
      <c r="D320" s="49">
        <v>0</v>
      </c>
      <c r="E320" s="49">
        <v>0</v>
      </c>
      <c r="F320" s="49">
        <f>E320-D320</f>
        <v>0</v>
      </c>
      <c r="G320" s="50">
        <f>IF(D320=0,0,ABS(F320/D320))</f>
        <v>0</v>
      </c>
      <c r="H320" s="49">
        <v>0</v>
      </c>
      <c r="I320" s="49">
        <v>0</v>
      </c>
      <c r="J320" s="51" t="str">
        <f>IF(H320=0,"No plan at start",I320/H320)</f>
        <v>No plan at start</v>
      </c>
      <c r="K320" s="52">
        <f>H320-I320</f>
        <v>0</v>
      </c>
      <c r="L320" s="49">
        <v>0</v>
      </c>
      <c r="M320" s="49">
        <f>I320+L320</f>
        <v>0</v>
      </c>
      <c r="N320" s="49">
        <f>M320-H320</f>
        <v>0</v>
      </c>
      <c r="O320" s="50" t="str">
        <f>IF(H320=0,"No plan at start",M320/H320)</f>
        <v>No plan at start</v>
      </c>
      <c r="P320" s="53"/>
      <c r="Q320" s="54"/>
      <c r="R320" s="55"/>
      <c r="S320" s="55"/>
    </row>
    <row r="321" spans="1:19" s="10" customFormat="1" hidden="1" outlineLevel="2" x14ac:dyDescent="0.2">
      <c r="A321" s="11"/>
      <c r="B321" s="49" t="s">
        <v>85</v>
      </c>
      <c r="C321" s="49" t="s">
        <v>48</v>
      </c>
      <c r="D321" s="49">
        <v>0</v>
      </c>
      <c r="E321" s="49">
        <v>0</v>
      </c>
      <c r="F321" s="49">
        <f>E321-D321</f>
        <v>0</v>
      </c>
      <c r="G321" s="50">
        <f>IF(D321=0,0,ABS(F321/D321))</f>
        <v>0</v>
      </c>
      <c r="H321" s="49">
        <v>0</v>
      </c>
      <c r="I321" s="49">
        <v>0</v>
      </c>
      <c r="J321" s="51" t="str">
        <f>IF(H321=0,"No plan at start",I321/H321)</f>
        <v>No plan at start</v>
      </c>
      <c r="K321" s="52">
        <f>H321-I321</f>
        <v>0</v>
      </c>
      <c r="L321" s="49">
        <v>0</v>
      </c>
      <c r="M321" s="49">
        <f>I321+L321</f>
        <v>0</v>
      </c>
      <c r="N321" s="49">
        <f>M321-H321</f>
        <v>0</v>
      </c>
      <c r="O321" s="50" t="str">
        <f>IF(H321=0,"No plan at start",M321/H321)</f>
        <v>No plan at start</v>
      </c>
      <c r="P321" s="53"/>
      <c r="Q321" s="54"/>
      <c r="R321" s="55"/>
      <c r="S321" s="55"/>
    </row>
    <row r="322" spans="1:19" s="10" customFormat="1" hidden="1" outlineLevel="2" x14ac:dyDescent="0.2">
      <c r="A322" s="11"/>
      <c r="B322" s="49" t="s">
        <v>85</v>
      </c>
      <c r="C322" s="49" t="s">
        <v>58</v>
      </c>
      <c r="D322" s="49">
        <v>0</v>
      </c>
      <c r="E322" s="49">
        <v>0</v>
      </c>
      <c r="F322" s="49">
        <f>E322-D322</f>
        <v>0</v>
      </c>
      <c r="G322" s="50">
        <f>IF(D322=0,0,ABS(F322/D322))</f>
        <v>0</v>
      </c>
      <c r="H322" s="49">
        <v>0</v>
      </c>
      <c r="I322" s="49">
        <v>0</v>
      </c>
      <c r="J322" s="51" t="str">
        <f>IF(H322=0,"No plan at start",I322/H322)</f>
        <v>No plan at start</v>
      </c>
      <c r="K322" s="52">
        <f>H322-I322</f>
        <v>0</v>
      </c>
      <c r="L322" s="49">
        <v>0</v>
      </c>
      <c r="M322" s="49">
        <f>I322+L322</f>
        <v>0</v>
      </c>
      <c r="N322" s="49">
        <f>M322-H322</f>
        <v>0</v>
      </c>
      <c r="O322" s="50" t="str">
        <f>IF(H322=0,"No plan at start",M322/H322)</f>
        <v>No plan at start</v>
      </c>
      <c r="P322" s="53"/>
      <c r="Q322" s="54"/>
      <c r="R322" s="55"/>
      <c r="S322" s="55"/>
    </row>
    <row r="323" spans="1:19" s="10" customFormat="1" hidden="1" outlineLevel="2" x14ac:dyDescent="0.2">
      <c r="A323" s="11"/>
      <c r="B323" s="49" t="s">
        <v>85</v>
      </c>
      <c r="C323" s="49" t="s">
        <v>59</v>
      </c>
      <c r="D323" s="49">
        <v>0</v>
      </c>
      <c r="E323" s="49">
        <v>0</v>
      </c>
      <c r="F323" s="49">
        <f>E323-D323</f>
        <v>0</v>
      </c>
      <c r="G323" s="50">
        <f>IF(D323=0,0,ABS(F323/D323))</f>
        <v>0</v>
      </c>
      <c r="H323" s="49">
        <v>0</v>
      </c>
      <c r="I323" s="49">
        <v>0</v>
      </c>
      <c r="J323" s="51" t="str">
        <f>IF(H323=0,"No plan at start",I323/H323)</f>
        <v>No plan at start</v>
      </c>
      <c r="K323" s="52">
        <f>H323-I323</f>
        <v>0</v>
      </c>
      <c r="L323" s="49">
        <v>0</v>
      </c>
      <c r="M323" s="49">
        <f>I323+L323</f>
        <v>0</v>
      </c>
      <c r="N323" s="49">
        <f>M323-H323</f>
        <v>0</v>
      </c>
      <c r="O323" s="50" t="str">
        <f>IF(H323=0,"No plan at start",M323/H323)</f>
        <v>No plan at start</v>
      </c>
      <c r="P323" s="53"/>
      <c r="Q323" s="54"/>
      <c r="R323" s="55"/>
      <c r="S323" s="55"/>
    </row>
    <row r="324" spans="1:19" s="10" customFormat="1" hidden="1" outlineLevel="2" x14ac:dyDescent="0.2">
      <c r="A324" s="11"/>
      <c r="B324" s="49" t="s">
        <v>85</v>
      </c>
      <c r="C324" s="49" t="s">
        <v>60</v>
      </c>
      <c r="D324" s="49">
        <v>0</v>
      </c>
      <c r="E324" s="49">
        <v>0</v>
      </c>
      <c r="F324" s="49">
        <f>E324-D324</f>
        <v>0</v>
      </c>
      <c r="G324" s="50">
        <f>IF(D324=0,0,ABS(F324/D324))</f>
        <v>0</v>
      </c>
      <c r="H324" s="49">
        <v>0</v>
      </c>
      <c r="I324" s="49">
        <v>0</v>
      </c>
      <c r="J324" s="51" t="str">
        <f>IF(H324=0,"No plan at start",I324/H324)</f>
        <v>No plan at start</v>
      </c>
      <c r="K324" s="52">
        <f>H324-I324</f>
        <v>0</v>
      </c>
      <c r="L324" s="49">
        <v>0</v>
      </c>
      <c r="M324" s="49">
        <f>I324+L324</f>
        <v>0</v>
      </c>
      <c r="N324" s="49">
        <f>M324-H324</f>
        <v>0</v>
      </c>
      <c r="O324" s="50" t="str">
        <f>IF(H324=0,"No plan at start",M324/H324)</f>
        <v>No plan at start</v>
      </c>
      <c r="P324" s="53"/>
      <c r="Q324" s="54"/>
      <c r="R324" s="55"/>
      <c r="S324" s="55"/>
    </row>
    <row r="325" spans="1:19" s="10" customFormat="1" hidden="1" outlineLevel="2" x14ac:dyDescent="0.2">
      <c r="A325" s="11"/>
      <c r="B325" s="49" t="s">
        <v>85</v>
      </c>
      <c r="C325" s="49" t="s">
        <v>61</v>
      </c>
      <c r="D325" s="49">
        <v>0</v>
      </c>
      <c r="E325" s="49">
        <v>0</v>
      </c>
      <c r="F325" s="49">
        <f>E325-D325</f>
        <v>0</v>
      </c>
      <c r="G325" s="50">
        <f>IF(D325=0,0,ABS(F325/D325))</f>
        <v>0</v>
      </c>
      <c r="H325" s="49">
        <v>0</v>
      </c>
      <c r="I325" s="49">
        <v>0</v>
      </c>
      <c r="J325" s="51" t="str">
        <f>IF(H325=0,"No plan at start",I325/H325)</f>
        <v>No plan at start</v>
      </c>
      <c r="K325" s="52">
        <f>H325-I325</f>
        <v>0</v>
      </c>
      <c r="L325" s="49">
        <v>0</v>
      </c>
      <c r="M325" s="49">
        <f>I325+L325</f>
        <v>0</v>
      </c>
      <c r="N325" s="49">
        <f>M325-H325</f>
        <v>0</v>
      </c>
      <c r="O325" s="50" t="str">
        <f>IF(H325=0,"No plan at start",M325/H325)</f>
        <v>No plan at start</v>
      </c>
      <c r="P325" s="53"/>
      <c r="Q325" s="54"/>
      <c r="R325" s="55"/>
      <c r="S325" s="55"/>
    </row>
    <row r="326" spans="1:19" s="10" customFormat="1" hidden="1" outlineLevel="2" x14ac:dyDescent="0.2">
      <c r="A326" s="11"/>
      <c r="B326" s="49" t="s">
        <v>85</v>
      </c>
      <c r="C326" s="49" t="s">
        <v>62</v>
      </c>
      <c r="D326" s="49">
        <v>0</v>
      </c>
      <c r="E326" s="49">
        <v>0</v>
      </c>
      <c r="F326" s="49">
        <f>E326-D326</f>
        <v>0</v>
      </c>
      <c r="G326" s="50">
        <f>IF(D326=0,0,ABS(F326/D326))</f>
        <v>0</v>
      </c>
      <c r="H326" s="49">
        <v>0</v>
      </c>
      <c r="I326" s="49">
        <v>0</v>
      </c>
      <c r="J326" s="51" t="str">
        <f>IF(H326=0,"No plan at start",I326/H326)</f>
        <v>No plan at start</v>
      </c>
      <c r="K326" s="52">
        <f>H326-I326</f>
        <v>0</v>
      </c>
      <c r="L326" s="49">
        <v>0</v>
      </c>
      <c r="M326" s="49">
        <f>I326+L326</f>
        <v>0</v>
      </c>
      <c r="N326" s="49">
        <f>M326-H326</f>
        <v>0</v>
      </c>
      <c r="O326" s="50" t="str">
        <f>IF(H326=0,"No plan at start",M326/H326)</f>
        <v>No plan at start</v>
      </c>
      <c r="P326" s="53"/>
      <c r="Q326" s="54"/>
      <c r="R326" s="55"/>
      <c r="S326" s="55"/>
    </row>
    <row r="327" spans="1:19" s="10" customFormat="1" outlineLevel="1" collapsed="1" x14ac:dyDescent="0.2">
      <c r="A327" s="11"/>
      <c r="B327" s="56" t="s">
        <v>124</v>
      </c>
      <c r="C327" s="49"/>
      <c r="D327" s="49">
        <f>SUBTOTAL(9,D315:D326)</f>
        <v>0</v>
      </c>
      <c r="E327" s="49">
        <f>SUBTOTAL(9,E315:E326)</f>
        <v>0</v>
      </c>
      <c r="F327" s="49">
        <f>SUBTOTAL(9,F315:F326)</f>
        <v>0</v>
      </c>
      <c r="G327" s="50">
        <f>IF(D327=0,0,ABS(F327/D327))</f>
        <v>0</v>
      </c>
      <c r="H327" s="49">
        <f>SUBTOTAL(9,H315:H326)</f>
        <v>0</v>
      </c>
      <c r="I327" s="49">
        <f>SUBTOTAL(9,I315:I326)</f>
        <v>0</v>
      </c>
      <c r="J327" s="51" t="str">
        <f>IF(H327=0,"No plan at start",I327/H327)</f>
        <v>No plan at start</v>
      </c>
      <c r="K327" s="52">
        <f>SUBTOTAL(9,K315:K326)</f>
        <v>0</v>
      </c>
      <c r="L327" s="49">
        <f>SUBTOTAL(9,L315:L326)</f>
        <v>0</v>
      </c>
      <c r="M327" s="49">
        <f>SUBTOTAL(9,M315:M326)</f>
        <v>0</v>
      </c>
      <c r="N327" s="49">
        <f>SUBTOTAL(9,N315:N326)</f>
        <v>0</v>
      </c>
      <c r="O327" s="50" t="str">
        <f>IF(H327=0,"No plan at start",M327/H327)</f>
        <v>No plan at start</v>
      </c>
      <c r="P327" s="53"/>
      <c r="Q327" s="54"/>
      <c r="R327" s="55"/>
      <c r="S327" s="55"/>
    </row>
    <row r="328" spans="1:19" s="10" customFormat="1" hidden="1" outlineLevel="2" x14ac:dyDescent="0.2">
      <c r="A328" s="11"/>
      <c r="B328" s="49" t="s">
        <v>86</v>
      </c>
      <c r="C328" s="49" t="s">
        <v>52</v>
      </c>
      <c r="D328" s="49">
        <v>0</v>
      </c>
      <c r="E328" s="49">
        <v>0</v>
      </c>
      <c r="F328" s="49">
        <f>E328-D328</f>
        <v>0</v>
      </c>
      <c r="G328" s="50">
        <f>IF(D328=0,0,ABS(F328/D328))</f>
        <v>0</v>
      </c>
      <c r="H328" s="49">
        <v>0</v>
      </c>
      <c r="I328" s="49">
        <v>0</v>
      </c>
      <c r="J328" s="51" t="str">
        <f>IF(H328=0,"No plan at start",I328/H328)</f>
        <v>No plan at start</v>
      </c>
      <c r="K328" s="52">
        <f>H328-I328</f>
        <v>0</v>
      </c>
      <c r="L328" s="49">
        <v>0</v>
      </c>
      <c r="M328" s="49">
        <f>I328+L328</f>
        <v>0</v>
      </c>
      <c r="N328" s="49">
        <f>M328-H328</f>
        <v>0</v>
      </c>
      <c r="O328" s="50" t="str">
        <f>IF(H328=0,"No plan at start",M328/H328)</f>
        <v>No plan at start</v>
      </c>
      <c r="P328" s="53"/>
      <c r="Q328" s="54"/>
      <c r="R328" s="55"/>
      <c r="S328" s="55"/>
    </row>
    <row r="329" spans="1:19" s="10" customFormat="1" hidden="1" outlineLevel="2" x14ac:dyDescent="0.2">
      <c r="A329" s="11"/>
      <c r="B329" s="49" t="s">
        <v>86</v>
      </c>
      <c r="C329" s="49" t="s">
        <v>53</v>
      </c>
      <c r="D329" s="49">
        <v>0</v>
      </c>
      <c r="E329" s="49">
        <v>0</v>
      </c>
      <c r="F329" s="49">
        <f>E329-D329</f>
        <v>0</v>
      </c>
      <c r="G329" s="50">
        <f>IF(D329=0,0,ABS(F329/D329))</f>
        <v>0</v>
      </c>
      <c r="H329" s="49">
        <v>0</v>
      </c>
      <c r="I329" s="49">
        <v>0</v>
      </c>
      <c r="J329" s="51" t="str">
        <f>IF(H329=0,"No plan at start",I329/H329)</f>
        <v>No plan at start</v>
      </c>
      <c r="K329" s="52">
        <f>H329-I329</f>
        <v>0</v>
      </c>
      <c r="L329" s="49">
        <v>0</v>
      </c>
      <c r="M329" s="49">
        <f>I329+L329</f>
        <v>0</v>
      </c>
      <c r="N329" s="49">
        <f>M329-H329</f>
        <v>0</v>
      </c>
      <c r="O329" s="50" t="str">
        <f>IF(H329=0,"No plan at start",M329/H329)</f>
        <v>No plan at start</v>
      </c>
      <c r="P329" s="53"/>
      <c r="Q329" s="54"/>
      <c r="R329" s="55"/>
      <c r="S329" s="55"/>
    </row>
    <row r="330" spans="1:19" s="10" customFormat="1" hidden="1" outlineLevel="2" x14ac:dyDescent="0.2">
      <c r="A330" s="11"/>
      <c r="B330" s="49" t="s">
        <v>86</v>
      </c>
      <c r="C330" s="49" t="s">
        <v>54</v>
      </c>
      <c r="D330" s="49">
        <v>0</v>
      </c>
      <c r="E330" s="49">
        <v>0</v>
      </c>
      <c r="F330" s="49">
        <f>E330-D330</f>
        <v>0</v>
      </c>
      <c r="G330" s="50">
        <f>IF(D330=0,0,ABS(F330/D330))</f>
        <v>0</v>
      </c>
      <c r="H330" s="49">
        <v>0</v>
      </c>
      <c r="I330" s="49">
        <v>0</v>
      </c>
      <c r="J330" s="51" t="str">
        <f>IF(H330=0,"No plan at start",I330/H330)</f>
        <v>No plan at start</v>
      </c>
      <c r="K330" s="52">
        <f>H330-I330</f>
        <v>0</v>
      </c>
      <c r="L330" s="49">
        <v>0</v>
      </c>
      <c r="M330" s="49">
        <f>I330+L330</f>
        <v>0</v>
      </c>
      <c r="N330" s="49">
        <f>M330-H330</f>
        <v>0</v>
      </c>
      <c r="O330" s="50" t="str">
        <f>IF(H330=0,"No plan at start",M330/H330)</f>
        <v>No plan at start</v>
      </c>
      <c r="P330" s="53"/>
      <c r="Q330" s="54"/>
      <c r="R330" s="55"/>
      <c r="S330" s="55"/>
    </row>
    <row r="331" spans="1:19" s="10" customFormat="1" hidden="1" outlineLevel="2" x14ac:dyDescent="0.2">
      <c r="A331" s="11"/>
      <c r="B331" s="49" t="s">
        <v>86</v>
      </c>
      <c r="C331" s="49" t="s">
        <v>55</v>
      </c>
      <c r="D331" s="49">
        <v>0</v>
      </c>
      <c r="E331" s="49">
        <v>0</v>
      </c>
      <c r="F331" s="49">
        <f>E331-D331</f>
        <v>0</v>
      </c>
      <c r="G331" s="50">
        <f>IF(D331=0,0,ABS(F331/D331))</f>
        <v>0</v>
      </c>
      <c r="H331" s="49">
        <v>0</v>
      </c>
      <c r="I331" s="49">
        <v>0</v>
      </c>
      <c r="J331" s="51" t="str">
        <f>IF(H331=0,"No plan at start",I331/H331)</f>
        <v>No plan at start</v>
      </c>
      <c r="K331" s="52">
        <f>H331-I331</f>
        <v>0</v>
      </c>
      <c r="L331" s="49">
        <v>0</v>
      </c>
      <c r="M331" s="49">
        <f>I331+L331</f>
        <v>0</v>
      </c>
      <c r="N331" s="49">
        <f>M331-H331</f>
        <v>0</v>
      </c>
      <c r="O331" s="50" t="str">
        <f>IF(H331=0,"No plan at start",M331/H331)</f>
        <v>No plan at start</v>
      </c>
      <c r="P331" s="53"/>
      <c r="Q331" s="54"/>
      <c r="R331" s="55"/>
      <c r="S331" s="55"/>
    </row>
    <row r="332" spans="1:19" s="10" customFormat="1" hidden="1" outlineLevel="2" x14ac:dyDescent="0.2">
      <c r="A332" s="11"/>
      <c r="B332" s="49" t="s">
        <v>86</v>
      </c>
      <c r="C332" s="49" t="s">
        <v>56</v>
      </c>
      <c r="D332" s="49">
        <v>0</v>
      </c>
      <c r="E332" s="49">
        <v>0</v>
      </c>
      <c r="F332" s="49">
        <f>E332-D332</f>
        <v>0</v>
      </c>
      <c r="G332" s="50">
        <f>IF(D332=0,0,ABS(F332/D332))</f>
        <v>0</v>
      </c>
      <c r="H332" s="49">
        <v>0</v>
      </c>
      <c r="I332" s="49">
        <v>0</v>
      </c>
      <c r="J332" s="51" t="str">
        <f>IF(H332=0,"No plan at start",I332/H332)</f>
        <v>No plan at start</v>
      </c>
      <c r="K332" s="52">
        <f>H332-I332</f>
        <v>0</v>
      </c>
      <c r="L332" s="49">
        <v>0</v>
      </c>
      <c r="M332" s="49">
        <f>I332+L332</f>
        <v>0</v>
      </c>
      <c r="N332" s="49">
        <f>M332-H332</f>
        <v>0</v>
      </c>
      <c r="O332" s="50" t="str">
        <f>IF(H332=0,"No plan at start",M332/H332)</f>
        <v>No plan at start</v>
      </c>
      <c r="P332" s="53"/>
      <c r="Q332" s="54"/>
      <c r="R332" s="55"/>
      <c r="S332" s="55"/>
    </row>
    <row r="333" spans="1:19" s="10" customFormat="1" hidden="1" outlineLevel="2" x14ac:dyDescent="0.2">
      <c r="A333" s="11"/>
      <c r="B333" s="49" t="s">
        <v>86</v>
      </c>
      <c r="C333" s="49" t="s">
        <v>57</v>
      </c>
      <c r="D333" s="49">
        <v>0</v>
      </c>
      <c r="E333" s="49">
        <v>0</v>
      </c>
      <c r="F333" s="49">
        <f>E333-D333</f>
        <v>0</v>
      </c>
      <c r="G333" s="50">
        <f>IF(D333=0,0,ABS(F333/D333))</f>
        <v>0</v>
      </c>
      <c r="H333" s="49">
        <v>0</v>
      </c>
      <c r="I333" s="49">
        <v>0</v>
      </c>
      <c r="J333" s="51" t="str">
        <f>IF(H333=0,"No plan at start",I333/H333)</f>
        <v>No plan at start</v>
      </c>
      <c r="K333" s="52">
        <f>H333-I333</f>
        <v>0</v>
      </c>
      <c r="L333" s="49">
        <v>0</v>
      </c>
      <c r="M333" s="49">
        <f>I333+L333</f>
        <v>0</v>
      </c>
      <c r="N333" s="49">
        <f>M333-H333</f>
        <v>0</v>
      </c>
      <c r="O333" s="50" t="str">
        <f>IF(H333=0,"No plan at start",M333/H333)</f>
        <v>No plan at start</v>
      </c>
      <c r="P333" s="53"/>
      <c r="Q333" s="54"/>
      <c r="R333" s="55"/>
      <c r="S333" s="55"/>
    </row>
    <row r="334" spans="1:19" s="10" customFormat="1" hidden="1" outlineLevel="2" x14ac:dyDescent="0.2">
      <c r="A334" s="11"/>
      <c r="B334" s="49" t="s">
        <v>86</v>
      </c>
      <c r="C334" s="49" t="s">
        <v>48</v>
      </c>
      <c r="D334" s="49">
        <v>0</v>
      </c>
      <c r="E334" s="49">
        <v>0</v>
      </c>
      <c r="F334" s="49">
        <f>E334-D334</f>
        <v>0</v>
      </c>
      <c r="G334" s="50">
        <f>IF(D334=0,0,ABS(F334/D334))</f>
        <v>0</v>
      </c>
      <c r="H334" s="49">
        <v>0</v>
      </c>
      <c r="I334" s="49">
        <v>0</v>
      </c>
      <c r="J334" s="51" t="str">
        <f>IF(H334=0,"No plan at start",I334/H334)</f>
        <v>No plan at start</v>
      </c>
      <c r="K334" s="52">
        <f>H334-I334</f>
        <v>0</v>
      </c>
      <c r="L334" s="49">
        <v>0</v>
      </c>
      <c r="M334" s="49">
        <f>I334+L334</f>
        <v>0</v>
      </c>
      <c r="N334" s="49">
        <f>M334-H334</f>
        <v>0</v>
      </c>
      <c r="O334" s="50" t="str">
        <f>IF(H334=0,"No plan at start",M334/H334)</f>
        <v>No plan at start</v>
      </c>
      <c r="P334" s="53"/>
      <c r="Q334" s="54"/>
      <c r="R334" s="55"/>
      <c r="S334" s="55"/>
    </row>
    <row r="335" spans="1:19" s="10" customFormat="1" hidden="1" outlineLevel="2" x14ac:dyDescent="0.2">
      <c r="A335" s="11"/>
      <c r="B335" s="49" t="s">
        <v>86</v>
      </c>
      <c r="C335" s="49" t="s">
        <v>58</v>
      </c>
      <c r="D335" s="49">
        <v>0</v>
      </c>
      <c r="E335" s="49">
        <v>0</v>
      </c>
      <c r="F335" s="49">
        <f>E335-D335</f>
        <v>0</v>
      </c>
      <c r="G335" s="50">
        <f>IF(D335=0,0,ABS(F335/D335))</f>
        <v>0</v>
      </c>
      <c r="H335" s="49">
        <v>0</v>
      </c>
      <c r="I335" s="49">
        <v>0</v>
      </c>
      <c r="J335" s="51" t="str">
        <f>IF(H335=0,"No plan at start",I335/H335)</f>
        <v>No plan at start</v>
      </c>
      <c r="K335" s="52">
        <f>H335-I335</f>
        <v>0</v>
      </c>
      <c r="L335" s="49">
        <v>0</v>
      </c>
      <c r="M335" s="49">
        <f>I335+L335</f>
        <v>0</v>
      </c>
      <c r="N335" s="49">
        <f>M335-H335</f>
        <v>0</v>
      </c>
      <c r="O335" s="50" t="str">
        <f>IF(H335=0,"No plan at start",M335/H335)</f>
        <v>No plan at start</v>
      </c>
      <c r="P335" s="53"/>
      <c r="Q335" s="54"/>
      <c r="R335" s="55"/>
      <c r="S335" s="55"/>
    </row>
    <row r="336" spans="1:19" s="10" customFormat="1" hidden="1" outlineLevel="2" x14ac:dyDescent="0.2">
      <c r="A336" s="11"/>
      <c r="B336" s="49" t="s">
        <v>86</v>
      </c>
      <c r="C336" s="49" t="s">
        <v>59</v>
      </c>
      <c r="D336" s="49">
        <v>0</v>
      </c>
      <c r="E336" s="49">
        <v>0</v>
      </c>
      <c r="F336" s="49">
        <f>E336-D336</f>
        <v>0</v>
      </c>
      <c r="G336" s="50">
        <f>IF(D336=0,0,ABS(F336/D336))</f>
        <v>0</v>
      </c>
      <c r="H336" s="49">
        <v>0</v>
      </c>
      <c r="I336" s="49">
        <v>0</v>
      </c>
      <c r="J336" s="51" t="str">
        <f>IF(H336=0,"No plan at start",I336/H336)</f>
        <v>No plan at start</v>
      </c>
      <c r="K336" s="52">
        <f>H336-I336</f>
        <v>0</v>
      </c>
      <c r="L336" s="49">
        <v>0</v>
      </c>
      <c r="M336" s="49">
        <f>I336+L336</f>
        <v>0</v>
      </c>
      <c r="N336" s="49">
        <f>M336-H336</f>
        <v>0</v>
      </c>
      <c r="O336" s="50" t="str">
        <f>IF(H336=0,"No plan at start",M336/H336)</f>
        <v>No plan at start</v>
      </c>
      <c r="P336" s="53"/>
      <c r="Q336" s="54"/>
      <c r="R336" s="55"/>
      <c r="S336" s="55"/>
    </row>
    <row r="337" spans="1:19" s="10" customFormat="1" hidden="1" outlineLevel="2" x14ac:dyDescent="0.2">
      <c r="A337" s="11"/>
      <c r="B337" s="49" t="s">
        <v>86</v>
      </c>
      <c r="C337" s="49" t="s">
        <v>60</v>
      </c>
      <c r="D337" s="49">
        <v>0</v>
      </c>
      <c r="E337" s="49">
        <v>0</v>
      </c>
      <c r="F337" s="49">
        <f>E337-D337</f>
        <v>0</v>
      </c>
      <c r="G337" s="50">
        <f>IF(D337=0,0,ABS(F337/D337))</f>
        <v>0</v>
      </c>
      <c r="H337" s="49">
        <v>0</v>
      </c>
      <c r="I337" s="49">
        <v>0</v>
      </c>
      <c r="J337" s="51" t="str">
        <f>IF(H337=0,"No plan at start",I337/H337)</f>
        <v>No plan at start</v>
      </c>
      <c r="K337" s="52">
        <f>H337-I337</f>
        <v>0</v>
      </c>
      <c r="L337" s="49">
        <v>0</v>
      </c>
      <c r="M337" s="49">
        <f>I337+L337</f>
        <v>0</v>
      </c>
      <c r="N337" s="49">
        <f>M337-H337</f>
        <v>0</v>
      </c>
      <c r="O337" s="50" t="str">
        <f>IF(H337=0,"No plan at start",M337/H337)</f>
        <v>No plan at start</v>
      </c>
      <c r="P337" s="53"/>
      <c r="Q337" s="54"/>
      <c r="R337" s="55"/>
      <c r="S337" s="55"/>
    </row>
    <row r="338" spans="1:19" s="10" customFormat="1" hidden="1" outlineLevel="2" x14ac:dyDescent="0.2">
      <c r="A338" s="11"/>
      <c r="B338" s="49" t="s">
        <v>86</v>
      </c>
      <c r="C338" s="49" t="s">
        <v>61</v>
      </c>
      <c r="D338" s="49">
        <v>0</v>
      </c>
      <c r="E338" s="49">
        <v>0</v>
      </c>
      <c r="F338" s="49">
        <f>E338-D338</f>
        <v>0</v>
      </c>
      <c r="G338" s="50">
        <f>IF(D338=0,0,ABS(F338/D338))</f>
        <v>0</v>
      </c>
      <c r="H338" s="49">
        <v>0</v>
      </c>
      <c r="I338" s="49">
        <v>0</v>
      </c>
      <c r="J338" s="51" t="str">
        <f>IF(H338=0,"No plan at start",I338/H338)</f>
        <v>No plan at start</v>
      </c>
      <c r="K338" s="52">
        <f>H338-I338</f>
        <v>0</v>
      </c>
      <c r="L338" s="49">
        <v>0</v>
      </c>
      <c r="M338" s="49">
        <f>I338+L338</f>
        <v>0</v>
      </c>
      <c r="N338" s="49">
        <f>M338-H338</f>
        <v>0</v>
      </c>
      <c r="O338" s="50" t="str">
        <f>IF(H338=0,"No plan at start",M338/H338)</f>
        <v>No plan at start</v>
      </c>
      <c r="P338" s="53"/>
      <c r="Q338" s="54"/>
      <c r="R338" s="55"/>
      <c r="S338" s="55"/>
    </row>
    <row r="339" spans="1:19" s="10" customFormat="1" hidden="1" outlineLevel="2" x14ac:dyDescent="0.2">
      <c r="A339" s="11"/>
      <c r="B339" s="49" t="s">
        <v>86</v>
      </c>
      <c r="C339" s="49" t="s">
        <v>62</v>
      </c>
      <c r="D339" s="49">
        <v>0</v>
      </c>
      <c r="E339" s="49">
        <v>0</v>
      </c>
      <c r="F339" s="49">
        <f>E339-D339</f>
        <v>0</v>
      </c>
      <c r="G339" s="50">
        <f>IF(D339=0,0,ABS(F339/D339))</f>
        <v>0</v>
      </c>
      <c r="H339" s="49">
        <v>0</v>
      </c>
      <c r="I339" s="49">
        <v>0</v>
      </c>
      <c r="J339" s="51" t="str">
        <f>IF(H339=0,"No plan at start",I339/H339)</f>
        <v>No plan at start</v>
      </c>
      <c r="K339" s="52">
        <f>H339-I339</f>
        <v>0</v>
      </c>
      <c r="L339" s="49">
        <v>0</v>
      </c>
      <c r="M339" s="49">
        <f>I339+L339</f>
        <v>0</v>
      </c>
      <c r="N339" s="49">
        <f>M339-H339</f>
        <v>0</v>
      </c>
      <c r="O339" s="50" t="str">
        <f>IF(H339=0,"No plan at start",M339/H339)</f>
        <v>No plan at start</v>
      </c>
      <c r="P339" s="53"/>
      <c r="Q339" s="54"/>
      <c r="R339" s="55"/>
      <c r="S339" s="55"/>
    </row>
    <row r="340" spans="1:19" s="10" customFormat="1" outlineLevel="1" collapsed="1" x14ac:dyDescent="0.2">
      <c r="A340" s="11"/>
      <c r="B340" s="56" t="s">
        <v>125</v>
      </c>
      <c r="C340" s="49"/>
      <c r="D340" s="49">
        <f>SUBTOTAL(9,D328:D339)</f>
        <v>0</v>
      </c>
      <c r="E340" s="49">
        <f>SUBTOTAL(9,E328:E339)</f>
        <v>0</v>
      </c>
      <c r="F340" s="49">
        <f>SUBTOTAL(9,F328:F339)</f>
        <v>0</v>
      </c>
      <c r="G340" s="50">
        <f>IF(D340=0,0,ABS(F340/D340))</f>
        <v>0</v>
      </c>
      <c r="H340" s="49">
        <f>SUBTOTAL(9,H328:H339)</f>
        <v>0</v>
      </c>
      <c r="I340" s="49">
        <f>SUBTOTAL(9,I328:I339)</f>
        <v>0</v>
      </c>
      <c r="J340" s="51" t="str">
        <f>IF(H340=0,"No plan at start",I340/H340)</f>
        <v>No plan at start</v>
      </c>
      <c r="K340" s="52">
        <f>SUBTOTAL(9,K328:K339)</f>
        <v>0</v>
      </c>
      <c r="L340" s="49">
        <f>SUBTOTAL(9,L328:L339)</f>
        <v>0</v>
      </c>
      <c r="M340" s="49">
        <f>SUBTOTAL(9,M328:M339)</f>
        <v>0</v>
      </c>
      <c r="N340" s="49">
        <f>SUBTOTAL(9,N328:N339)</f>
        <v>0</v>
      </c>
      <c r="O340" s="50" t="str">
        <f>IF(H340=0,"No plan at start",M340/H340)</f>
        <v>No plan at start</v>
      </c>
      <c r="P340" s="53"/>
      <c r="Q340" s="54"/>
      <c r="R340" s="55"/>
      <c r="S340" s="55"/>
    </row>
    <row r="341" spans="1:19" s="10" customFormat="1" hidden="1" outlineLevel="2" x14ac:dyDescent="0.2">
      <c r="A341" s="11"/>
      <c r="B341" s="49" t="s">
        <v>87</v>
      </c>
      <c r="C341" s="49" t="s">
        <v>52</v>
      </c>
      <c r="D341" s="49">
        <v>0</v>
      </c>
      <c r="E341" s="49">
        <v>0</v>
      </c>
      <c r="F341" s="49">
        <f>E341-D341</f>
        <v>0</v>
      </c>
      <c r="G341" s="50">
        <f>IF(D341=0,0,ABS(F341/D341))</f>
        <v>0</v>
      </c>
      <c r="H341" s="49">
        <v>0</v>
      </c>
      <c r="I341" s="49">
        <v>0</v>
      </c>
      <c r="J341" s="51" t="str">
        <f>IF(H341=0,"No plan at start",I341/H341)</f>
        <v>No plan at start</v>
      </c>
      <c r="K341" s="52">
        <f>H341-I341</f>
        <v>0</v>
      </c>
      <c r="L341" s="49">
        <v>0</v>
      </c>
      <c r="M341" s="49">
        <f>I341+L341</f>
        <v>0</v>
      </c>
      <c r="N341" s="49">
        <f>M341-H341</f>
        <v>0</v>
      </c>
      <c r="O341" s="50" t="str">
        <f>IF(H341=0,"No plan at start",M341/H341)</f>
        <v>No plan at start</v>
      </c>
      <c r="P341" s="53"/>
      <c r="Q341" s="54"/>
      <c r="R341" s="55"/>
      <c r="S341" s="55"/>
    </row>
    <row r="342" spans="1:19" s="10" customFormat="1" hidden="1" outlineLevel="2" x14ac:dyDescent="0.2">
      <c r="A342" s="11"/>
      <c r="B342" s="49" t="s">
        <v>87</v>
      </c>
      <c r="C342" s="49" t="s">
        <v>53</v>
      </c>
      <c r="D342" s="49">
        <v>0</v>
      </c>
      <c r="E342" s="49">
        <v>0</v>
      </c>
      <c r="F342" s="49">
        <f>E342-D342</f>
        <v>0</v>
      </c>
      <c r="G342" s="50">
        <f>IF(D342=0,0,ABS(F342/D342))</f>
        <v>0</v>
      </c>
      <c r="H342" s="49">
        <v>0</v>
      </c>
      <c r="I342" s="49">
        <v>0</v>
      </c>
      <c r="J342" s="51" t="str">
        <f>IF(H342=0,"No plan at start",I342/H342)</f>
        <v>No plan at start</v>
      </c>
      <c r="K342" s="52">
        <f>H342-I342</f>
        <v>0</v>
      </c>
      <c r="L342" s="49">
        <v>0</v>
      </c>
      <c r="M342" s="49">
        <f>I342+L342</f>
        <v>0</v>
      </c>
      <c r="N342" s="49">
        <f>M342-H342</f>
        <v>0</v>
      </c>
      <c r="O342" s="50" t="str">
        <f>IF(H342=0,"No plan at start",M342/H342)</f>
        <v>No plan at start</v>
      </c>
      <c r="P342" s="53"/>
      <c r="Q342" s="54"/>
      <c r="R342" s="55"/>
      <c r="S342" s="55"/>
    </row>
    <row r="343" spans="1:19" s="10" customFormat="1" hidden="1" outlineLevel="2" x14ac:dyDescent="0.2">
      <c r="A343" s="11"/>
      <c r="B343" s="49" t="s">
        <v>87</v>
      </c>
      <c r="C343" s="49" t="s">
        <v>54</v>
      </c>
      <c r="D343" s="49">
        <v>0</v>
      </c>
      <c r="E343" s="49">
        <v>0</v>
      </c>
      <c r="F343" s="49">
        <f>E343-D343</f>
        <v>0</v>
      </c>
      <c r="G343" s="50">
        <f>IF(D343=0,0,ABS(F343/D343))</f>
        <v>0</v>
      </c>
      <c r="H343" s="49">
        <v>0</v>
      </c>
      <c r="I343" s="49">
        <v>0</v>
      </c>
      <c r="J343" s="51" t="str">
        <f>IF(H343=0,"No plan at start",I343/H343)</f>
        <v>No plan at start</v>
      </c>
      <c r="K343" s="52">
        <f>H343-I343</f>
        <v>0</v>
      </c>
      <c r="L343" s="49">
        <v>0</v>
      </c>
      <c r="M343" s="49">
        <f>I343+L343</f>
        <v>0</v>
      </c>
      <c r="N343" s="49">
        <f>M343-H343</f>
        <v>0</v>
      </c>
      <c r="O343" s="50" t="str">
        <f>IF(H343=0,"No plan at start",M343/H343)</f>
        <v>No plan at start</v>
      </c>
      <c r="P343" s="53"/>
      <c r="Q343" s="54"/>
      <c r="R343" s="55"/>
      <c r="S343" s="55"/>
    </row>
    <row r="344" spans="1:19" s="10" customFormat="1" hidden="1" outlineLevel="2" x14ac:dyDescent="0.2">
      <c r="A344" s="11"/>
      <c r="B344" s="49" t="s">
        <v>87</v>
      </c>
      <c r="C344" s="49" t="s">
        <v>55</v>
      </c>
      <c r="D344" s="49">
        <v>0</v>
      </c>
      <c r="E344" s="49">
        <v>0</v>
      </c>
      <c r="F344" s="49">
        <f>E344-D344</f>
        <v>0</v>
      </c>
      <c r="G344" s="50">
        <f>IF(D344=0,0,ABS(F344/D344))</f>
        <v>0</v>
      </c>
      <c r="H344" s="49">
        <v>0</v>
      </c>
      <c r="I344" s="49">
        <v>0</v>
      </c>
      <c r="J344" s="51" t="str">
        <f>IF(H344=0,"No plan at start",I344/H344)</f>
        <v>No plan at start</v>
      </c>
      <c r="K344" s="52">
        <f>H344-I344</f>
        <v>0</v>
      </c>
      <c r="L344" s="49">
        <v>0</v>
      </c>
      <c r="M344" s="49">
        <f>I344+L344</f>
        <v>0</v>
      </c>
      <c r="N344" s="49">
        <f>M344-H344</f>
        <v>0</v>
      </c>
      <c r="O344" s="50" t="str">
        <f>IF(H344=0,"No plan at start",M344/H344)</f>
        <v>No plan at start</v>
      </c>
      <c r="P344" s="53"/>
      <c r="Q344" s="54"/>
      <c r="R344" s="55"/>
      <c r="S344" s="55"/>
    </row>
    <row r="345" spans="1:19" s="10" customFormat="1" hidden="1" outlineLevel="2" x14ac:dyDescent="0.2">
      <c r="A345" s="11"/>
      <c r="B345" s="49" t="s">
        <v>87</v>
      </c>
      <c r="C345" s="49" t="s">
        <v>56</v>
      </c>
      <c r="D345" s="49">
        <v>0</v>
      </c>
      <c r="E345" s="49">
        <v>0</v>
      </c>
      <c r="F345" s="49">
        <f>E345-D345</f>
        <v>0</v>
      </c>
      <c r="G345" s="50">
        <f>IF(D345=0,0,ABS(F345/D345))</f>
        <v>0</v>
      </c>
      <c r="H345" s="49">
        <v>0</v>
      </c>
      <c r="I345" s="49">
        <v>0</v>
      </c>
      <c r="J345" s="51" t="str">
        <f>IF(H345=0,"No plan at start",I345/H345)</f>
        <v>No plan at start</v>
      </c>
      <c r="K345" s="52">
        <f>H345-I345</f>
        <v>0</v>
      </c>
      <c r="L345" s="49">
        <v>0</v>
      </c>
      <c r="M345" s="49">
        <f>I345+L345</f>
        <v>0</v>
      </c>
      <c r="N345" s="49">
        <f>M345-H345</f>
        <v>0</v>
      </c>
      <c r="O345" s="50" t="str">
        <f>IF(H345=0,"No plan at start",M345/H345)</f>
        <v>No plan at start</v>
      </c>
      <c r="P345" s="53"/>
      <c r="Q345" s="54"/>
      <c r="R345" s="55"/>
      <c r="S345" s="55"/>
    </row>
    <row r="346" spans="1:19" s="10" customFormat="1" hidden="1" outlineLevel="2" x14ac:dyDescent="0.2">
      <c r="A346" s="11"/>
      <c r="B346" s="49" t="s">
        <v>87</v>
      </c>
      <c r="C346" s="49" t="s">
        <v>57</v>
      </c>
      <c r="D346" s="49">
        <v>0</v>
      </c>
      <c r="E346" s="49">
        <v>0</v>
      </c>
      <c r="F346" s="49">
        <f>E346-D346</f>
        <v>0</v>
      </c>
      <c r="G346" s="50">
        <f>IF(D346=0,0,ABS(F346/D346))</f>
        <v>0</v>
      </c>
      <c r="H346" s="49">
        <v>0</v>
      </c>
      <c r="I346" s="49">
        <v>0</v>
      </c>
      <c r="J346" s="51" t="str">
        <f>IF(H346=0,"No plan at start",I346/H346)</f>
        <v>No plan at start</v>
      </c>
      <c r="K346" s="52">
        <f>H346-I346</f>
        <v>0</v>
      </c>
      <c r="L346" s="49">
        <v>0</v>
      </c>
      <c r="M346" s="49">
        <f>I346+L346</f>
        <v>0</v>
      </c>
      <c r="N346" s="49">
        <f>M346-H346</f>
        <v>0</v>
      </c>
      <c r="O346" s="50" t="str">
        <f>IF(H346=0,"No plan at start",M346/H346)</f>
        <v>No plan at start</v>
      </c>
      <c r="P346" s="53"/>
      <c r="Q346" s="54"/>
      <c r="R346" s="55"/>
      <c r="S346" s="55"/>
    </row>
    <row r="347" spans="1:19" s="10" customFormat="1" hidden="1" outlineLevel="2" x14ac:dyDescent="0.2">
      <c r="A347" s="11"/>
      <c r="B347" s="49" t="s">
        <v>87</v>
      </c>
      <c r="C347" s="49" t="s">
        <v>48</v>
      </c>
      <c r="D347" s="49">
        <v>0</v>
      </c>
      <c r="E347" s="49">
        <v>0</v>
      </c>
      <c r="F347" s="49">
        <f>E347-D347</f>
        <v>0</v>
      </c>
      <c r="G347" s="50">
        <f>IF(D347=0,0,ABS(F347/D347))</f>
        <v>0</v>
      </c>
      <c r="H347" s="49">
        <v>0</v>
      </c>
      <c r="I347" s="49">
        <v>0</v>
      </c>
      <c r="J347" s="51" t="str">
        <f>IF(H347=0,"No plan at start",I347/H347)</f>
        <v>No plan at start</v>
      </c>
      <c r="K347" s="52">
        <f>H347-I347</f>
        <v>0</v>
      </c>
      <c r="L347" s="49">
        <v>0</v>
      </c>
      <c r="M347" s="49">
        <f>I347+L347</f>
        <v>0</v>
      </c>
      <c r="N347" s="49">
        <f>M347-H347</f>
        <v>0</v>
      </c>
      <c r="O347" s="50" t="str">
        <f>IF(H347=0,"No plan at start",M347/H347)</f>
        <v>No plan at start</v>
      </c>
      <c r="P347" s="53"/>
      <c r="Q347" s="54"/>
      <c r="R347" s="55"/>
      <c r="S347" s="55"/>
    </row>
    <row r="348" spans="1:19" s="10" customFormat="1" hidden="1" outlineLevel="2" x14ac:dyDescent="0.2">
      <c r="A348" s="11"/>
      <c r="B348" s="49" t="s">
        <v>87</v>
      </c>
      <c r="C348" s="49" t="s">
        <v>58</v>
      </c>
      <c r="D348" s="49">
        <v>0</v>
      </c>
      <c r="E348" s="49">
        <v>0</v>
      </c>
      <c r="F348" s="49">
        <f>E348-D348</f>
        <v>0</v>
      </c>
      <c r="G348" s="50">
        <f>IF(D348=0,0,ABS(F348/D348))</f>
        <v>0</v>
      </c>
      <c r="H348" s="49">
        <v>0</v>
      </c>
      <c r="I348" s="49">
        <v>0</v>
      </c>
      <c r="J348" s="51" t="str">
        <f>IF(H348=0,"No plan at start",I348/H348)</f>
        <v>No plan at start</v>
      </c>
      <c r="K348" s="52">
        <f>H348-I348</f>
        <v>0</v>
      </c>
      <c r="L348" s="49">
        <v>0</v>
      </c>
      <c r="M348" s="49">
        <f>I348+L348</f>
        <v>0</v>
      </c>
      <c r="N348" s="49">
        <f>M348-H348</f>
        <v>0</v>
      </c>
      <c r="O348" s="50" t="str">
        <f>IF(H348=0,"No plan at start",M348/H348)</f>
        <v>No plan at start</v>
      </c>
      <c r="P348" s="53"/>
      <c r="Q348" s="54"/>
      <c r="R348" s="55"/>
      <c r="S348" s="55"/>
    </row>
    <row r="349" spans="1:19" s="10" customFormat="1" hidden="1" outlineLevel="2" x14ac:dyDescent="0.2">
      <c r="A349" s="11"/>
      <c r="B349" s="49" t="s">
        <v>87</v>
      </c>
      <c r="C349" s="49" t="s">
        <v>59</v>
      </c>
      <c r="D349" s="49">
        <v>0</v>
      </c>
      <c r="E349" s="49">
        <v>0</v>
      </c>
      <c r="F349" s="49">
        <f>E349-D349</f>
        <v>0</v>
      </c>
      <c r="G349" s="50">
        <f>IF(D349=0,0,ABS(F349/D349))</f>
        <v>0</v>
      </c>
      <c r="H349" s="49">
        <v>0</v>
      </c>
      <c r="I349" s="49">
        <v>0</v>
      </c>
      <c r="J349" s="51" t="str">
        <f>IF(H349=0,"No plan at start",I349/H349)</f>
        <v>No plan at start</v>
      </c>
      <c r="K349" s="52">
        <f>H349-I349</f>
        <v>0</v>
      </c>
      <c r="L349" s="49">
        <v>0</v>
      </c>
      <c r="M349" s="49">
        <f>I349+L349</f>
        <v>0</v>
      </c>
      <c r="N349" s="49">
        <f>M349-H349</f>
        <v>0</v>
      </c>
      <c r="O349" s="50" t="str">
        <f>IF(H349=0,"No plan at start",M349/H349)</f>
        <v>No plan at start</v>
      </c>
      <c r="P349" s="53"/>
      <c r="Q349" s="54"/>
      <c r="R349" s="55"/>
      <c r="S349" s="55"/>
    </row>
    <row r="350" spans="1:19" s="10" customFormat="1" hidden="1" outlineLevel="2" x14ac:dyDescent="0.2">
      <c r="A350" s="11"/>
      <c r="B350" s="49" t="s">
        <v>87</v>
      </c>
      <c r="C350" s="49" t="s">
        <v>60</v>
      </c>
      <c r="D350" s="49">
        <v>0</v>
      </c>
      <c r="E350" s="49">
        <v>0</v>
      </c>
      <c r="F350" s="49">
        <f>E350-D350</f>
        <v>0</v>
      </c>
      <c r="G350" s="50">
        <f>IF(D350=0,0,ABS(F350/D350))</f>
        <v>0</v>
      </c>
      <c r="H350" s="49">
        <v>0</v>
      </c>
      <c r="I350" s="49">
        <v>0</v>
      </c>
      <c r="J350" s="51" t="str">
        <f>IF(H350=0,"No plan at start",I350/H350)</f>
        <v>No plan at start</v>
      </c>
      <c r="K350" s="52">
        <f>H350-I350</f>
        <v>0</v>
      </c>
      <c r="L350" s="49">
        <v>0</v>
      </c>
      <c r="M350" s="49">
        <f>I350+L350</f>
        <v>0</v>
      </c>
      <c r="N350" s="49">
        <f>M350-H350</f>
        <v>0</v>
      </c>
      <c r="O350" s="50" t="str">
        <f>IF(H350=0,"No plan at start",M350/H350)</f>
        <v>No plan at start</v>
      </c>
      <c r="P350" s="53"/>
      <c r="Q350" s="54"/>
      <c r="R350" s="55"/>
      <c r="S350" s="55"/>
    </row>
    <row r="351" spans="1:19" s="10" customFormat="1" hidden="1" outlineLevel="2" x14ac:dyDescent="0.2">
      <c r="A351" s="11"/>
      <c r="B351" s="49" t="s">
        <v>87</v>
      </c>
      <c r="C351" s="49" t="s">
        <v>61</v>
      </c>
      <c r="D351" s="49">
        <v>0</v>
      </c>
      <c r="E351" s="49">
        <v>0</v>
      </c>
      <c r="F351" s="49">
        <f>E351-D351</f>
        <v>0</v>
      </c>
      <c r="G351" s="50">
        <f>IF(D351=0,0,ABS(F351/D351))</f>
        <v>0</v>
      </c>
      <c r="H351" s="49">
        <v>0</v>
      </c>
      <c r="I351" s="49">
        <v>0</v>
      </c>
      <c r="J351" s="51" t="str">
        <f>IF(H351=0,"No plan at start",I351/H351)</f>
        <v>No plan at start</v>
      </c>
      <c r="K351" s="52">
        <f>H351-I351</f>
        <v>0</v>
      </c>
      <c r="L351" s="49">
        <v>0</v>
      </c>
      <c r="M351" s="49">
        <f>I351+L351</f>
        <v>0</v>
      </c>
      <c r="N351" s="49">
        <f>M351-H351</f>
        <v>0</v>
      </c>
      <c r="O351" s="50" t="str">
        <f>IF(H351=0,"No plan at start",M351/H351)</f>
        <v>No plan at start</v>
      </c>
      <c r="P351" s="53"/>
      <c r="Q351" s="54"/>
      <c r="R351" s="55"/>
      <c r="S351" s="55"/>
    </row>
    <row r="352" spans="1:19" s="10" customFormat="1" hidden="1" outlineLevel="2" x14ac:dyDescent="0.2">
      <c r="A352" s="11"/>
      <c r="B352" s="49" t="s">
        <v>87</v>
      </c>
      <c r="C352" s="49" t="s">
        <v>62</v>
      </c>
      <c r="D352" s="49">
        <v>0</v>
      </c>
      <c r="E352" s="49">
        <v>0</v>
      </c>
      <c r="F352" s="49">
        <f>E352-D352</f>
        <v>0</v>
      </c>
      <c r="G352" s="50">
        <f>IF(D352=0,0,ABS(F352/D352))</f>
        <v>0</v>
      </c>
      <c r="H352" s="49">
        <v>0</v>
      </c>
      <c r="I352" s="49">
        <v>0</v>
      </c>
      <c r="J352" s="51" t="str">
        <f>IF(H352=0,"No plan at start",I352/H352)</f>
        <v>No plan at start</v>
      </c>
      <c r="K352" s="52">
        <f>H352-I352</f>
        <v>0</v>
      </c>
      <c r="L352" s="49">
        <v>0</v>
      </c>
      <c r="M352" s="49">
        <f>I352+L352</f>
        <v>0</v>
      </c>
      <c r="N352" s="49">
        <f>M352-H352</f>
        <v>0</v>
      </c>
      <c r="O352" s="50" t="str">
        <f>IF(H352=0,"No plan at start",M352/H352)</f>
        <v>No plan at start</v>
      </c>
      <c r="P352" s="53"/>
      <c r="Q352" s="54"/>
      <c r="R352" s="55"/>
      <c r="S352" s="55"/>
    </row>
    <row r="353" spans="1:19" s="10" customFormat="1" outlineLevel="1" collapsed="1" x14ac:dyDescent="0.2">
      <c r="A353" s="11"/>
      <c r="B353" s="56" t="s">
        <v>126</v>
      </c>
      <c r="C353" s="49"/>
      <c r="D353" s="49">
        <f>SUBTOTAL(9,D341:D352)</f>
        <v>0</v>
      </c>
      <c r="E353" s="49">
        <f>SUBTOTAL(9,E341:E352)</f>
        <v>0</v>
      </c>
      <c r="F353" s="49">
        <f>SUBTOTAL(9,F341:F352)</f>
        <v>0</v>
      </c>
      <c r="G353" s="50">
        <f>IF(D353=0,0,ABS(F353/D353))</f>
        <v>0</v>
      </c>
      <c r="H353" s="49">
        <f>SUBTOTAL(9,H341:H352)</f>
        <v>0</v>
      </c>
      <c r="I353" s="49">
        <f>SUBTOTAL(9,I341:I352)</f>
        <v>0</v>
      </c>
      <c r="J353" s="51" t="str">
        <f>IF(H353=0,"No plan at start",I353/H353)</f>
        <v>No plan at start</v>
      </c>
      <c r="K353" s="52">
        <f>SUBTOTAL(9,K341:K352)</f>
        <v>0</v>
      </c>
      <c r="L353" s="49">
        <f>SUBTOTAL(9,L341:L352)</f>
        <v>0</v>
      </c>
      <c r="M353" s="49">
        <f>SUBTOTAL(9,M341:M352)</f>
        <v>0</v>
      </c>
      <c r="N353" s="49">
        <f>SUBTOTAL(9,N341:N352)</f>
        <v>0</v>
      </c>
      <c r="O353" s="50" t="str">
        <f>IF(H353=0,"No plan at start",M353/H353)</f>
        <v>No plan at start</v>
      </c>
      <c r="P353" s="53"/>
      <c r="Q353" s="54"/>
      <c r="R353" s="55"/>
      <c r="S353" s="55"/>
    </row>
    <row r="354" spans="1:19" s="10" customFormat="1" hidden="1" outlineLevel="2" x14ac:dyDescent="0.2">
      <c r="A354" s="11"/>
      <c r="B354" s="49" t="s">
        <v>88</v>
      </c>
      <c r="C354" s="49" t="s">
        <v>52</v>
      </c>
      <c r="D354" s="49">
        <v>0</v>
      </c>
      <c r="E354" s="49">
        <v>0</v>
      </c>
      <c r="F354" s="49">
        <f>E354-D354</f>
        <v>0</v>
      </c>
      <c r="G354" s="50">
        <f>IF(D354=0,0,ABS(F354/D354))</f>
        <v>0</v>
      </c>
      <c r="H354" s="49">
        <v>0</v>
      </c>
      <c r="I354" s="49">
        <v>0</v>
      </c>
      <c r="J354" s="51" t="str">
        <f>IF(H354=0,"No plan at start",I354/H354)</f>
        <v>No plan at start</v>
      </c>
      <c r="K354" s="52">
        <f>H354-I354</f>
        <v>0</v>
      </c>
      <c r="L354" s="49">
        <v>0</v>
      </c>
      <c r="M354" s="49">
        <f>I354+L354</f>
        <v>0</v>
      </c>
      <c r="N354" s="49">
        <f>M354-H354</f>
        <v>0</v>
      </c>
      <c r="O354" s="50" t="str">
        <f>IF(H354=0,"No plan at start",M354/H354)</f>
        <v>No plan at start</v>
      </c>
      <c r="P354" s="53"/>
      <c r="Q354" s="54"/>
      <c r="R354" s="55"/>
      <c r="S354" s="55"/>
    </row>
    <row r="355" spans="1:19" s="10" customFormat="1" hidden="1" outlineLevel="2" x14ac:dyDescent="0.2">
      <c r="A355" s="11"/>
      <c r="B355" s="49" t="s">
        <v>88</v>
      </c>
      <c r="C355" s="49" t="s">
        <v>53</v>
      </c>
      <c r="D355" s="49">
        <v>0</v>
      </c>
      <c r="E355" s="49">
        <v>0</v>
      </c>
      <c r="F355" s="49">
        <f>E355-D355</f>
        <v>0</v>
      </c>
      <c r="G355" s="50">
        <f>IF(D355=0,0,ABS(F355/D355))</f>
        <v>0</v>
      </c>
      <c r="H355" s="49">
        <v>0</v>
      </c>
      <c r="I355" s="49">
        <v>0</v>
      </c>
      <c r="J355" s="51" t="str">
        <f>IF(H355=0,"No plan at start",I355/H355)</f>
        <v>No plan at start</v>
      </c>
      <c r="K355" s="52">
        <f>H355-I355</f>
        <v>0</v>
      </c>
      <c r="L355" s="49">
        <v>0</v>
      </c>
      <c r="M355" s="49">
        <f>I355+L355</f>
        <v>0</v>
      </c>
      <c r="N355" s="49">
        <f>M355-H355</f>
        <v>0</v>
      </c>
      <c r="O355" s="50" t="str">
        <f>IF(H355=0,"No plan at start",M355/H355)</f>
        <v>No plan at start</v>
      </c>
      <c r="P355" s="53"/>
      <c r="Q355" s="54"/>
      <c r="R355" s="55"/>
      <c r="S355" s="55"/>
    </row>
    <row r="356" spans="1:19" s="10" customFormat="1" hidden="1" outlineLevel="2" x14ac:dyDescent="0.2">
      <c r="A356" s="11"/>
      <c r="B356" s="49" t="s">
        <v>88</v>
      </c>
      <c r="C356" s="49" t="s">
        <v>54</v>
      </c>
      <c r="D356" s="49">
        <v>0</v>
      </c>
      <c r="E356" s="49">
        <v>0</v>
      </c>
      <c r="F356" s="49">
        <f>E356-D356</f>
        <v>0</v>
      </c>
      <c r="G356" s="50">
        <f>IF(D356=0,0,ABS(F356/D356))</f>
        <v>0</v>
      </c>
      <c r="H356" s="49">
        <v>0</v>
      </c>
      <c r="I356" s="49">
        <v>0</v>
      </c>
      <c r="J356" s="51" t="str">
        <f>IF(H356=0,"No plan at start",I356/H356)</f>
        <v>No plan at start</v>
      </c>
      <c r="K356" s="52">
        <f>H356-I356</f>
        <v>0</v>
      </c>
      <c r="L356" s="49">
        <v>0</v>
      </c>
      <c r="M356" s="49">
        <f>I356+L356</f>
        <v>0</v>
      </c>
      <c r="N356" s="49">
        <f>M356-H356</f>
        <v>0</v>
      </c>
      <c r="O356" s="50" t="str">
        <f>IF(H356=0,"No plan at start",M356/H356)</f>
        <v>No plan at start</v>
      </c>
      <c r="P356" s="53"/>
      <c r="Q356" s="54"/>
      <c r="R356" s="55"/>
      <c r="S356" s="55"/>
    </row>
    <row r="357" spans="1:19" s="10" customFormat="1" hidden="1" outlineLevel="2" x14ac:dyDescent="0.2">
      <c r="A357" s="11"/>
      <c r="B357" s="49" t="s">
        <v>88</v>
      </c>
      <c r="C357" s="49" t="s">
        <v>55</v>
      </c>
      <c r="D357" s="49">
        <v>0</v>
      </c>
      <c r="E357" s="49">
        <v>0</v>
      </c>
      <c r="F357" s="49">
        <f>E357-D357</f>
        <v>0</v>
      </c>
      <c r="G357" s="50">
        <f>IF(D357=0,0,ABS(F357/D357))</f>
        <v>0</v>
      </c>
      <c r="H357" s="49">
        <v>0</v>
      </c>
      <c r="I357" s="49">
        <v>0</v>
      </c>
      <c r="J357" s="51" t="str">
        <f>IF(H357=0,"No plan at start",I357/H357)</f>
        <v>No plan at start</v>
      </c>
      <c r="K357" s="52">
        <f>H357-I357</f>
        <v>0</v>
      </c>
      <c r="L357" s="49">
        <v>0</v>
      </c>
      <c r="M357" s="49">
        <f>I357+L357</f>
        <v>0</v>
      </c>
      <c r="N357" s="49">
        <f>M357-H357</f>
        <v>0</v>
      </c>
      <c r="O357" s="50" t="str">
        <f>IF(H357=0,"No plan at start",M357/H357)</f>
        <v>No plan at start</v>
      </c>
      <c r="P357" s="53"/>
      <c r="Q357" s="54"/>
      <c r="R357" s="55"/>
      <c r="S357" s="55"/>
    </row>
    <row r="358" spans="1:19" s="10" customFormat="1" hidden="1" outlineLevel="2" x14ac:dyDescent="0.2">
      <c r="A358" s="11"/>
      <c r="B358" s="49" t="s">
        <v>88</v>
      </c>
      <c r="C358" s="49" t="s">
        <v>56</v>
      </c>
      <c r="D358" s="49">
        <v>0</v>
      </c>
      <c r="E358" s="49">
        <v>0</v>
      </c>
      <c r="F358" s="49">
        <f>E358-D358</f>
        <v>0</v>
      </c>
      <c r="G358" s="50">
        <f>IF(D358=0,0,ABS(F358/D358))</f>
        <v>0</v>
      </c>
      <c r="H358" s="49">
        <v>0</v>
      </c>
      <c r="I358" s="49">
        <v>0</v>
      </c>
      <c r="J358" s="51" t="str">
        <f>IF(H358=0,"No plan at start",I358/H358)</f>
        <v>No plan at start</v>
      </c>
      <c r="K358" s="52">
        <f>H358-I358</f>
        <v>0</v>
      </c>
      <c r="L358" s="49">
        <v>0</v>
      </c>
      <c r="M358" s="49">
        <f>I358+L358</f>
        <v>0</v>
      </c>
      <c r="N358" s="49">
        <f>M358-H358</f>
        <v>0</v>
      </c>
      <c r="O358" s="50" t="str">
        <f>IF(H358=0,"No plan at start",M358/H358)</f>
        <v>No plan at start</v>
      </c>
      <c r="P358" s="53"/>
      <c r="Q358" s="54"/>
      <c r="R358" s="55"/>
      <c r="S358" s="55"/>
    </row>
    <row r="359" spans="1:19" s="10" customFormat="1" hidden="1" outlineLevel="2" x14ac:dyDescent="0.2">
      <c r="A359" s="11"/>
      <c r="B359" s="49" t="s">
        <v>88</v>
      </c>
      <c r="C359" s="49" t="s">
        <v>57</v>
      </c>
      <c r="D359" s="49">
        <v>0</v>
      </c>
      <c r="E359" s="49">
        <v>0</v>
      </c>
      <c r="F359" s="49">
        <f>E359-D359</f>
        <v>0</v>
      </c>
      <c r="G359" s="50">
        <f>IF(D359=0,0,ABS(F359/D359))</f>
        <v>0</v>
      </c>
      <c r="H359" s="49">
        <v>0</v>
      </c>
      <c r="I359" s="49">
        <v>0</v>
      </c>
      <c r="J359" s="51" t="str">
        <f>IF(H359=0,"No plan at start",I359/H359)</f>
        <v>No plan at start</v>
      </c>
      <c r="K359" s="52">
        <f>H359-I359</f>
        <v>0</v>
      </c>
      <c r="L359" s="49">
        <v>0</v>
      </c>
      <c r="M359" s="49">
        <f>I359+L359</f>
        <v>0</v>
      </c>
      <c r="N359" s="49">
        <f>M359-H359</f>
        <v>0</v>
      </c>
      <c r="O359" s="50" t="str">
        <f>IF(H359=0,"No plan at start",M359/H359)</f>
        <v>No plan at start</v>
      </c>
      <c r="P359" s="53"/>
      <c r="Q359" s="54"/>
      <c r="R359" s="55"/>
      <c r="S359" s="55"/>
    </row>
    <row r="360" spans="1:19" s="10" customFormat="1" hidden="1" outlineLevel="2" x14ac:dyDescent="0.2">
      <c r="A360" s="11"/>
      <c r="B360" s="49" t="s">
        <v>88</v>
      </c>
      <c r="C360" s="49" t="s">
        <v>48</v>
      </c>
      <c r="D360" s="49">
        <v>0</v>
      </c>
      <c r="E360" s="49">
        <v>0</v>
      </c>
      <c r="F360" s="49">
        <f>E360-D360</f>
        <v>0</v>
      </c>
      <c r="G360" s="50">
        <f>IF(D360=0,0,ABS(F360/D360))</f>
        <v>0</v>
      </c>
      <c r="H360" s="49">
        <v>0</v>
      </c>
      <c r="I360" s="49">
        <v>0</v>
      </c>
      <c r="J360" s="51" t="str">
        <f>IF(H360=0,"No plan at start",I360/H360)</f>
        <v>No plan at start</v>
      </c>
      <c r="K360" s="52">
        <f>H360-I360</f>
        <v>0</v>
      </c>
      <c r="L360" s="49">
        <v>0</v>
      </c>
      <c r="M360" s="49">
        <f>I360+L360</f>
        <v>0</v>
      </c>
      <c r="N360" s="49">
        <f>M360-H360</f>
        <v>0</v>
      </c>
      <c r="O360" s="50" t="str">
        <f>IF(H360=0,"No plan at start",M360/H360)</f>
        <v>No plan at start</v>
      </c>
      <c r="P360" s="53"/>
      <c r="Q360" s="54"/>
      <c r="R360" s="55"/>
      <c r="S360" s="55"/>
    </row>
    <row r="361" spans="1:19" s="10" customFormat="1" hidden="1" outlineLevel="2" x14ac:dyDescent="0.2">
      <c r="A361" s="11"/>
      <c r="B361" s="49" t="s">
        <v>88</v>
      </c>
      <c r="C361" s="49" t="s">
        <v>58</v>
      </c>
      <c r="D361" s="49">
        <v>0</v>
      </c>
      <c r="E361" s="49">
        <v>0</v>
      </c>
      <c r="F361" s="49">
        <f>E361-D361</f>
        <v>0</v>
      </c>
      <c r="G361" s="50">
        <f>IF(D361=0,0,ABS(F361/D361))</f>
        <v>0</v>
      </c>
      <c r="H361" s="49">
        <v>0</v>
      </c>
      <c r="I361" s="49">
        <v>0</v>
      </c>
      <c r="J361" s="51" t="str">
        <f>IF(H361=0,"No plan at start",I361/H361)</f>
        <v>No plan at start</v>
      </c>
      <c r="K361" s="52">
        <f>H361-I361</f>
        <v>0</v>
      </c>
      <c r="L361" s="49">
        <v>0</v>
      </c>
      <c r="M361" s="49">
        <f>I361+L361</f>
        <v>0</v>
      </c>
      <c r="N361" s="49">
        <f>M361-H361</f>
        <v>0</v>
      </c>
      <c r="O361" s="50" t="str">
        <f>IF(H361=0,"No plan at start",M361/H361)</f>
        <v>No plan at start</v>
      </c>
      <c r="P361" s="53"/>
      <c r="Q361" s="54"/>
      <c r="R361" s="55"/>
      <c r="S361" s="55"/>
    </row>
    <row r="362" spans="1:19" s="10" customFormat="1" hidden="1" outlineLevel="2" x14ac:dyDescent="0.2">
      <c r="A362" s="11"/>
      <c r="B362" s="49" t="s">
        <v>88</v>
      </c>
      <c r="C362" s="49" t="s">
        <v>59</v>
      </c>
      <c r="D362" s="49">
        <v>0</v>
      </c>
      <c r="E362" s="49">
        <v>0</v>
      </c>
      <c r="F362" s="49">
        <f>E362-D362</f>
        <v>0</v>
      </c>
      <c r="G362" s="50">
        <f>IF(D362=0,0,ABS(F362/D362))</f>
        <v>0</v>
      </c>
      <c r="H362" s="49">
        <v>0</v>
      </c>
      <c r="I362" s="49">
        <v>0</v>
      </c>
      <c r="J362" s="51" t="str">
        <f>IF(H362=0,"No plan at start",I362/H362)</f>
        <v>No plan at start</v>
      </c>
      <c r="K362" s="52">
        <f>H362-I362</f>
        <v>0</v>
      </c>
      <c r="L362" s="49">
        <v>0</v>
      </c>
      <c r="M362" s="49">
        <f>I362+L362</f>
        <v>0</v>
      </c>
      <c r="N362" s="49">
        <f>M362-H362</f>
        <v>0</v>
      </c>
      <c r="O362" s="50" t="str">
        <f>IF(H362=0,"No plan at start",M362/H362)</f>
        <v>No plan at start</v>
      </c>
      <c r="P362" s="53"/>
      <c r="Q362" s="54"/>
      <c r="R362" s="55"/>
      <c r="S362" s="55"/>
    </row>
    <row r="363" spans="1:19" s="10" customFormat="1" hidden="1" outlineLevel="2" x14ac:dyDescent="0.2">
      <c r="A363" s="11"/>
      <c r="B363" s="49" t="s">
        <v>88</v>
      </c>
      <c r="C363" s="49" t="s">
        <v>60</v>
      </c>
      <c r="D363" s="49">
        <v>0</v>
      </c>
      <c r="E363" s="49">
        <v>0</v>
      </c>
      <c r="F363" s="49">
        <f>E363-D363</f>
        <v>0</v>
      </c>
      <c r="G363" s="50">
        <f>IF(D363=0,0,ABS(F363/D363))</f>
        <v>0</v>
      </c>
      <c r="H363" s="49">
        <v>0</v>
      </c>
      <c r="I363" s="49">
        <v>0</v>
      </c>
      <c r="J363" s="51" t="str">
        <f>IF(H363=0,"No plan at start",I363/H363)</f>
        <v>No plan at start</v>
      </c>
      <c r="K363" s="52">
        <f>H363-I363</f>
        <v>0</v>
      </c>
      <c r="L363" s="49">
        <v>0</v>
      </c>
      <c r="M363" s="49">
        <f>I363+L363</f>
        <v>0</v>
      </c>
      <c r="N363" s="49">
        <f>M363-H363</f>
        <v>0</v>
      </c>
      <c r="O363" s="50" t="str">
        <f>IF(H363=0,"No plan at start",M363/H363)</f>
        <v>No plan at start</v>
      </c>
      <c r="P363" s="53"/>
      <c r="Q363" s="54"/>
      <c r="R363" s="55"/>
      <c r="S363" s="55"/>
    </row>
    <row r="364" spans="1:19" s="10" customFormat="1" hidden="1" outlineLevel="2" x14ac:dyDescent="0.2">
      <c r="A364" s="11"/>
      <c r="B364" s="49" t="s">
        <v>88</v>
      </c>
      <c r="C364" s="49" t="s">
        <v>61</v>
      </c>
      <c r="D364" s="49">
        <v>0</v>
      </c>
      <c r="E364" s="49">
        <v>0</v>
      </c>
      <c r="F364" s="49">
        <f>E364-D364</f>
        <v>0</v>
      </c>
      <c r="G364" s="50">
        <f>IF(D364=0,0,ABS(F364/D364))</f>
        <v>0</v>
      </c>
      <c r="H364" s="49">
        <v>0</v>
      </c>
      <c r="I364" s="49">
        <v>0</v>
      </c>
      <c r="J364" s="51" t="str">
        <f>IF(H364=0,"No plan at start",I364/H364)</f>
        <v>No plan at start</v>
      </c>
      <c r="K364" s="52">
        <f>H364-I364</f>
        <v>0</v>
      </c>
      <c r="L364" s="49">
        <v>0</v>
      </c>
      <c r="M364" s="49">
        <f>I364+L364</f>
        <v>0</v>
      </c>
      <c r="N364" s="49">
        <f>M364-H364</f>
        <v>0</v>
      </c>
      <c r="O364" s="50" t="str">
        <f>IF(H364=0,"No plan at start",M364/H364)</f>
        <v>No plan at start</v>
      </c>
      <c r="P364" s="53"/>
      <c r="Q364" s="54"/>
      <c r="R364" s="55"/>
      <c r="S364" s="55"/>
    </row>
    <row r="365" spans="1:19" s="10" customFormat="1" hidden="1" outlineLevel="2" x14ac:dyDescent="0.2">
      <c r="A365" s="11"/>
      <c r="B365" s="49" t="s">
        <v>88</v>
      </c>
      <c r="C365" s="49" t="s">
        <v>62</v>
      </c>
      <c r="D365" s="49">
        <v>0</v>
      </c>
      <c r="E365" s="49">
        <v>0</v>
      </c>
      <c r="F365" s="49">
        <f>E365-D365</f>
        <v>0</v>
      </c>
      <c r="G365" s="50">
        <f>IF(D365=0,0,ABS(F365/D365))</f>
        <v>0</v>
      </c>
      <c r="H365" s="49">
        <v>0</v>
      </c>
      <c r="I365" s="49">
        <v>0</v>
      </c>
      <c r="J365" s="51" t="str">
        <f>IF(H365=0,"No plan at start",I365/H365)</f>
        <v>No plan at start</v>
      </c>
      <c r="K365" s="52">
        <f>H365-I365</f>
        <v>0</v>
      </c>
      <c r="L365" s="49">
        <v>0</v>
      </c>
      <c r="M365" s="49">
        <f>I365+L365</f>
        <v>0</v>
      </c>
      <c r="N365" s="49">
        <f>M365-H365</f>
        <v>0</v>
      </c>
      <c r="O365" s="50" t="str">
        <f>IF(H365=0,"No plan at start",M365/H365)</f>
        <v>No plan at start</v>
      </c>
      <c r="P365" s="53"/>
      <c r="Q365" s="54"/>
      <c r="R365" s="55"/>
      <c r="S365" s="55"/>
    </row>
    <row r="366" spans="1:19" s="10" customFormat="1" outlineLevel="1" collapsed="1" x14ac:dyDescent="0.2">
      <c r="A366" s="11"/>
      <c r="B366" s="56" t="s">
        <v>127</v>
      </c>
      <c r="C366" s="49"/>
      <c r="D366" s="49">
        <f>SUBTOTAL(9,D354:D365)</f>
        <v>0</v>
      </c>
      <c r="E366" s="49">
        <f>SUBTOTAL(9,E354:E365)</f>
        <v>0</v>
      </c>
      <c r="F366" s="49">
        <f>SUBTOTAL(9,F354:F365)</f>
        <v>0</v>
      </c>
      <c r="G366" s="50">
        <f>IF(D366=0,0,ABS(F366/D366))</f>
        <v>0</v>
      </c>
      <c r="H366" s="49">
        <f>SUBTOTAL(9,H354:H365)</f>
        <v>0</v>
      </c>
      <c r="I366" s="49">
        <f>SUBTOTAL(9,I354:I365)</f>
        <v>0</v>
      </c>
      <c r="J366" s="51" t="str">
        <f>IF(H366=0,"No plan at start",I366/H366)</f>
        <v>No plan at start</v>
      </c>
      <c r="K366" s="52">
        <f>SUBTOTAL(9,K354:K365)</f>
        <v>0</v>
      </c>
      <c r="L366" s="49">
        <f>SUBTOTAL(9,L354:L365)</f>
        <v>0</v>
      </c>
      <c r="M366" s="49">
        <f>SUBTOTAL(9,M354:M365)</f>
        <v>0</v>
      </c>
      <c r="N366" s="49">
        <f>SUBTOTAL(9,N354:N365)</f>
        <v>0</v>
      </c>
      <c r="O366" s="50" t="str">
        <f>IF(H366=0,"No plan at start",M366/H366)</f>
        <v>No plan at start</v>
      </c>
      <c r="P366" s="53"/>
      <c r="Q366" s="54"/>
      <c r="R366" s="55"/>
      <c r="S366" s="55"/>
    </row>
    <row r="367" spans="1:19" s="10" customFormat="1" hidden="1" outlineLevel="2" x14ac:dyDescent="0.2">
      <c r="A367" s="11"/>
      <c r="B367" s="49" t="s">
        <v>89</v>
      </c>
      <c r="C367" s="49" t="s">
        <v>52</v>
      </c>
      <c r="D367" s="49">
        <v>0</v>
      </c>
      <c r="E367" s="49">
        <v>0</v>
      </c>
      <c r="F367" s="49">
        <f>E367-D367</f>
        <v>0</v>
      </c>
      <c r="G367" s="50">
        <f>IF(D367=0,0,ABS(F367/D367))</f>
        <v>0</v>
      </c>
      <c r="H367" s="49">
        <v>0</v>
      </c>
      <c r="I367" s="49">
        <v>0</v>
      </c>
      <c r="J367" s="51" t="str">
        <f>IF(H367=0,"No plan at start",I367/H367)</f>
        <v>No plan at start</v>
      </c>
      <c r="K367" s="52">
        <f>H367-I367</f>
        <v>0</v>
      </c>
      <c r="L367" s="49">
        <v>0</v>
      </c>
      <c r="M367" s="49">
        <f>I367+L367</f>
        <v>0</v>
      </c>
      <c r="N367" s="49">
        <f>M367-H367</f>
        <v>0</v>
      </c>
      <c r="O367" s="50" t="str">
        <f>IF(H367=0,"No plan at start",M367/H367)</f>
        <v>No plan at start</v>
      </c>
      <c r="P367" s="53"/>
      <c r="Q367" s="54"/>
      <c r="R367" s="55"/>
      <c r="S367" s="55"/>
    </row>
    <row r="368" spans="1:19" s="10" customFormat="1" hidden="1" outlineLevel="2" x14ac:dyDescent="0.2">
      <c r="A368" s="11"/>
      <c r="B368" s="49" t="s">
        <v>89</v>
      </c>
      <c r="C368" s="49" t="s">
        <v>53</v>
      </c>
      <c r="D368" s="49">
        <v>0</v>
      </c>
      <c r="E368" s="49">
        <v>0</v>
      </c>
      <c r="F368" s="49">
        <f>E368-D368</f>
        <v>0</v>
      </c>
      <c r="G368" s="50">
        <f>IF(D368=0,0,ABS(F368/D368))</f>
        <v>0</v>
      </c>
      <c r="H368" s="49">
        <v>0</v>
      </c>
      <c r="I368" s="49">
        <v>0</v>
      </c>
      <c r="J368" s="51" t="str">
        <f>IF(H368=0,"No plan at start",I368/H368)</f>
        <v>No plan at start</v>
      </c>
      <c r="K368" s="52">
        <f>H368-I368</f>
        <v>0</v>
      </c>
      <c r="L368" s="49">
        <v>0</v>
      </c>
      <c r="M368" s="49">
        <f>I368+L368</f>
        <v>0</v>
      </c>
      <c r="N368" s="49">
        <f>M368-H368</f>
        <v>0</v>
      </c>
      <c r="O368" s="50" t="str">
        <f>IF(H368=0,"No plan at start",M368/H368)</f>
        <v>No plan at start</v>
      </c>
      <c r="P368" s="53"/>
      <c r="Q368" s="54"/>
      <c r="R368" s="55"/>
      <c r="S368" s="55"/>
    </row>
    <row r="369" spans="1:19" s="10" customFormat="1" hidden="1" outlineLevel="2" x14ac:dyDescent="0.2">
      <c r="A369" s="11"/>
      <c r="B369" s="49" t="s">
        <v>89</v>
      </c>
      <c r="C369" s="49" t="s">
        <v>54</v>
      </c>
      <c r="D369" s="49">
        <v>0</v>
      </c>
      <c r="E369" s="49">
        <v>0</v>
      </c>
      <c r="F369" s="49">
        <f>E369-D369</f>
        <v>0</v>
      </c>
      <c r="G369" s="50">
        <f>IF(D369=0,0,ABS(F369/D369))</f>
        <v>0</v>
      </c>
      <c r="H369" s="49">
        <v>0</v>
      </c>
      <c r="I369" s="49">
        <v>0</v>
      </c>
      <c r="J369" s="51" t="str">
        <f>IF(H369=0,"No plan at start",I369/H369)</f>
        <v>No plan at start</v>
      </c>
      <c r="K369" s="52">
        <f>H369-I369</f>
        <v>0</v>
      </c>
      <c r="L369" s="49">
        <v>0</v>
      </c>
      <c r="M369" s="49">
        <f>I369+L369</f>
        <v>0</v>
      </c>
      <c r="N369" s="49">
        <f>M369-H369</f>
        <v>0</v>
      </c>
      <c r="O369" s="50" t="str">
        <f>IF(H369=0,"No plan at start",M369/H369)</f>
        <v>No plan at start</v>
      </c>
      <c r="P369" s="53"/>
      <c r="Q369" s="54"/>
      <c r="R369" s="55"/>
      <c r="S369" s="55"/>
    </row>
    <row r="370" spans="1:19" s="10" customFormat="1" hidden="1" outlineLevel="2" x14ac:dyDescent="0.2">
      <c r="A370" s="11"/>
      <c r="B370" s="49" t="s">
        <v>89</v>
      </c>
      <c r="C370" s="49" t="s">
        <v>55</v>
      </c>
      <c r="D370" s="49">
        <v>0</v>
      </c>
      <c r="E370" s="49">
        <v>0</v>
      </c>
      <c r="F370" s="49">
        <f>E370-D370</f>
        <v>0</v>
      </c>
      <c r="G370" s="50">
        <f>IF(D370=0,0,ABS(F370/D370))</f>
        <v>0</v>
      </c>
      <c r="H370" s="49">
        <v>0</v>
      </c>
      <c r="I370" s="49">
        <v>0</v>
      </c>
      <c r="J370" s="51" t="str">
        <f>IF(H370=0,"No plan at start",I370/H370)</f>
        <v>No plan at start</v>
      </c>
      <c r="K370" s="52">
        <f>H370-I370</f>
        <v>0</v>
      </c>
      <c r="L370" s="49">
        <v>0</v>
      </c>
      <c r="M370" s="49">
        <f>I370+L370</f>
        <v>0</v>
      </c>
      <c r="N370" s="49">
        <f>M370-H370</f>
        <v>0</v>
      </c>
      <c r="O370" s="50" t="str">
        <f>IF(H370=0,"No plan at start",M370/H370)</f>
        <v>No plan at start</v>
      </c>
      <c r="P370" s="53"/>
      <c r="Q370" s="54"/>
      <c r="R370" s="55"/>
      <c r="S370" s="55"/>
    </row>
    <row r="371" spans="1:19" s="10" customFormat="1" hidden="1" outlineLevel="2" x14ac:dyDescent="0.2">
      <c r="A371" s="11"/>
      <c r="B371" s="49" t="s">
        <v>89</v>
      </c>
      <c r="C371" s="49" t="s">
        <v>56</v>
      </c>
      <c r="D371" s="49">
        <v>0</v>
      </c>
      <c r="E371" s="49">
        <v>0</v>
      </c>
      <c r="F371" s="49">
        <f>E371-D371</f>
        <v>0</v>
      </c>
      <c r="G371" s="50">
        <f>IF(D371=0,0,ABS(F371/D371))</f>
        <v>0</v>
      </c>
      <c r="H371" s="49">
        <v>0</v>
      </c>
      <c r="I371" s="49">
        <v>0</v>
      </c>
      <c r="J371" s="51" t="str">
        <f>IF(H371=0,"No plan at start",I371/H371)</f>
        <v>No plan at start</v>
      </c>
      <c r="K371" s="52">
        <f>H371-I371</f>
        <v>0</v>
      </c>
      <c r="L371" s="49">
        <v>0</v>
      </c>
      <c r="M371" s="49">
        <f>I371+L371</f>
        <v>0</v>
      </c>
      <c r="N371" s="49">
        <f>M371-H371</f>
        <v>0</v>
      </c>
      <c r="O371" s="50" t="str">
        <f>IF(H371=0,"No plan at start",M371/H371)</f>
        <v>No plan at start</v>
      </c>
      <c r="P371" s="53"/>
      <c r="Q371" s="54"/>
      <c r="R371" s="55"/>
      <c r="S371" s="55"/>
    </row>
    <row r="372" spans="1:19" s="10" customFormat="1" hidden="1" outlineLevel="2" x14ac:dyDescent="0.2">
      <c r="A372" s="11"/>
      <c r="B372" s="49" t="s">
        <v>89</v>
      </c>
      <c r="C372" s="49" t="s">
        <v>57</v>
      </c>
      <c r="D372" s="49">
        <v>0</v>
      </c>
      <c r="E372" s="49">
        <v>0</v>
      </c>
      <c r="F372" s="49">
        <f>E372-D372</f>
        <v>0</v>
      </c>
      <c r="G372" s="50">
        <f>IF(D372=0,0,ABS(F372/D372))</f>
        <v>0</v>
      </c>
      <c r="H372" s="49">
        <v>0</v>
      </c>
      <c r="I372" s="49">
        <v>0</v>
      </c>
      <c r="J372" s="51" t="str">
        <f>IF(H372=0,"No plan at start",I372/H372)</f>
        <v>No plan at start</v>
      </c>
      <c r="K372" s="52">
        <f>H372-I372</f>
        <v>0</v>
      </c>
      <c r="L372" s="49">
        <v>0</v>
      </c>
      <c r="M372" s="49">
        <f>I372+L372</f>
        <v>0</v>
      </c>
      <c r="N372" s="49">
        <f>M372-H372</f>
        <v>0</v>
      </c>
      <c r="O372" s="50" t="str">
        <f>IF(H372=0,"No plan at start",M372/H372)</f>
        <v>No plan at start</v>
      </c>
      <c r="P372" s="53"/>
      <c r="Q372" s="54"/>
      <c r="R372" s="55"/>
      <c r="S372" s="55"/>
    </row>
    <row r="373" spans="1:19" s="10" customFormat="1" hidden="1" outlineLevel="2" x14ac:dyDescent="0.2">
      <c r="A373" s="11"/>
      <c r="B373" s="49" t="s">
        <v>89</v>
      </c>
      <c r="C373" s="49" t="s">
        <v>48</v>
      </c>
      <c r="D373" s="49">
        <v>0</v>
      </c>
      <c r="E373" s="49">
        <v>0</v>
      </c>
      <c r="F373" s="49">
        <f>E373-D373</f>
        <v>0</v>
      </c>
      <c r="G373" s="50">
        <f>IF(D373=0,0,ABS(F373/D373))</f>
        <v>0</v>
      </c>
      <c r="H373" s="49">
        <v>0</v>
      </c>
      <c r="I373" s="49">
        <v>0</v>
      </c>
      <c r="J373" s="51" t="str">
        <f>IF(H373=0,"No plan at start",I373/H373)</f>
        <v>No plan at start</v>
      </c>
      <c r="K373" s="52">
        <f>H373-I373</f>
        <v>0</v>
      </c>
      <c r="L373" s="49">
        <v>0</v>
      </c>
      <c r="M373" s="49">
        <f>I373+L373</f>
        <v>0</v>
      </c>
      <c r="N373" s="49">
        <f>M373-H373</f>
        <v>0</v>
      </c>
      <c r="O373" s="50" t="str">
        <f>IF(H373=0,"No plan at start",M373/H373)</f>
        <v>No plan at start</v>
      </c>
      <c r="P373" s="53"/>
      <c r="Q373" s="54"/>
      <c r="R373" s="55"/>
      <c r="S373" s="55"/>
    </row>
    <row r="374" spans="1:19" s="10" customFormat="1" hidden="1" outlineLevel="2" x14ac:dyDescent="0.2">
      <c r="A374" s="11"/>
      <c r="B374" s="49" t="s">
        <v>89</v>
      </c>
      <c r="C374" s="49" t="s">
        <v>58</v>
      </c>
      <c r="D374" s="49">
        <v>0</v>
      </c>
      <c r="E374" s="49">
        <v>0</v>
      </c>
      <c r="F374" s="49">
        <f>E374-D374</f>
        <v>0</v>
      </c>
      <c r="G374" s="50">
        <f>IF(D374=0,0,ABS(F374/D374))</f>
        <v>0</v>
      </c>
      <c r="H374" s="49">
        <v>0</v>
      </c>
      <c r="I374" s="49">
        <v>0</v>
      </c>
      <c r="J374" s="51" t="str">
        <f>IF(H374=0,"No plan at start",I374/H374)</f>
        <v>No plan at start</v>
      </c>
      <c r="K374" s="52">
        <f>H374-I374</f>
        <v>0</v>
      </c>
      <c r="L374" s="49">
        <v>0</v>
      </c>
      <c r="M374" s="49">
        <f>I374+L374</f>
        <v>0</v>
      </c>
      <c r="N374" s="49">
        <f>M374-H374</f>
        <v>0</v>
      </c>
      <c r="O374" s="50" t="str">
        <f>IF(H374=0,"No plan at start",M374/H374)</f>
        <v>No plan at start</v>
      </c>
      <c r="P374" s="53"/>
      <c r="Q374" s="54"/>
      <c r="R374" s="55"/>
      <c r="S374" s="55"/>
    </row>
    <row r="375" spans="1:19" s="10" customFormat="1" hidden="1" outlineLevel="2" x14ac:dyDescent="0.2">
      <c r="A375" s="11"/>
      <c r="B375" s="49" t="s">
        <v>89</v>
      </c>
      <c r="C375" s="49" t="s">
        <v>59</v>
      </c>
      <c r="D375" s="49">
        <v>0</v>
      </c>
      <c r="E375" s="49">
        <v>0</v>
      </c>
      <c r="F375" s="49">
        <f>E375-D375</f>
        <v>0</v>
      </c>
      <c r="G375" s="50">
        <f>IF(D375=0,0,ABS(F375/D375))</f>
        <v>0</v>
      </c>
      <c r="H375" s="49">
        <v>0</v>
      </c>
      <c r="I375" s="49">
        <v>0</v>
      </c>
      <c r="J375" s="51" t="str">
        <f>IF(H375=0,"No plan at start",I375/H375)</f>
        <v>No plan at start</v>
      </c>
      <c r="K375" s="52">
        <f>H375-I375</f>
        <v>0</v>
      </c>
      <c r="L375" s="49">
        <v>0</v>
      </c>
      <c r="M375" s="49">
        <f>I375+L375</f>
        <v>0</v>
      </c>
      <c r="N375" s="49">
        <f>M375-H375</f>
        <v>0</v>
      </c>
      <c r="O375" s="50" t="str">
        <f>IF(H375=0,"No plan at start",M375/H375)</f>
        <v>No plan at start</v>
      </c>
      <c r="P375" s="53"/>
      <c r="Q375" s="54"/>
      <c r="R375" s="55"/>
      <c r="S375" s="55"/>
    </row>
    <row r="376" spans="1:19" s="10" customFormat="1" hidden="1" outlineLevel="2" x14ac:dyDescent="0.2">
      <c r="A376" s="11"/>
      <c r="B376" s="49" t="s">
        <v>89</v>
      </c>
      <c r="C376" s="49" t="s">
        <v>60</v>
      </c>
      <c r="D376" s="49">
        <v>0</v>
      </c>
      <c r="E376" s="49">
        <v>0</v>
      </c>
      <c r="F376" s="49">
        <f>E376-D376</f>
        <v>0</v>
      </c>
      <c r="G376" s="50">
        <f>IF(D376=0,0,ABS(F376/D376))</f>
        <v>0</v>
      </c>
      <c r="H376" s="49">
        <v>0</v>
      </c>
      <c r="I376" s="49">
        <v>0</v>
      </c>
      <c r="J376" s="51" t="str">
        <f>IF(H376=0,"No plan at start",I376/H376)</f>
        <v>No plan at start</v>
      </c>
      <c r="K376" s="52">
        <f>H376-I376</f>
        <v>0</v>
      </c>
      <c r="L376" s="49">
        <v>0</v>
      </c>
      <c r="M376" s="49">
        <f>I376+L376</f>
        <v>0</v>
      </c>
      <c r="N376" s="49">
        <f>M376-H376</f>
        <v>0</v>
      </c>
      <c r="O376" s="50" t="str">
        <f>IF(H376=0,"No plan at start",M376/H376)</f>
        <v>No plan at start</v>
      </c>
      <c r="P376" s="53"/>
      <c r="Q376" s="54"/>
      <c r="R376" s="55"/>
      <c r="S376" s="55"/>
    </row>
    <row r="377" spans="1:19" s="10" customFormat="1" hidden="1" outlineLevel="2" x14ac:dyDescent="0.2">
      <c r="A377" s="11"/>
      <c r="B377" s="49" t="s">
        <v>89</v>
      </c>
      <c r="C377" s="49" t="s">
        <v>61</v>
      </c>
      <c r="D377" s="49">
        <v>0</v>
      </c>
      <c r="E377" s="49">
        <v>0</v>
      </c>
      <c r="F377" s="49">
        <f>E377-D377</f>
        <v>0</v>
      </c>
      <c r="G377" s="50">
        <f>IF(D377=0,0,ABS(F377/D377))</f>
        <v>0</v>
      </c>
      <c r="H377" s="49">
        <v>0</v>
      </c>
      <c r="I377" s="49">
        <v>0</v>
      </c>
      <c r="J377" s="51" t="str">
        <f>IF(H377=0,"No plan at start",I377/H377)</f>
        <v>No plan at start</v>
      </c>
      <c r="K377" s="52">
        <f>H377-I377</f>
        <v>0</v>
      </c>
      <c r="L377" s="49">
        <v>0</v>
      </c>
      <c r="M377" s="49">
        <f>I377+L377</f>
        <v>0</v>
      </c>
      <c r="N377" s="49">
        <f>M377-H377</f>
        <v>0</v>
      </c>
      <c r="O377" s="50" t="str">
        <f>IF(H377=0,"No plan at start",M377/H377)</f>
        <v>No plan at start</v>
      </c>
      <c r="P377" s="53"/>
      <c r="Q377" s="54"/>
      <c r="R377" s="55"/>
      <c r="S377" s="55"/>
    </row>
    <row r="378" spans="1:19" s="10" customFormat="1" hidden="1" outlineLevel="2" x14ac:dyDescent="0.2">
      <c r="A378" s="11"/>
      <c r="B378" s="49" t="s">
        <v>89</v>
      </c>
      <c r="C378" s="49" t="s">
        <v>62</v>
      </c>
      <c r="D378" s="49">
        <v>0</v>
      </c>
      <c r="E378" s="49">
        <v>0</v>
      </c>
      <c r="F378" s="49">
        <f>E378-D378</f>
        <v>0</v>
      </c>
      <c r="G378" s="50">
        <f>IF(D378=0,0,ABS(F378/D378))</f>
        <v>0</v>
      </c>
      <c r="H378" s="49">
        <v>0</v>
      </c>
      <c r="I378" s="49">
        <v>0</v>
      </c>
      <c r="J378" s="51" t="str">
        <f>IF(H378=0,"No plan at start",I378/H378)</f>
        <v>No plan at start</v>
      </c>
      <c r="K378" s="52">
        <f>H378-I378</f>
        <v>0</v>
      </c>
      <c r="L378" s="49">
        <v>0</v>
      </c>
      <c r="M378" s="49">
        <f>I378+L378</f>
        <v>0</v>
      </c>
      <c r="N378" s="49">
        <f>M378-H378</f>
        <v>0</v>
      </c>
      <c r="O378" s="50" t="str">
        <f>IF(H378=0,"No plan at start",M378/H378)</f>
        <v>No plan at start</v>
      </c>
      <c r="P378" s="53"/>
      <c r="Q378" s="54"/>
      <c r="R378" s="55"/>
      <c r="S378" s="55"/>
    </row>
    <row r="379" spans="1:19" s="10" customFormat="1" outlineLevel="1" collapsed="1" x14ac:dyDescent="0.2">
      <c r="A379" s="11"/>
      <c r="B379" s="56" t="s">
        <v>128</v>
      </c>
      <c r="C379" s="49"/>
      <c r="D379" s="49">
        <f>SUBTOTAL(9,D367:D378)</f>
        <v>0</v>
      </c>
      <c r="E379" s="49">
        <f>SUBTOTAL(9,E367:E378)</f>
        <v>0</v>
      </c>
      <c r="F379" s="49">
        <f>SUBTOTAL(9,F367:F378)</f>
        <v>0</v>
      </c>
      <c r="G379" s="50">
        <f>IF(D379=0,0,ABS(F379/D379))</f>
        <v>0</v>
      </c>
      <c r="H379" s="49">
        <f>SUBTOTAL(9,H367:H378)</f>
        <v>0</v>
      </c>
      <c r="I379" s="49">
        <f>SUBTOTAL(9,I367:I378)</f>
        <v>0</v>
      </c>
      <c r="J379" s="51" t="str">
        <f>IF(H379=0,"No plan at start",I379/H379)</f>
        <v>No plan at start</v>
      </c>
      <c r="K379" s="52">
        <f>SUBTOTAL(9,K367:K378)</f>
        <v>0</v>
      </c>
      <c r="L379" s="49">
        <f>SUBTOTAL(9,L367:L378)</f>
        <v>0</v>
      </c>
      <c r="M379" s="49">
        <f>SUBTOTAL(9,M367:M378)</f>
        <v>0</v>
      </c>
      <c r="N379" s="49">
        <f>SUBTOTAL(9,N367:N378)</f>
        <v>0</v>
      </c>
      <c r="O379" s="50" t="str">
        <f>IF(H379=0,"No plan at start",M379/H379)</f>
        <v>No plan at start</v>
      </c>
      <c r="P379" s="53"/>
      <c r="Q379" s="54"/>
      <c r="R379" s="55"/>
      <c r="S379" s="55"/>
    </row>
    <row r="380" spans="1:19" s="10" customFormat="1" hidden="1" outlineLevel="2" x14ac:dyDescent="0.2">
      <c r="A380" s="11"/>
      <c r="B380" s="49" t="s">
        <v>90</v>
      </c>
      <c r="C380" s="49" t="s">
        <v>52</v>
      </c>
      <c r="D380" s="49">
        <v>0</v>
      </c>
      <c r="E380" s="49">
        <v>0</v>
      </c>
      <c r="F380" s="49">
        <f>E380-D380</f>
        <v>0</v>
      </c>
      <c r="G380" s="50">
        <f>IF(D380=0,0,ABS(F380/D380))</f>
        <v>0</v>
      </c>
      <c r="H380" s="49">
        <v>0</v>
      </c>
      <c r="I380" s="49">
        <v>42</v>
      </c>
      <c r="J380" s="51" t="str">
        <f>IF(H380=0,"No plan at start",I380/H380)</f>
        <v>No plan at start</v>
      </c>
      <c r="K380" s="52">
        <f>H380-I380</f>
        <v>-42</v>
      </c>
      <c r="L380" s="49">
        <v>0</v>
      </c>
      <c r="M380" s="49">
        <f>I380+L380</f>
        <v>42</v>
      </c>
      <c r="N380" s="49">
        <f>M380-H380</f>
        <v>42</v>
      </c>
      <c r="O380" s="50" t="str">
        <f>IF(H380=0,"No plan at start",M380/H380)</f>
        <v>No plan at start</v>
      </c>
      <c r="P380" s="53"/>
      <c r="Q380" s="54"/>
      <c r="R380" s="55"/>
      <c r="S380" s="55"/>
    </row>
    <row r="381" spans="1:19" s="10" customFormat="1" hidden="1" outlineLevel="2" x14ac:dyDescent="0.2">
      <c r="A381" s="11"/>
      <c r="B381" s="49" t="s">
        <v>90</v>
      </c>
      <c r="C381" s="49" t="s">
        <v>53</v>
      </c>
      <c r="D381" s="49">
        <v>16</v>
      </c>
      <c r="E381" s="49">
        <v>0</v>
      </c>
      <c r="F381" s="49">
        <f>E381-D381</f>
        <v>-16</v>
      </c>
      <c r="G381" s="50">
        <f>IF(D381=0,0,ABS(F381/D381))</f>
        <v>1</v>
      </c>
      <c r="H381" s="49">
        <v>307.2</v>
      </c>
      <c r="I381" s="49">
        <v>0</v>
      </c>
      <c r="J381" s="51">
        <f>IF(H381=0,"No plan at start",I381/H381)</f>
        <v>0</v>
      </c>
      <c r="K381" s="52">
        <f>H381-I381</f>
        <v>307.2</v>
      </c>
      <c r="L381" s="49">
        <v>0</v>
      </c>
      <c r="M381" s="49">
        <f>I381+L381</f>
        <v>0</v>
      </c>
      <c r="N381" s="49">
        <f>M381-H381</f>
        <v>-307.2</v>
      </c>
      <c r="O381" s="50">
        <f>IF(H381=0,"No plan at start",M381/H381)</f>
        <v>0</v>
      </c>
      <c r="P381" s="53"/>
      <c r="Q381" s="54"/>
      <c r="R381" s="55"/>
      <c r="S381" s="55"/>
    </row>
    <row r="382" spans="1:19" s="10" customFormat="1" hidden="1" outlineLevel="2" x14ac:dyDescent="0.2">
      <c r="A382" s="11"/>
      <c r="B382" s="49" t="s">
        <v>90</v>
      </c>
      <c r="C382" s="49" t="s">
        <v>54</v>
      </c>
      <c r="D382" s="49">
        <v>0</v>
      </c>
      <c r="E382" s="49">
        <v>0</v>
      </c>
      <c r="F382" s="49">
        <f>E382-D382</f>
        <v>0</v>
      </c>
      <c r="G382" s="50">
        <f>IF(D382=0,0,ABS(F382/D382))</f>
        <v>0</v>
      </c>
      <c r="H382" s="49">
        <v>0</v>
      </c>
      <c r="I382" s="49">
        <v>0</v>
      </c>
      <c r="J382" s="51" t="str">
        <f>IF(H382=0,"No plan at start",I382/H382)</f>
        <v>No plan at start</v>
      </c>
      <c r="K382" s="52">
        <f>H382-I382</f>
        <v>0</v>
      </c>
      <c r="L382" s="49">
        <v>0</v>
      </c>
      <c r="M382" s="49">
        <f>I382+L382</f>
        <v>0</v>
      </c>
      <c r="N382" s="49">
        <f>M382-H382</f>
        <v>0</v>
      </c>
      <c r="O382" s="50" t="str">
        <f>IF(H382=0,"No plan at start",M382/H382)</f>
        <v>No plan at start</v>
      </c>
      <c r="P382" s="53"/>
      <c r="Q382" s="54"/>
      <c r="R382" s="55"/>
      <c r="S382" s="55"/>
    </row>
    <row r="383" spans="1:19" s="10" customFormat="1" hidden="1" outlineLevel="2" x14ac:dyDescent="0.2">
      <c r="A383" s="11"/>
      <c r="B383" s="49" t="s">
        <v>90</v>
      </c>
      <c r="C383" s="49" t="s">
        <v>55</v>
      </c>
      <c r="D383" s="49">
        <v>0</v>
      </c>
      <c r="E383" s="49">
        <v>0</v>
      </c>
      <c r="F383" s="49">
        <f>E383-D383</f>
        <v>0</v>
      </c>
      <c r="G383" s="50">
        <f>IF(D383=0,0,ABS(F383/D383))</f>
        <v>0</v>
      </c>
      <c r="H383" s="49">
        <v>0</v>
      </c>
      <c r="I383" s="49">
        <v>149.5</v>
      </c>
      <c r="J383" s="51" t="str">
        <f>IF(H383=0,"No plan at start",I383/H383)</f>
        <v>No plan at start</v>
      </c>
      <c r="K383" s="52">
        <f>H383-I383</f>
        <v>-149.5</v>
      </c>
      <c r="L383" s="49">
        <v>0</v>
      </c>
      <c r="M383" s="49">
        <f>I383+L383</f>
        <v>149.5</v>
      </c>
      <c r="N383" s="49">
        <f>M383-H383</f>
        <v>149.5</v>
      </c>
      <c r="O383" s="50" t="str">
        <f>IF(H383=0,"No plan at start",M383/H383)</f>
        <v>No plan at start</v>
      </c>
      <c r="P383" s="53"/>
      <c r="Q383" s="54"/>
      <c r="R383" s="55"/>
      <c r="S383" s="55"/>
    </row>
    <row r="384" spans="1:19" s="10" customFormat="1" hidden="1" outlineLevel="2" x14ac:dyDescent="0.2">
      <c r="A384" s="11"/>
      <c r="B384" s="49" t="s">
        <v>90</v>
      </c>
      <c r="C384" s="49" t="s">
        <v>56</v>
      </c>
      <c r="D384" s="49">
        <v>0</v>
      </c>
      <c r="E384" s="49">
        <v>0</v>
      </c>
      <c r="F384" s="49">
        <f>E384-D384</f>
        <v>0</v>
      </c>
      <c r="G384" s="50">
        <f>IF(D384=0,0,ABS(F384/D384))</f>
        <v>0</v>
      </c>
      <c r="H384" s="49">
        <v>0</v>
      </c>
      <c r="I384" s="49">
        <v>217.75</v>
      </c>
      <c r="J384" s="51" t="str">
        <f>IF(H384=0,"No plan at start",I384/H384)</f>
        <v>No plan at start</v>
      </c>
      <c r="K384" s="52">
        <f>H384-I384</f>
        <v>-217.75</v>
      </c>
      <c r="L384" s="49">
        <v>0</v>
      </c>
      <c r="M384" s="49">
        <f>I384+L384</f>
        <v>217.75</v>
      </c>
      <c r="N384" s="49">
        <f>M384-H384</f>
        <v>217.75</v>
      </c>
      <c r="O384" s="50" t="str">
        <f>IF(H384=0,"No plan at start",M384/H384)</f>
        <v>No plan at start</v>
      </c>
      <c r="P384" s="53"/>
      <c r="Q384" s="54"/>
      <c r="R384" s="55"/>
      <c r="S384" s="55"/>
    </row>
    <row r="385" spans="1:19" s="10" customFormat="1" hidden="1" outlineLevel="2" x14ac:dyDescent="0.2">
      <c r="A385" s="11"/>
      <c r="B385" s="49" t="s">
        <v>90</v>
      </c>
      <c r="C385" s="49" t="s">
        <v>57</v>
      </c>
      <c r="D385" s="49">
        <v>0</v>
      </c>
      <c r="E385" s="49">
        <v>0</v>
      </c>
      <c r="F385" s="49">
        <f>E385-D385</f>
        <v>0</v>
      </c>
      <c r="G385" s="50">
        <f>IF(D385=0,0,ABS(F385/D385))</f>
        <v>0</v>
      </c>
      <c r="H385" s="49">
        <v>0</v>
      </c>
      <c r="I385" s="49">
        <v>0</v>
      </c>
      <c r="J385" s="51" t="str">
        <f>IF(H385=0,"No plan at start",I385/H385)</f>
        <v>No plan at start</v>
      </c>
      <c r="K385" s="52">
        <f>H385-I385</f>
        <v>0</v>
      </c>
      <c r="L385" s="49">
        <v>0</v>
      </c>
      <c r="M385" s="49">
        <f>I385+L385</f>
        <v>0</v>
      </c>
      <c r="N385" s="49">
        <f>M385-H385</f>
        <v>0</v>
      </c>
      <c r="O385" s="50" t="str">
        <f>IF(H385=0,"No plan at start",M385/H385)</f>
        <v>No plan at start</v>
      </c>
      <c r="P385" s="53"/>
      <c r="Q385" s="54"/>
      <c r="R385" s="55"/>
      <c r="S385" s="55"/>
    </row>
    <row r="386" spans="1:19" s="10" customFormat="1" hidden="1" outlineLevel="2" x14ac:dyDescent="0.2">
      <c r="A386" s="11"/>
      <c r="B386" s="49" t="s">
        <v>90</v>
      </c>
      <c r="C386" s="49" t="s">
        <v>48</v>
      </c>
      <c r="D386" s="49">
        <v>0</v>
      </c>
      <c r="E386" s="49">
        <v>0</v>
      </c>
      <c r="F386" s="49">
        <f>E386-D386</f>
        <v>0</v>
      </c>
      <c r="G386" s="50">
        <f>IF(D386=0,0,ABS(F386/D386))</f>
        <v>0</v>
      </c>
      <c r="H386" s="49">
        <v>0</v>
      </c>
      <c r="I386" s="49">
        <v>0</v>
      </c>
      <c r="J386" s="51" t="str">
        <f>IF(H386=0,"No plan at start",I386/H386)</f>
        <v>No plan at start</v>
      </c>
      <c r="K386" s="52">
        <f>H386-I386</f>
        <v>0</v>
      </c>
      <c r="L386" s="49">
        <v>0</v>
      </c>
      <c r="M386" s="49">
        <f>I386+L386</f>
        <v>0</v>
      </c>
      <c r="N386" s="49">
        <f>M386-H386</f>
        <v>0</v>
      </c>
      <c r="O386" s="50" t="str">
        <f>IF(H386=0,"No plan at start",M386/H386)</f>
        <v>No plan at start</v>
      </c>
      <c r="P386" s="53"/>
      <c r="Q386" s="54"/>
      <c r="R386" s="55"/>
      <c r="S386" s="55"/>
    </row>
    <row r="387" spans="1:19" s="10" customFormat="1" hidden="1" outlineLevel="2" x14ac:dyDescent="0.2">
      <c r="A387" s="11"/>
      <c r="B387" s="49" t="s">
        <v>90</v>
      </c>
      <c r="C387" s="49" t="s">
        <v>58</v>
      </c>
      <c r="D387" s="49">
        <v>0</v>
      </c>
      <c r="E387" s="49">
        <v>0</v>
      </c>
      <c r="F387" s="49">
        <f>E387-D387</f>
        <v>0</v>
      </c>
      <c r="G387" s="50">
        <f>IF(D387=0,0,ABS(F387/D387))</f>
        <v>0</v>
      </c>
      <c r="H387" s="49">
        <v>0</v>
      </c>
      <c r="I387" s="49">
        <v>0</v>
      </c>
      <c r="J387" s="51" t="str">
        <f>IF(H387=0,"No plan at start",I387/H387)</f>
        <v>No plan at start</v>
      </c>
      <c r="K387" s="52">
        <f>H387-I387</f>
        <v>0</v>
      </c>
      <c r="L387" s="49">
        <v>0</v>
      </c>
      <c r="M387" s="49">
        <f>I387+L387</f>
        <v>0</v>
      </c>
      <c r="N387" s="49">
        <f>M387-H387</f>
        <v>0</v>
      </c>
      <c r="O387" s="50" t="str">
        <f>IF(H387=0,"No plan at start",M387/H387)</f>
        <v>No plan at start</v>
      </c>
      <c r="P387" s="53"/>
      <c r="Q387" s="54"/>
      <c r="R387" s="55"/>
      <c r="S387" s="55"/>
    </row>
    <row r="388" spans="1:19" s="10" customFormat="1" hidden="1" outlineLevel="2" x14ac:dyDescent="0.2">
      <c r="A388" s="11"/>
      <c r="B388" s="49" t="s">
        <v>90</v>
      </c>
      <c r="C388" s="49" t="s">
        <v>59</v>
      </c>
      <c r="D388" s="49">
        <v>0</v>
      </c>
      <c r="E388" s="49">
        <v>0</v>
      </c>
      <c r="F388" s="49">
        <f>E388-D388</f>
        <v>0</v>
      </c>
      <c r="G388" s="50">
        <f>IF(D388=0,0,ABS(F388/D388))</f>
        <v>0</v>
      </c>
      <c r="H388" s="49">
        <v>0</v>
      </c>
      <c r="I388" s="49">
        <v>0</v>
      </c>
      <c r="J388" s="51" t="str">
        <f>IF(H388=0,"No plan at start",I388/H388)</f>
        <v>No plan at start</v>
      </c>
      <c r="K388" s="52">
        <f>H388-I388</f>
        <v>0</v>
      </c>
      <c r="L388" s="49">
        <v>0</v>
      </c>
      <c r="M388" s="49">
        <f>I388+L388</f>
        <v>0</v>
      </c>
      <c r="N388" s="49">
        <f>M388-H388</f>
        <v>0</v>
      </c>
      <c r="O388" s="50" t="str">
        <f>IF(H388=0,"No plan at start",M388/H388)</f>
        <v>No plan at start</v>
      </c>
      <c r="P388" s="53"/>
      <c r="Q388" s="54"/>
      <c r="R388" s="55"/>
      <c r="S388" s="55"/>
    </row>
    <row r="389" spans="1:19" s="10" customFormat="1" hidden="1" outlineLevel="2" x14ac:dyDescent="0.2">
      <c r="A389" s="11"/>
      <c r="B389" s="49" t="s">
        <v>90</v>
      </c>
      <c r="C389" s="49" t="s">
        <v>60</v>
      </c>
      <c r="D389" s="49">
        <v>0</v>
      </c>
      <c r="E389" s="49">
        <v>0</v>
      </c>
      <c r="F389" s="49">
        <f>E389-D389</f>
        <v>0</v>
      </c>
      <c r="G389" s="50">
        <f>IF(D389=0,0,ABS(F389/D389))</f>
        <v>0</v>
      </c>
      <c r="H389" s="49">
        <v>0</v>
      </c>
      <c r="I389" s="49">
        <v>0</v>
      </c>
      <c r="J389" s="51" t="str">
        <f>IF(H389=0,"No plan at start",I389/H389)</f>
        <v>No plan at start</v>
      </c>
      <c r="K389" s="52">
        <f>H389-I389</f>
        <v>0</v>
      </c>
      <c r="L389" s="49">
        <v>0</v>
      </c>
      <c r="M389" s="49">
        <f>I389+L389</f>
        <v>0</v>
      </c>
      <c r="N389" s="49">
        <f>M389-H389</f>
        <v>0</v>
      </c>
      <c r="O389" s="50" t="str">
        <f>IF(H389=0,"No plan at start",M389/H389)</f>
        <v>No plan at start</v>
      </c>
      <c r="P389" s="53"/>
      <c r="Q389" s="54"/>
      <c r="R389" s="55"/>
      <c r="S389" s="55"/>
    </row>
    <row r="390" spans="1:19" s="10" customFormat="1" hidden="1" outlineLevel="2" x14ac:dyDescent="0.2">
      <c r="A390" s="11"/>
      <c r="B390" s="49" t="s">
        <v>90</v>
      </c>
      <c r="C390" s="49" t="s">
        <v>61</v>
      </c>
      <c r="D390" s="49">
        <v>0</v>
      </c>
      <c r="E390" s="49">
        <v>0</v>
      </c>
      <c r="F390" s="49">
        <f>E390-D390</f>
        <v>0</v>
      </c>
      <c r="G390" s="50">
        <f>IF(D390=0,0,ABS(F390/D390))</f>
        <v>0</v>
      </c>
      <c r="H390" s="49">
        <v>0</v>
      </c>
      <c r="I390" s="49">
        <v>0</v>
      </c>
      <c r="J390" s="51" t="str">
        <f>IF(H390=0,"No plan at start",I390/H390)</f>
        <v>No plan at start</v>
      </c>
      <c r="K390" s="52">
        <f>H390-I390</f>
        <v>0</v>
      </c>
      <c r="L390" s="49">
        <v>0</v>
      </c>
      <c r="M390" s="49">
        <f>I390+L390</f>
        <v>0</v>
      </c>
      <c r="N390" s="49">
        <f>M390-H390</f>
        <v>0</v>
      </c>
      <c r="O390" s="50" t="str">
        <f>IF(H390=0,"No plan at start",M390/H390)</f>
        <v>No plan at start</v>
      </c>
      <c r="P390" s="53"/>
      <c r="Q390" s="54"/>
      <c r="R390" s="55"/>
      <c r="S390" s="55"/>
    </row>
    <row r="391" spans="1:19" s="10" customFormat="1" hidden="1" outlineLevel="2" x14ac:dyDescent="0.2">
      <c r="A391" s="11"/>
      <c r="B391" s="49" t="s">
        <v>90</v>
      </c>
      <c r="C391" s="49" t="s">
        <v>62</v>
      </c>
      <c r="D391" s="49">
        <v>0</v>
      </c>
      <c r="E391" s="49">
        <v>0</v>
      </c>
      <c r="F391" s="49">
        <f>E391-D391</f>
        <v>0</v>
      </c>
      <c r="G391" s="50">
        <f>IF(D391=0,0,ABS(F391/D391))</f>
        <v>0</v>
      </c>
      <c r="H391" s="49">
        <v>0</v>
      </c>
      <c r="I391" s="49">
        <v>0</v>
      </c>
      <c r="J391" s="51" t="str">
        <f>IF(H391=0,"No plan at start",I391/H391)</f>
        <v>No plan at start</v>
      </c>
      <c r="K391" s="52">
        <f>H391-I391</f>
        <v>0</v>
      </c>
      <c r="L391" s="49">
        <v>0</v>
      </c>
      <c r="M391" s="49">
        <f>I391+L391</f>
        <v>0</v>
      </c>
      <c r="N391" s="49">
        <f>M391-H391</f>
        <v>0</v>
      </c>
      <c r="O391" s="50" t="str">
        <f>IF(H391=0,"No plan at start",M391/H391)</f>
        <v>No plan at start</v>
      </c>
      <c r="P391" s="53"/>
      <c r="Q391" s="54"/>
      <c r="R391" s="55"/>
      <c r="S391" s="55"/>
    </row>
    <row r="392" spans="1:19" s="10" customFormat="1" outlineLevel="1" collapsed="1" x14ac:dyDescent="0.2">
      <c r="A392" s="11"/>
      <c r="B392" s="56" t="s">
        <v>129</v>
      </c>
      <c r="C392" s="49"/>
      <c r="D392" s="49">
        <f>SUBTOTAL(9,D380:D391)</f>
        <v>16</v>
      </c>
      <c r="E392" s="49">
        <f>SUBTOTAL(9,E380:E391)</f>
        <v>0</v>
      </c>
      <c r="F392" s="49">
        <f>SUBTOTAL(9,F380:F391)</f>
        <v>-16</v>
      </c>
      <c r="G392" s="50">
        <f>IF(D392=0,0,ABS(F392/D392))</f>
        <v>1</v>
      </c>
      <c r="H392" s="49">
        <f>SUBTOTAL(9,H380:H391)</f>
        <v>307.2</v>
      </c>
      <c r="I392" s="49">
        <f>SUBTOTAL(9,I380:I391)</f>
        <v>409.25</v>
      </c>
      <c r="J392" s="51">
        <f>IF(H392=0,"No plan at start",I392/H392)</f>
        <v>1.3321940104166667</v>
      </c>
      <c r="K392" s="52">
        <f>SUBTOTAL(9,K380:K391)</f>
        <v>-102.05000000000001</v>
      </c>
      <c r="L392" s="49">
        <f>SUBTOTAL(9,L380:L391)</f>
        <v>0</v>
      </c>
      <c r="M392" s="49">
        <f>SUBTOTAL(9,M380:M391)</f>
        <v>409.25</v>
      </c>
      <c r="N392" s="49">
        <f>SUBTOTAL(9,N380:N391)</f>
        <v>102.05000000000001</v>
      </c>
      <c r="O392" s="50">
        <f>IF(H392=0,"No plan at start",M392/H392)</f>
        <v>1.3321940104166667</v>
      </c>
      <c r="P392" s="53"/>
      <c r="Q392" s="54"/>
      <c r="R392" s="55"/>
      <c r="S392" s="55"/>
    </row>
    <row r="393" spans="1:19" s="10" customFormat="1" hidden="1" outlineLevel="2" x14ac:dyDescent="0.2">
      <c r="A393" s="11"/>
      <c r="B393" s="49" t="s">
        <v>91</v>
      </c>
      <c r="C393" s="49" t="s">
        <v>52</v>
      </c>
      <c r="D393" s="49">
        <v>0</v>
      </c>
      <c r="E393" s="49">
        <v>0</v>
      </c>
      <c r="F393" s="49">
        <f>E393-D393</f>
        <v>0</v>
      </c>
      <c r="G393" s="50">
        <f>IF(D393=0,0,ABS(F393/D393))</f>
        <v>0</v>
      </c>
      <c r="H393" s="49">
        <v>0</v>
      </c>
      <c r="I393" s="49">
        <v>0</v>
      </c>
      <c r="J393" s="51" t="str">
        <f>IF(H393=0,"No plan at start",I393/H393)</f>
        <v>No plan at start</v>
      </c>
      <c r="K393" s="52">
        <f>H393-I393</f>
        <v>0</v>
      </c>
      <c r="L393" s="49">
        <v>0</v>
      </c>
      <c r="M393" s="49">
        <f>I393+L393</f>
        <v>0</v>
      </c>
      <c r="N393" s="49">
        <f>M393-H393</f>
        <v>0</v>
      </c>
      <c r="O393" s="50" t="str">
        <f>IF(H393=0,"No plan at start",M393/H393)</f>
        <v>No plan at start</v>
      </c>
      <c r="P393" s="53"/>
      <c r="Q393" s="54"/>
      <c r="R393" s="55"/>
      <c r="S393" s="55"/>
    </row>
    <row r="394" spans="1:19" s="10" customFormat="1" hidden="1" outlineLevel="2" x14ac:dyDescent="0.2">
      <c r="A394" s="11"/>
      <c r="B394" s="49" t="s">
        <v>91</v>
      </c>
      <c r="C394" s="49" t="s">
        <v>53</v>
      </c>
      <c r="D394" s="49">
        <v>0</v>
      </c>
      <c r="E394" s="49">
        <v>0</v>
      </c>
      <c r="F394" s="49">
        <f>E394-D394</f>
        <v>0</v>
      </c>
      <c r="G394" s="50">
        <f>IF(D394=0,0,ABS(F394/D394))</f>
        <v>0</v>
      </c>
      <c r="H394" s="49">
        <v>0</v>
      </c>
      <c r="I394" s="49">
        <v>0</v>
      </c>
      <c r="J394" s="51" t="str">
        <f>IF(H394=0,"No plan at start",I394/H394)</f>
        <v>No plan at start</v>
      </c>
      <c r="K394" s="52">
        <f>H394-I394</f>
        <v>0</v>
      </c>
      <c r="L394" s="49">
        <v>0</v>
      </c>
      <c r="M394" s="49">
        <f>I394+L394</f>
        <v>0</v>
      </c>
      <c r="N394" s="49">
        <f>M394-H394</f>
        <v>0</v>
      </c>
      <c r="O394" s="50" t="str">
        <f>IF(H394=0,"No plan at start",M394/H394)</f>
        <v>No plan at start</v>
      </c>
      <c r="P394" s="53"/>
      <c r="Q394" s="54"/>
      <c r="R394" s="55"/>
      <c r="S394" s="55"/>
    </row>
    <row r="395" spans="1:19" s="10" customFormat="1" hidden="1" outlineLevel="2" x14ac:dyDescent="0.2">
      <c r="A395" s="11"/>
      <c r="B395" s="49" t="s">
        <v>91</v>
      </c>
      <c r="C395" s="49" t="s">
        <v>54</v>
      </c>
      <c r="D395" s="49">
        <v>0</v>
      </c>
      <c r="E395" s="49">
        <v>0</v>
      </c>
      <c r="F395" s="49">
        <f>E395-D395</f>
        <v>0</v>
      </c>
      <c r="G395" s="50">
        <f>IF(D395=0,0,ABS(F395/D395))</f>
        <v>0</v>
      </c>
      <c r="H395" s="49">
        <v>0</v>
      </c>
      <c r="I395" s="49">
        <v>0</v>
      </c>
      <c r="J395" s="51" t="str">
        <f>IF(H395=0,"No plan at start",I395/H395)</f>
        <v>No plan at start</v>
      </c>
      <c r="K395" s="52">
        <f>H395-I395</f>
        <v>0</v>
      </c>
      <c r="L395" s="49">
        <v>0</v>
      </c>
      <c r="M395" s="49">
        <f>I395+L395</f>
        <v>0</v>
      </c>
      <c r="N395" s="49">
        <f>M395-H395</f>
        <v>0</v>
      </c>
      <c r="O395" s="50" t="str">
        <f>IF(H395=0,"No plan at start",M395/H395)</f>
        <v>No plan at start</v>
      </c>
      <c r="P395" s="53"/>
      <c r="Q395" s="54"/>
      <c r="R395" s="55"/>
      <c r="S395" s="55"/>
    </row>
    <row r="396" spans="1:19" s="10" customFormat="1" hidden="1" outlineLevel="2" x14ac:dyDescent="0.2">
      <c r="A396" s="11"/>
      <c r="B396" s="49" t="s">
        <v>91</v>
      </c>
      <c r="C396" s="49" t="s">
        <v>55</v>
      </c>
      <c r="D396" s="49">
        <v>0</v>
      </c>
      <c r="E396" s="49">
        <v>0</v>
      </c>
      <c r="F396" s="49">
        <f>E396-D396</f>
        <v>0</v>
      </c>
      <c r="G396" s="50">
        <f>IF(D396=0,0,ABS(F396/D396))</f>
        <v>0</v>
      </c>
      <c r="H396" s="49">
        <v>0</v>
      </c>
      <c r="I396" s="49">
        <v>0</v>
      </c>
      <c r="J396" s="51" t="str">
        <f>IF(H396=0,"No plan at start",I396/H396)</f>
        <v>No plan at start</v>
      </c>
      <c r="K396" s="52">
        <f>H396-I396</f>
        <v>0</v>
      </c>
      <c r="L396" s="49">
        <v>0</v>
      </c>
      <c r="M396" s="49">
        <f>I396+L396</f>
        <v>0</v>
      </c>
      <c r="N396" s="49">
        <f>M396-H396</f>
        <v>0</v>
      </c>
      <c r="O396" s="50" t="str">
        <f>IF(H396=0,"No plan at start",M396/H396)</f>
        <v>No plan at start</v>
      </c>
      <c r="P396" s="53"/>
      <c r="Q396" s="54"/>
      <c r="R396" s="55"/>
      <c r="S396" s="55"/>
    </row>
    <row r="397" spans="1:19" s="10" customFormat="1" hidden="1" outlineLevel="2" x14ac:dyDescent="0.2">
      <c r="A397" s="11"/>
      <c r="B397" s="49" t="s">
        <v>91</v>
      </c>
      <c r="C397" s="49" t="s">
        <v>56</v>
      </c>
      <c r="D397" s="49">
        <v>0</v>
      </c>
      <c r="E397" s="49">
        <v>0</v>
      </c>
      <c r="F397" s="49">
        <f>E397-D397</f>
        <v>0</v>
      </c>
      <c r="G397" s="50">
        <f>IF(D397=0,0,ABS(F397/D397))</f>
        <v>0</v>
      </c>
      <c r="H397" s="49">
        <v>0</v>
      </c>
      <c r="I397" s="49">
        <v>0</v>
      </c>
      <c r="J397" s="51" t="str">
        <f>IF(H397=0,"No plan at start",I397/H397)</f>
        <v>No plan at start</v>
      </c>
      <c r="K397" s="52">
        <f>H397-I397</f>
        <v>0</v>
      </c>
      <c r="L397" s="49">
        <v>0</v>
      </c>
      <c r="M397" s="49">
        <f>I397+L397</f>
        <v>0</v>
      </c>
      <c r="N397" s="49">
        <f>M397-H397</f>
        <v>0</v>
      </c>
      <c r="O397" s="50" t="str">
        <f>IF(H397=0,"No plan at start",M397/H397)</f>
        <v>No plan at start</v>
      </c>
      <c r="P397" s="53"/>
      <c r="Q397" s="54"/>
      <c r="R397" s="55"/>
      <c r="S397" s="55"/>
    </row>
    <row r="398" spans="1:19" s="10" customFormat="1" hidden="1" outlineLevel="2" x14ac:dyDescent="0.2">
      <c r="A398" s="11"/>
      <c r="B398" s="49" t="s">
        <v>91</v>
      </c>
      <c r="C398" s="49" t="s">
        <v>57</v>
      </c>
      <c r="D398" s="49">
        <v>0</v>
      </c>
      <c r="E398" s="49">
        <v>0</v>
      </c>
      <c r="F398" s="49">
        <f>E398-D398</f>
        <v>0</v>
      </c>
      <c r="G398" s="50">
        <f>IF(D398=0,0,ABS(F398/D398))</f>
        <v>0</v>
      </c>
      <c r="H398" s="49">
        <v>0</v>
      </c>
      <c r="I398" s="49">
        <v>0</v>
      </c>
      <c r="J398" s="51" t="str">
        <f>IF(H398=0,"No plan at start",I398/H398)</f>
        <v>No plan at start</v>
      </c>
      <c r="K398" s="52">
        <f>H398-I398</f>
        <v>0</v>
      </c>
      <c r="L398" s="49">
        <v>0</v>
      </c>
      <c r="M398" s="49">
        <f>I398+L398</f>
        <v>0</v>
      </c>
      <c r="N398" s="49">
        <f>M398-H398</f>
        <v>0</v>
      </c>
      <c r="O398" s="50" t="str">
        <f>IF(H398=0,"No plan at start",M398/H398)</f>
        <v>No plan at start</v>
      </c>
      <c r="P398" s="53"/>
      <c r="Q398" s="54"/>
      <c r="R398" s="55"/>
      <c r="S398" s="55"/>
    </row>
    <row r="399" spans="1:19" s="10" customFormat="1" hidden="1" outlineLevel="2" x14ac:dyDescent="0.2">
      <c r="A399" s="11"/>
      <c r="B399" s="49" t="s">
        <v>91</v>
      </c>
      <c r="C399" s="49" t="s">
        <v>48</v>
      </c>
      <c r="D399" s="49">
        <v>0</v>
      </c>
      <c r="E399" s="49">
        <v>0</v>
      </c>
      <c r="F399" s="49">
        <f>E399-D399</f>
        <v>0</v>
      </c>
      <c r="G399" s="50">
        <f>IF(D399=0,0,ABS(F399/D399))</f>
        <v>0</v>
      </c>
      <c r="H399" s="49">
        <v>0</v>
      </c>
      <c r="I399" s="49">
        <v>0</v>
      </c>
      <c r="J399" s="51" t="str">
        <f>IF(H399=0,"No plan at start",I399/H399)</f>
        <v>No plan at start</v>
      </c>
      <c r="K399" s="52">
        <f>H399-I399</f>
        <v>0</v>
      </c>
      <c r="L399" s="49">
        <v>0</v>
      </c>
      <c r="M399" s="49">
        <f>I399+L399</f>
        <v>0</v>
      </c>
      <c r="N399" s="49">
        <f>M399-H399</f>
        <v>0</v>
      </c>
      <c r="O399" s="50" t="str">
        <f>IF(H399=0,"No plan at start",M399/H399)</f>
        <v>No plan at start</v>
      </c>
      <c r="P399" s="53"/>
      <c r="Q399" s="54"/>
      <c r="R399" s="55"/>
      <c r="S399" s="55"/>
    </row>
    <row r="400" spans="1:19" s="10" customFormat="1" hidden="1" outlineLevel="2" x14ac:dyDescent="0.2">
      <c r="A400" s="11"/>
      <c r="B400" s="49" t="s">
        <v>91</v>
      </c>
      <c r="C400" s="49" t="s">
        <v>58</v>
      </c>
      <c r="D400" s="49">
        <v>0</v>
      </c>
      <c r="E400" s="49">
        <v>0</v>
      </c>
      <c r="F400" s="49">
        <f>E400-D400</f>
        <v>0</v>
      </c>
      <c r="G400" s="50">
        <f>IF(D400=0,0,ABS(F400/D400))</f>
        <v>0</v>
      </c>
      <c r="H400" s="49">
        <v>0</v>
      </c>
      <c r="I400" s="49">
        <v>0</v>
      </c>
      <c r="J400" s="51" t="str">
        <f>IF(H400=0,"No plan at start",I400/H400)</f>
        <v>No plan at start</v>
      </c>
      <c r="K400" s="52">
        <f>H400-I400</f>
        <v>0</v>
      </c>
      <c r="L400" s="49">
        <v>0</v>
      </c>
      <c r="M400" s="49">
        <f>I400+L400</f>
        <v>0</v>
      </c>
      <c r="N400" s="49">
        <f>M400-H400</f>
        <v>0</v>
      </c>
      <c r="O400" s="50" t="str">
        <f>IF(H400=0,"No plan at start",M400/H400)</f>
        <v>No plan at start</v>
      </c>
      <c r="P400" s="53"/>
      <c r="Q400" s="54"/>
      <c r="R400" s="55"/>
      <c r="S400" s="55"/>
    </row>
    <row r="401" spans="1:19" s="10" customFormat="1" hidden="1" outlineLevel="2" x14ac:dyDescent="0.2">
      <c r="A401" s="11"/>
      <c r="B401" s="49" t="s">
        <v>91</v>
      </c>
      <c r="C401" s="49" t="s">
        <v>59</v>
      </c>
      <c r="D401" s="49">
        <v>0</v>
      </c>
      <c r="E401" s="49">
        <v>0</v>
      </c>
      <c r="F401" s="49">
        <f>E401-D401</f>
        <v>0</v>
      </c>
      <c r="G401" s="50">
        <f>IF(D401=0,0,ABS(F401/D401))</f>
        <v>0</v>
      </c>
      <c r="H401" s="49">
        <v>0</v>
      </c>
      <c r="I401" s="49">
        <v>0</v>
      </c>
      <c r="J401" s="51" t="str">
        <f>IF(H401=0,"No plan at start",I401/H401)</f>
        <v>No plan at start</v>
      </c>
      <c r="K401" s="52">
        <f>H401-I401</f>
        <v>0</v>
      </c>
      <c r="L401" s="49">
        <v>0</v>
      </c>
      <c r="M401" s="49">
        <f>I401+L401</f>
        <v>0</v>
      </c>
      <c r="N401" s="49">
        <f>M401-H401</f>
        <v>0</v>
      </c>
      <c r="O401" s="50" t="str">
        <f>IF(H401=0,"No plan at start",M401/H401)</f>
        <v>No plan at start</v>
      </c>
      <c r="P401" s="53"/>
      <c r="Q401" s="54"/>
      <c r="R401" s="55"/>
      <c r="S401" s="55"/>
    </row>
    <row r="402" spans="1:19" s="10" customFormat="1" hidden="1" outlineLevel="2" x14ac:dyDescent="0.2">
      <c r="A402" s="11"/>
      <c r="B402" s="49" t="s">
        <v>91</v>
      </c>
      <c r="C402" s="49" t="s">
        <v>60</v>
      </c>
      <c r="D402" s="49">
        <v>0</v>
      </c>
      <c r="E402" s="49">
        <v>0</v>
      </c>
      <c r="F402" s="49">
        <f>E402-D402</f>
        <v>0</v>
      </c>
      <c r="G402" s="50">
        <f>IF(D402=0,0,ABS(F402/D402))</f>
        <v>0</v>
      </c>
      <c r="H402" s="49">
        <v>0</v>
      </c>
      <c r="I402" s="49">
        <v>0</v>
      </c>
      <c r="J402" s="51" t="str">
        <f>IF(H402=0,"No plan at start",I402/H402)</f>
        <v>No plan at start</v>
      </c>
      <c r="K402" s="52">
        <f>H402-I402</f>
        <v>0</v>
      </c>
      <c r="L402" s="49">
        <v>0</v>
      </c>
      <c r="M402" s="49">
        <f>I402+L402</f>
        <v>0</v>
      </c>
      <c r="N402" s="49">
        <f>M402-H402</f>
        <v>0</v>
      </c>
      <c r="O402" s="50" t="str">
        <f>IF(H402=0,"No plan at start",M402/H402)</f>
        <v>No plan at start</v>
      </c>
      <c r="P402" s="53"/>
      <c r="Q402" s="54"/>
      <c r="R402" s="55"/>
      <c r="S402" s="55"/>
    </row>
    <row r="403" spans="1:19" s="10" customFormat="1" hidden="1" outlineLevel="2" x14ac:dyDescent="0.2">
      <c r="A403" s="11"/>
      <c r="B403" s="49" t="s">
        <v>91</v>
      </c>
      <c r="C403" s="49" t="s">
        <v>61</v>
      </c>
      <c r="D403" s="49">
        <v>0</v>
      </c>
      <c r="E403" s="49">
        <v>0</v>
      </c>
      <c r="F403" s="49">
        <f>E403-D403</f>
        <v>0</v>
      </c>
      <c r="G403" s="50">
        <f>IF(D403=0,0,ABS(F403/D403))</f>
        <v>0</v>
      </c>
      <c r="H403" s="49">
        <v>0</v>
      </c>
      <c r="I403" s="49">
        <v>0</v>
      </c>
      <c r="J403" s="51" t="str">
        <f>IF(H403=0,"No plan at start",I403/H403)</f>
        <v>No plan at start</v>
      </c>
      <c r="K403" s="52">
        <f>H403-I403</f>
        <v>0</v>
      </c>
      <c r="L403" s="49">
        <v>0</v>
      </c>
      <c r="M403" s="49">
        <f>I403+L403</f>
        <v>0</v>
      </c>
      <c r="N403" s="49">
        <f>M403-H403</f>
        <v>0</v>
      </c>
      <c r="O403" s="50" t="str">
        <f>IF(H403=0,"No plan at start",M403/H403)</f>
        <v>No plan at start</v>
      </c>
      <c r="P403" s="53"/>
      <c r="Q403" s="54"/>
      <c r="R403" s="55"/>
      <c r="S403" s="55"/>
    </row>
    <row r="404" spans="1:19" s="10" customFormat="1" hidden="1" outlineLevel="2" x14ac:dyDescent="0.2">
      <c r="A404" s="11"/>
      <c r="B404" s="49" t="s">
        <v>91</v>
      </c>
      <c r="C404" s="49" t="s">
        <v>62</v>
      </c>
      <c r="D404" s="49">
        <v>0</v>
      </c>
      <c r="E404" s="49">
        <v>0</v>
      </c>
      <c r="F404" s="49">
        <f>E404-D404</f>
        <v>0</v>
      </c>
      <c r="G404" s="50">
        <f>IF(D404=0,0,ABS(F404/D404))</f>
        <v>0</v>
      </c>
      <c r="H404" s="49">
        <v>0</v>
      </c>
      <c r="I404" s="49">
        <v>0</v>
      </c>
      <c r="J404" s="51" t="str">
        <f>IF(H404=0,"No plan at start",I404/H404)</f>
        <v>No plan at start</v>
      </c>
      <c r="K404" s="52">
        <f>H404-I404</f>
        <v>0</v>
      </c>
      <c r="L404" s="49">
        <v>0</v>
      </c>
      <c r="M404" s="49">
        <f>I404+L404</f>
        <v>0</v>
      </c>
      <c r="N404" s="49">
        <f>M404-H404</f>
        <v>0</v>
      </c>
      <c r="O404" s="50" t="str">
        <f>IF(H404=0,"No plan at start",M404/H404)</f>
        <v>No plan at start</v>
      </c>
      <c r="P404" s="53"/>
      <c r="Q404" s="54"/>
      <c r="R404" s="55"/>
      <c r="S404" s="55"/>
    </row>
    <row r="405" spans="1:19" s="10" customFormat="1" outlineLevel="1" collapsed="1" x14ac:dyDescent="0.2">
      <c r="A405" s="11"/>
      <c r="B405" s="56" t="s">
        <v>130</v>
      </c>
      <c r="C405" s="49"/>
      <c r="D405" s="49">
        <f>SUBTOTAL(9,D393:D404)</f>
        <v>0</v>
      </c>
      <c r="E405" s="49">
        <f>SUBTOTAL(9,E393:E404)</f>
        <v>0</v>
      </c>
      <c r="F405" s="49">
        <f>SUBTOTAL(9,F393:F404)</f>
        <v>0</v>
      </c>
      <c r="G405" s="50">
        <f>IF(D405=0,0,ABS(F405/D405))</f>
        <v>0</v>
      </c>
      <c r="H405" s="49">
        <f>SUBTOTAL(9,H393:H404)</f>
        <v>0</v>
      </c>
      <c r="I405" s="49">
        <f>SUBTOTAL(9,I393:I404)</f>
        <v>0</v>
      </c>
      <c r="J405" s="51" t="str">
        <f>IF(H405=0,"No plan at start",I405/H405)</f>
        <v>No plan at start</v>
      </c>
      <c r="K405" s="52">
        <f>SUBTOTAL(9,K393:K404)</f>
        <v>0</v>
      </c>
      <c r="L405" s="49">
        <f>SUBTOTAL(9,L393:L404)</f>
        <v>0</v>
      </c>
      <c r="M405" s="49">
        <f>SUBTOTAL(9,M393:M404)</f>
        <v>0</v>
      </c>
      <c r="N405" s="49">
        <f>SUBTOTAL(9,N393:N404)</f>
        <v>0</v>
      </c>
      <c r="O405" s="50" t="str">
        <f>IF(H405=0,"No plan at start",M405/H405)</f>
        <v>No plan at start</v>
      </c>
      <c r="P405" s="53"/>
      <c r="Q405" s="54"/>
      <c r="R405" s="55"/>
      <c r="S405" s="55"/>
    </row>
    <row r="406" spans="1:19" s="10" customFormat="1" hidden="1" outlineLevel="2" x14ac:dyDescent="0.2">
      <c r="A406" s="11"/>
      <c r="B406" s="49" t="s">
        <v>92</v>
      </c>
      <c r="C406" s="49" t="s">
        <v>52</v>
      </c>
      <c r="D406" s="49">
        <v>0</v>
      </c>
      <c r="E406" s="49">
        <v>0</v>
      </c>
      <c r="F406" s="49">
        <f>E406-D406</f>
        <v>0</v>
      </c>
      <c r="G406" s="50">
        <f>IF(D406=0,0,ABS(F406/D406))</f>
        <v>0</v>
      </c>
      <c r="H406" s="49">
        <v>0</v>
      </c>
      <c r="I406" s="49">
        <v>0</v>
      </c>
      <c r="J406" s="51" t="str">
        <f>IF(H406=0,"No plan at start",I406/H406)</f>
        <v>No plan at start</v>
      </c>
      <c r="K406" s="52">
        <f>H406-I406</f>
        <v>0</v>
      </c>
      <c r="L406" s="49">
        <v>0</v>
      </c>
      <c r="M406" s="49">
        <f>I406+L406</f>
        <v>0</v>
      </c>
      <c r="N406" s="49">
        <f>M406-H406</f>
        <v>0</v>
      </c>
      <c r="O406" s="50" t="str">
        <f>IF(H406=0,"No plan at start",M406/H406)</f>
        <v>No plan at start</v>
      </c>
      <c r="P406" s="53"/>
      <c r="Q406" s="54"/>
      <c r="R406" s="55"/>
      <c r="S406" s="55"/>
    </row>
    <row r="407" spans="1:19" s="10" customFormat="1" hidden="1" outlineLevel="2" x14ac:dyDescent="0.2">
      <c r="A407" s="11"/>
      <c r="B407" s="49" t="s">
        <v>92</v>
      </c>
      <c r="C407" s="49" t="s">
        <v>53</v>
      </c>
      <c r="D407" s="49">
        <v>0</v>
      </c>
      <c r="E407" s="49">
        <v>0</v>
      </c>
      <c r="F407" s="49">
        <f>E407-D407</f>
        <v>0</v>
      </c>
      <c r="G407" s="50">
        <f>IF(D407=0,0,ABS(F407/D407))</f>
        <v>0</v>
      </c>
      <c r="H407" s="49">
        <v>0</v>
      </c>
      <c r="I407" s="49">
        <v>0</v>
      </c>
      <c r="J407" s="51" t="str">
        <f>IF(H407=0,"No plan at start",I407/H407)</f>
        <v>No plan at start</v>
      </c>
      <c r="K407" s="52">
        <f>H407-I407</f>
        <v>0</v>
      </c>
      <c r="L407" s="49">
        <v>0</v>
      </c>
      <c r="M407" s="49">
        <f>I407+L407</f>
        <v>0</v>
      </c>
      <c r="N407" s="49">
        <f>M407-H407</f>
        <v>0</v>
      </c>
      <c r="O407" s="50" t="str">
        <f>IF(H407=0,"No plan at start",M407/H407)</f>
        <v>No plan at start</v>
      </c>
      <c r="P407" s="53"/>
      <c r="Q407" s="54"/>
      <c r="R407" s="55"/>
      <c r="S407" s="55"/>
    </row>
    <row r="408" spans="1:19" s="10" customFormat="1" hidden="1" outlineLevel="2" x14ac:dyDescent="0.2">
      <c r="A408" s="11"/>
      <c r="B408" s="49" t="s">
        <v>92</v>
      </c>
      <c r="C408" s="49" t="s">
        <v>54</v>
      </c>
      <c r="D408" s="49">
        <v>0</v>
      </c>
      <c r="E408" s="49">
        <v>0</v>
      </c>
      <c r="F408" s="49">
        <f>E408-D408</f>
        <v>0</v>
      </c>
      <c r="G408" s="50">
        <f>IF(D408=0,0,ABS(F408/D408))</f>
        <v>0</v>
      </c>
      <c r="H408" s="49">
        <v>0</v>
      </c>
      <c r="I408" s="49">
        <v>0</v>
      </c>
      <c r="J408" s="51" t="str">
        <f>IF(H408=0,"No plan at start",I408/H408)</f>
        <v>No plan at start</v>
      </c>
      <c r="K408" s="52">
        <f>H408-I408</f>
        <v>0</v>
      </c>
      <c r="L408" s="49">
        <v>0</v>
      </c>
      <c r="M408" s="49">
        <f>I408+L408</f>
        <v>0</v>
      </c>
      <c r="N408" s="49">
        <f>M408-H408</f>
        <v>0</v>
      </c>
      <c r="O408" s="50" t="str">
        <f>IF(H408=0,"No plan at start",M408/H408)</f>
        <v>No plan at start</v>
      </c>
      <c r="P408" s="53"/>
      <c r="Q408" s="54"/>
      <c r="R408" s="55"/>
      <c r="S408" s="55"/>
    </row>
    <row r="409" spans="1:19" s="10" customFormat="1" hidden="1" outlineLevel="2" x14ac:dyDescent="0.2">
      <c r="A409" s="11"/>
      <c r="B409" s="49" t="s">
        <v>92</v>
      </c>
      <c r="C409" s="49" t="s">
        <v>55</v>
      </c>
      <c r="D409" s="49">
        <v>0</v>
      </c>
      <c r="E409" s="49">
        <v>0</v>
      </c>
      <c r="F409" s="49">
        <f>E409-D409</f>
        <v>0</v>
      </c>
      <c r="G409" s="50">
        <f>IF(D409=0,0,ABS(F409/D409))</f>
        <v>0</v>
      </c>
      <c r="H409" s="49">
        <v>0</v>
      </c>
      <c r="I409" s="49">
        <v>0</v>
      </c>
      <c r="J409" s="51" t="str">
        <f>IF(H409=0,"No plan at start",I409/H409)</f>
        <v>No plan at start</v>
      </c>
      <c r="K409" s="52">
        <f>H409-I409</f>
        <v>0</v>
      </c>
      <c r="L409" s="49">
        <v>0</v>
      </c>
      <c r="M409" s="49">
        <f>I409+L409</f>
        <v>0</v>
      </c>
      <c r="N409" s="49">
        <f>M409-H409</f>
        <v>0</v>
      </c>
      <c r="O409" s="50" t="str">
        <f>IF(H409=0,"No plan at start",M409/H409)</f>
        <v>No plan at start</v>
      </c>
      <c r="P409" s="53"/>
      <c r="Q409" s="54"/>
      <c r="R409" s="55"/>
      <c r="S409" s="55"/>
    </row>
    <row r="410" spans="1:19" s="10" customFormat="1" hidden="1" outlineLevel="2" x14ac:dyDescent="0.2">
      <c r="A410" s="11"/>
      <c r="B410" s="49" t="s">
        <v>92</v>
      </c>
      <c r="C410" s="49" t="s">
        <v>56</v>
      </c>
      <c r="D410" s="49">
        <v>0</v>
      </c>
      <c r="E410" s="49">
        <v>0</v>
      </c>
      <c r="F410" s="49">
        <f>E410-D410</f>
        <v>0</v>
      </c>
      <c r="G410" s="50">
        <f>IF(D410=0,0,ABS(F410/D410))</f>
        <v>0</v>
      </c>
      <c r="H410" s="49">
        <v>0</v>
      </c>
      <c r="I410" s="49">
        <v>0</v>
      </c>
      <c r="J410" s="51" t="str">
        <f>IF(H410=0,"No plan at start",I410/H410)</f>
        <v>No plan at start</v>
      </c>
      <c r="K410" s="52">
        <f>H410-I410</f>
        <v>0</v>
      </c>
      <c r="L410" s="49">
        <v>0</v>
      </c>
      <c r="M410" s="49">
        <f>I410+L410</f>
        <v>0</v>
      </c>
      <c r="N410" s="49">
        <f>M410-H410</f>
        <v>0</v>
      </c>
      <c r="O410" s="50" t="str">
        <f>IF(H410=0,"No plan at start",M410/H410)</f>
        <v>No plan at start</v>
      </c>
      <c r="P410" s="53"/>
      <c r="Q410" s="54"/>
      <c r="R410" s="55"/>
      <c r="S410" s="55"/>
    </row>
    <row r="411" spans="1:19" s="10" customFormat="1" hidden="1" outlineLevel="2" x14ac:dyDescent="0.2">
      <c r="A411" s="11"/>
      <c r="B411" s="49" t="s">
        <v>92</v>
      </c>
      <c r="C411" s="49" t="s">
        <v>57</v>
      </c>
      <c r="D411" s="49">
        <v>0</v>
      </c>
      <c r="E411" s="49">
        <v>0</v>
      </c>
      <c r="F411" s="49">
        <f>E411-D411</f>
        <v>0</v>
      </c>
      <c r="G411" s="50">
        <f>IF(D411=0,0,ABS(F411/D411))</f>
        <v>0</v>
      </c>
      <c r="H411" s="49">
        <v>0</v>
      </c>
      <c r="I411" s="49">
        <v>0</v>
      </c>
      <c r="J411" s="51" t="str">
        <f>IF(H411=0,"No plan at start",I411/H411)</f>
        <v>No plan at start</v>
      </c>
      <c r="K411" s="52">
        <f>H411-I411</f>
        <v>0</v>
      </c>
      <c r="L411" s="49">
        <v>0</v>
      </c>
      <c r="M411" s="49">
        <f>I411+L411</f>
        <v>0</v>
      </c>
      <c r="N411" s="49">
        <f>M411-H411</f>
        <v>0</v>
      </c>
      <c r="O411" s="50" t="str">
        <f>IF(H411=0,"No plan at start",M411/H411)</f>
        <v>No plan at start</v>
      </c>
      <c r="P411" s="53"/>
      <c r="Q411" s="54"/>
      <c r="R411" s="55"/>
      <c r="S411" s="55"/>
    </row>
    <row r="412" spans="1:19" s="10" customFormat="1" hidden="1" outlineLevel="2" x14ac:dyDescent="0.2">
      <c r="A412" s="11"/>
      <c r="B412" s="49" t="s">
        <v>92</v>
      </c>
      <c r="C412" s="49" t="s">
        <v>48</v>
      </c>
      <c r="D412" s="49">
        <v>0</v>
      </c>
      <c r="E412" s="49">
        <v>0</v>
      </c>
      <c r="F412" s="49">
        <f>E412-D412</f>
        <v>0</v>
      </c>
      <c r="G412" s="50">
        <f>IF(D412=0,0,ABS(F412/D412))</f>
        <v>0</v>
      </c>
      <c r="H412" s="49">
        <v>0</v>
      </c>
      <c r="I412" s="49">
        <v>0</v>
      </c>
      <c r="J412" s="51" t="str">
        <f>IF(H412=0,"No plan at start",I412/H412)</f>
        <v>No plan at start</v>
      </c>
      <c r="K412" s="52">
        <f>H412-I412</f>
        <v>0</v>
      </c>
      <c r="L412" s="49">
        <v>0</v>
      </c>
      <c r="M412" s="49">
        <f>I412+L412</f>
        <v>0</v>
      </c>
      <c r="N412" s="49">
        <f>M412-H412</f>
        <v>0</v>
      </c>
      <c r="O412" s="50" t="str">
        <f>IF(H412=0,"No plan at start",M412/H412)</f>
        <v>No plan at start</v>
      </c>
      <c r="P412" s="53"/>
      <c r="Q412" s="54"/>
      <c r="R412" s="55"/>
      <c r="S412" s="55"/>
    </row>
    <row r="413" spans="1:19" s="10" customFormat="1" hidden="1" outlineLevel="2" x14ac:dyDescent="0.2">
      <c r="A413" s="11"/>
      <c r="B413" s="49" t="s">
        <v>92</v>
      </c>
      <c r="C413" s="49" t="s">
        <v>58</v>
      </c>
      <c r="D413" s="49">
        <v>0</v>
      </c>
      <c r="E413" s="49">
        <v>0</v>
      </c>
      <c r="F413" s="49">
        <f>E413-D413</f>
        <v>0</v>
      </c>
      <c r="G413" s="50">
        <f>IF(D413=0,0,ABS(F413/D413))</f>
        <v>0</v>
      </c>
      <c r="H413" s="49">
        <v>0</v>
      </c>
      <c r="I413" s="49">
        <v>0</v>
      </c>
      <c r="J413" s="51" t="str">
        <f>IF(H413=0,"No plan at start",I413/H413)</f>
        <v>No plan at start</v>
      </c>
      <c r="K413" s="52">
        <f>H413-I413</f>
        <v>0</v>
      </c>
      <c r="L413" s="49">
        <v>0</v>
      </c>
      <c r="M413" s="49">
        <f>I413+L413</f>
        <v>0</v>
      </c>
      <c r="N413" s="49">
        <f>M413-H413</f>
        <v>0</v>
      </c>
      <c r="O413" s="50" t="str">
        <f>IF(H413=0,"No plan at start",M413/H413)</f>
        <v>No plan at start</v>
      </c>
      <c r="P413" s="53"/>
      <c r="Q413" s="54"/>
      <c r="R413" s="55"/>
      <c r="S413" s="55"/>
    </row>
    <row r="414" spans="1:19" s="10" customFormat="1" hidden="1" outlineLevel="2" x14ac:dyDescent="0.2">
      <c r="A414" s="11"/>
      <c r="B414" s="49" t="s">
        <v>92</v>
      </c>
      <c r="C414" s="49" t="s">
        <v>59</v>
      </c>
      <c r="D414" s="49">
        <v>0</v>
      </c>
      <c r="E414" s="49">
        <v>0</v>
      </c>
      <c r="F414" s="49">
        <f>E414-D414</f>
        <v>0</v>
      </c>
      <c r="G414" s="50">
        <f>IF(D414=0,0,ABS(F414/D414))</f>
        <v>0</v>
      </c>
      <c r="H414" s="49">
        <v>0</v>
      </c>
      <c r="I414" s="49">
        <v>0</v>
      </c>
      <c r="J414" s="51" t="str">
        <f>IF(H414=0,"No plan at start",I414/H414)</f>
        <v>No plan at start</v>
      </c>
      <c r="K414" s="52">
        <f>H414-I414</f>
        <v>0</v>
      </c>
      <c r="L414" s="49">
        <v>0</v>
      </c>
      <c r="M414" s="49">
        <f>I414+L414</f>
        <v>0</v>
      </c>
      <c r="N414" s="49">
        <f>M414-H414</f>
        <v>0</v>
      </c>
      <c r="O414" s="50" t="str">
        <f>IF(H414=0,"No plan at start",M414/H414)</f>
        <v>No plan at start</v>
      </c>
      <c r="P414" s="53"/>
      <c r="Q414" s="54"/>
      <c r="R414" s="55"/>
      <c r="S414" s="55"/>
    </row>
    <row r="415" spans="1:19" s="10" customFormat="1" hidden="1" outlineLevel="2" x14ac:dyDescent="0.2">
      <c r="A415" s="11"/>
      <c r="B415" s="49" t="s">
        <v>92</v>
      </c>
      <c r="C415" s="49" t="s">
        <v>60</v>
      </c>
      <c r="D415" s="49">
        <v>0</v>
      </c>
      <c r="E415" s="49">
        <v>0</v>
      </c>
      <c r="F415" s="49">
        <f>E415-D415</f>
        <v>0</v>
      </c>
      <c r="G415" s="50">
        <f>IF(D415=0,0,ABS(F415/D415))</f>
        <v>0</v>
      </c>
      <c r="H415" s="49">
        <v>0</v>
      </c>
      <c r="I415" s="49">
        <v>0</v>
      </c>
      <c r="J415" s="51" t="str">
        <f>IF(H415=0,"No plan at start",I415/H415)</f>
        <v>No plan at start</v>
      </c>
      <c r="K415" s="52">
        <f>H415-I415</f>
        <v>0</v>
      </c>
      <c r="L415" s="49">
        <v>0</v>
      </c>
      <c r="M415" s="49">
        <f>I415+L415</f>
        <v>0</v>
      </c>
      <c r="N415" s="49">
        <f>M415-H415</f>
        <v>0</v>
      </c>
      <c r="O415" s="50" t="str">
        <f>IF(H415=0,"No plan at start",M415/H415)</f>
        <v>No plan at start</v>
      </c>
      <c r="P415" s="53"/>
      <c r="Q415" s="54"/>
      <c r="R415" s="55"/>
      <c r="S415" s="55"/>
    </row>
    <row r="416" spans="1:19" s="10" customFormat="1" hidden="1" outlineLevel="2" x14ac:dyDescent="0.2">
      <c r="A416" s="11"/>
      <c r="B416" s="49" t="s">
        <v>92</v>
      </c>
      <c r="C416" s="49" t="s">
        <v>61</v>
      </c>
      <c r="D416" s="49">
        <v>0</v>
      </c>
      <c r="E416" s="49">
        <v>0</v>
      </c>
      <c r="F416" s="49">
        <f>E416-D416</f>
        <v>0</v>
      </c>
      <c r="G416" s="50">
        <f>IF(D416=0,0,ABS(F416/D416))</f>
        <v>0</v>
      </c>
      <c r="H416" s="49">
        <v>0</v>
      </c>
      <c r="I416" s="49">
        <v>0</v>
      </c>
      <c r="J416" s="51" t="str">
        <f>IF(H416=0,"No plan at start",I416/H416)</f>
        <v>No plan at start</v>
      </c>
      <c r="K416" s="52">
        <f>H416-I416</f>
        <v>0</v>
      </c>
      <c r="L416" s="49">
        <v>0</v>
      </c>
      <c r="M416" s="49">
        <f>I416+L416</f>
        <v>0</v>
      </c>
      <c r="N416" s="49">
        <f>M416-H416</f>
        <v>0</v>
      </c>
      <c r="O416" s="50" t="str">
        <f>IF(H416=0,"No plan at start",M416/H416)</f>
        <v>No plan at start</v>
      </c>
      <c r="P416" s="53"/>
      <c r="Q416" s="54"/>
      <c r="R416" s="55"/>
      <c r="S416" s="55"/>
    </row>
    <row r="417" spans="1:19" s="10" customFormat="1" hidden="1" outlineLevel="2" x14ac:dyDescent="0.2">
      <c r="A417" s="11"/>
      <c r="B417" s="49" t="s">
        <v>92</v>
      </c>
      <c r="C417" s="49" t="s">
        <v>62</v>
      </c>
      <c r="D417" s="49">
        <v>0</v>
      </c>
      <c r="E417" s="49">
        <v>0</v>
      </c>
      <c r="F417" s="49">
        <f>E417-D417</f>
        <v>0</v>
      </c>
      <c r="G417" s="50">
        <f>IF(D417=0,0,ABS(F417/D417))</f>
        <v>0</v>
      </c>
      <c r="H417" s="49">
        <v>0</v>
      </c>
      <c r="I417" s="49">
        <v>0</v>
      </c>
      <c r="J417" s="51" t="str">
        <f>IF(H417=0,"No plan at start",I417/H417)</f>
        <v>No plan at start</v>
      </c>
      <c r="K417" s="52">
        <f>H417-I417</f>
        <v>0</v>
      </c>
      <c r="L417" s="49">
        <v>0</v>
      </c>
      <c r="M417" s="49">
        <f>I417+L417</f>
        <v>0</v>
      </c>
      <c r="N417" s="49">
        <f>M417-H417</f>
        <v>0</v>
      </c>
      <c r="O417" s="50" t="str">
        <f>IF(H417=0,"No plan at start",M417/H417)</f>
        <v>No plan at start</v>
      </c>
      <c r="P417" s="53"/>
      <c r="Q417" s="54"/>
      <c r="R417" s="55"/>
      <c r="S417" s="55"/>
    </row>
    <row r="418" spans="1:19" s="10" customFormat="1" outlineLevel="1" collapsed="1" x14ac:dyDescent="0.2">
      <c r="A418" s="11"/>
      <c r="B418" s="56" t="s">
        <v>131</v>
      </c>
      <c r="C418" s="49"/>
      <c r="D418" s="49">
        <f>SUBTOTAL(9,D406:D417)</f>
        <v>0</v>
      </c>
      <c r="E418" s="49">
        <f>SUBTOTAL(9,E406:E417)</f>
        <v>0</v>
      </c>
      <c r="F418" s="49">
        <f>SUBTOTAL(9,F406:F417)</f>
        <v>0</v>
      </c>
      <c r="G418" s="50">
        <f>IF(D418=0,0,ABS(F418/D418))</f>
        <v>0</v>
      </c>
      <c r="H418" s="49">
        <f>SUBTOTAL(9,H406:H417)</f>
        <v>0</v>
      </c>
      <c r="I418" s="49">
        <f>SUBTOTAL(9,I406:I417)</f>
        <v>0</v>
      </c>
      <c r="J418" s="51" t="str">
        <f>IF(H418=0,"No plan at start",I418/H418)</f>
        <v>No plan at start</v>
      </c>
      <c r="K418" s="52">
        <f>SUBTOTAL(9,K406:K417)</f>
        <v>0</v>
      </c>
      <c r="L418" s="49">
        <f>SUBTOTAL(9,L406:L417)</f>
        <v>0</v>
      </c>
      <c r="M418" s="49">
        <f>SUBTOTAL(9,M406:M417)</f>
        <v>0</v>
      </c>
      <c r="N418" s="49">
        <f>SUBTOTAL(9,N406:N417)</f>
        <v>0</v>
      </c>
      <c r="O418" s="50" t="str">
        <f>IF(H418=0,"No plan at start",M418/H418)</f>
        <v>No plan at start</v>
      </c>
      <c r="P418" s="53"/>
      <c r="Q418" s="54"/>
      <c r="R418" s="55"/>
      <c r="S418" s="55"/>
    </row>
    <row r="419" spans="1:19" s="10" customFormat="1" hidden="1" outlineLevel="2" x14ac:dyDescent="0.2">
      <c r="A419" s="11"/>
      <c r="B419" s="49" t="s">
        <v>93</v>
      </c>
      <c r="C419" s="49" t="s">
        <v>52</v>
      </c>
      <c r="D419" s="49">
        <v>0</v>
      </c>
      <c r="E419" s="49">
        <v>0</v>
      </c>
      <c r="F419" s="49">
        <f>E419-D419</f>
        <v>0</v>
      </c>
      <c r="G419" s="50">
        <f>IF(D419=0,0,ABS(F419/D419))</f>
        <v>0</v>
      </c>
      <c r="H419" s="49">
        <v>0</v>
      </c>
      <c r="I419" s="49">
        <v>0</v>
      </c>
      <c r="J419" s="51" t="str">
        <f>IF(H419=0,"No plan at start",I419/H419)</f>
        <v>No plan at start</v>
      </c>
      <c r="K419" s="52">
        <f>H419-I419</f>
        <v>0</v>
      </c>
      <c r="L419" s="49">
        <v>0</v>
      </c>
      <c r="M419" s="49">
        <f>I419+L419</f>
        <v>0</v>
      </c>
      <c r="N419" s="49">
        <f>M419-H419</f>
        <v>0</v>
      </c>
      <c r="O419" s="50" t="str">
        <f>IF(H419=0,"No plan at start",M419/H419)</f>
        <v>No plan at start</v>
      </c>
      <c r="P419" s="53"/>
      <c r="Q419" s="54"/>
      <c r="R419" s="55"/>
      <c r="S419" s="55"/>
    </row>
    <row r="420" spans="1:19" s="10" customFormat="1" hidden="1" outlineLevel="2" x14ac:dyDescent="0.2">
      <c r="A420" s="11"/>
      <c r="B420" s="49" t="s">
        <v>93</v>
      </c>
      <c r="C420" s="49" t="s">
        <v>53</v>
      </c>
      <c r="D420" s="49">
        <v>0</v>
      </c>
      <c r="E420" s="49">
        <v>0</v>
      </c>
      <c r="F420" s="49">
        <f>E420-D420</f>
        <v>0</v>
      </c>
      <c r="G420" s="50">
        <f>IF(D420=0,0,ABS(F420/D420))</f>
        <v>0</v>
      </c>
      <c r="H420" s="49">
        <v>0</v>
      </c>
      <c r="I420" s="49">
        <v>0</v>
      </c>
      <c r="J420" s="51" t="str">
        <f>IF(H420=0,"No plan at start",I420/H420)</f>
        <v>No plan at start</v>
      </c>
      <c r="K420" s="52">
        <f>H420-I420</f>
        <v>0</v>
      </c>
      <c r="L420" s="49">
        <v>0</v>
      </c>
      <c r="M420" s="49">
        <f>I420+L420</f>
        <v>0</v>
      </c>
      <c r="N420" s="49">
        <f>M420-H420</f>
        <v>0</v>
      </c>
      <c r="O420" s="50" t="str">
        <f>IF(H420=0,"No plan at start",M420/H420)</f>
        <v>No plan at start</v>
      </c>
      <c r="P420" s="53"/>
      <c r="Q420" s="54"/>
      <c r="R420" s="55"/>
      <c r="S420" s="55"/>
    </row>
    <row r="421" spans="1:19" s="10" customFormat="1" hidden="1" outlineLevel="2" x14ac:dyDescent="0.2">
      <c r="A421" s="11"/>
      <c r="B421" s="49" t="s">
        <v>93</v>
      </c>
      <c r="C421" s="49" t="s">
        <v>54</v>
      </c>
      <c r="D421" s="49">
        <v>0</v>
      </c>
      <c r="E421" s="49">
        <v>0</v>
      </c>
      <c r="F421" s="49">
        <f>E421-D421</f>
        <v>0</v>
      </c>
      <c r="G421" s="50">
        <f>IF(D421=0,0,ABS(F421/D421))</f>
        <v>0</v>
      </c>
      <c r="H421" s="49">
        <v>0</v>
      </c>
      <c r="I421" s="49">
        <v>0</v>
      </c>
      <c r="J421" s="51" t="str">
        <f>IF(H421=0,"No plan at start",I421/H421)</f>
        <v>No plan at start</v>
      </c>
      <c r="K421" s="52">
        <f>H421-I421</f>
        <v>0</v>
      </c>
      <c r="L421" s="49">
        <v>0</v>
      </c>
      <c r="M421" s="49">
        <f>I421+L421</f>
        <v>0</v>
      </c>
      <c r="N421" s="49">
        <f>M421-H421</f>
        <v>0</v>
      </c>
      <c r="O421" s="50" t="str">
        <f>IF(H421=0,"No plan at start",M421/H421)</f>
        <v>No plan at start</v>
      </c>
      <c r="P421" s="53"/>
      <c r="Q421" s="54"/>
      <c r="R421" s="55"/>
      <c r="S421" s="55"/>
    </row>
    <row r="422" spans="1:19" s="10" customFormat="1" hidden="1" outlineLevel="2" x14ac:dyDescent="0.2">
      <c r="A422" s="11"/>
      <c r="B422" s="49" t="s">
        <v>93</v>
      </c>
      <c r="C422" s="49" t="s">
        <v>55</v>
      </c>
      <c r="D422" s="49">
        <v>0</v>
      </c>
      <c r="E422" s="49">
        <v>0</v>
      </c>
      <c r="F422" s="49">
        <f>E422-D422</f>
        <v>0</v>
      </c>
      <c r="G422" s="50">
        <f>IF(D422=0,0,ABS(F422/D422))</f>
        <v>0</v>
      </c>
      <c r="H422" s="49">
        <v>0</v>
      </c>
      <c r="I422" s="49">
        <v>381.5</v>
      </c>
      <c r="J422" s="51" t="str">
        <f>IF(H422=0,"No plan at start",I422/H422)</f>
        <v>No plan at start</v>
      </c>
      <c r="K422" s="52">
        <f>H422-I422</f>
        <v>-381.5</v>
      </c>
      <c r="L422" s="49">
        <v>556.6099999999999</v>
      </c>
      <c r="M422" s="49">
        <f>I422+L422</f>
        <v>938.1099999999999</v>
      </c>
      <c r="N422" s="49">
        <f>M422-H422</f>
        <v>938.1099999999999</v>
      </c>
      <c r="O422" s="50" t="str">
        <f>IF(H422=0,"No plan at start",M422/H422)</f>
        <v>No plan at start</v>
      </c>
      <c r="P422" s="53"/>
      <c r="Q422" s="54"/>
      <c r="R422" s="55"/>
      <c r="S422" s="55"/>
    </row>
    <row r="423" spans="1:19" s="10" customFormat="1" hidden="1" outlineLevel="2" x14ac:dyDescent="0.2">
      <c r="A423" s="11"/>
      <c r="B423" s="49" t="s">
        <v>93</v>
      </c>
      <c r="C423" s="49" t="s">
        <v>56</v>
      </c>
      <c r="D423" s="49">
        <v>0</v>
      </c>
      <c r="E423" s="49">
        <v>0</v>
      </c>
      <c r="F423" s="49">
        <f>E423-D423</f>
        <v>0</v>
      </c>
      <c r="G423" s="50">
        <f>IF(D423=0,0,ABS(F423/D423))</f>
        <v>0</v>
      </c>
      <c r="H423" s="49">
        <v>0</v>
      </c>
      <c r="I423" s="49">
        <v>177.5</v>
      </c>
      <c r="J423" s="51" t="str">
        <f>IF(H423=0,"No plan at start",I423/H423)</f>
        <v>No plan at start</v>
      </c>
      <c r="K423" s="52">
        <f>H423-I423</f>
        <v>-177.5</v>
      </c>
      <c r="L423" s="49">
        <v>0</v>
      </c>
      <c r="M423" s="49">
        <f>I423+L423</f>
        <v>177.5</v>
      </c>
      <c r="N423" s="49">
        <f>M423-H423</f>
        <v>177.5</v>
      </c>
      <c r="O423" s="50" t="str">
        <f>IF(H423=0,"No plan at start",M423/H423)</f>
        <v>No plan at start</v>
      </c>
      <c r="P423" s="53"/>
      <c r="Q423" s="54"/>
      <c r="R423" s="55"/>
      <c r="S423" s="55"/>
    </row>
    <row r="424" spans="1:19" s="10" customFormat="1" hidden="1" outlineLevel="2" x14ac:dyDescent="0.2">
      <c r="A424" s="11"/>
      <c r="B424" s="49" t="s">
        <v>93</v>
      </c>
      <c r="C424" s="49" t="s">
        <v>57</v>
      </c>
      <c r="D424" s="49">
        <v>0</v>
      </c>
      <c r="E424" s="49">
        <v>0</v>
      </c>
      <c r="F424" s="49">
        <f>E424-D424</f>
        <v>0</v>
      </c>
      <c r="G424" s="50">
        <f>IF(D424=0,0,ABS(F424/D424))</f>
        <v>0</v>
      </c>
      <c r="H424" s="49">
        <v>0</v>
      </c>
      <c r="I424" s="49">
        <v>0</v>
      </c>
      <c r="J424" s="51" t="str">
        <f>IF(H424=0,"No plan at start",I424/H424)</f>
        <v>No plan at start</v>
      </c>
      <c r="K424" s="52">
        <f>H424-I424</f>
        <v>0</v>
      </c>
      <c r="L424" s="49">
        <v>0</v>
      </c>
      <c r="M424" s="49">
        <f>I424+L424</f>
        <v>0</v>
      </c>
      <c r="N424" s="49">
        <f>M424-H424</f>
        <v>0</v>
      </c>
      <c r="O424" s="50" t="str">
        <f>IF(H424=0,"No plan at start",M424/H424)</f>
        <v>No plan at start</v>
      </c>
      <c r="P424" s="53"/>
      <c r="Q424" s="54"/>
      <c r="R424" s="55"/>
      <c r="S424" s="55"/>
    </row>
    <row r="425" spans="1:19" s="10" customFormat="1" hidden="1" outlineLevel="2" x14ac:dyDescent="0.2">
      <c r="A425" s="11"/>
      <c r="B425" s="49" t="s">
        <v>93</v>
      </c>
      <c r="C425" s="49" t="s">
        <v>48</v>
      </c>
      <c r="D425" s="49">
        <v>0</v>
      </c>
      <c r="E425" s="49">
        <v>0</v>
      </c>
      <c r="F425" s="49">
        <f>E425-D425</f>
        <v>0</v>
      </c>
      <c r="G425" s="50">
        <f>IF(D425=0,0,ABS(F425/D425))</f>
        <v>0</v>
      </c>
      <c r="H425" s="49">
        <v>0</v>
      </c>
      <c r="I425" s="49">
        <v>0</v>
      </c>
      <c r="J425" s="51" t="str">
        <f>IF(H425=0,"No plan at start",I425/H425)</f>
        <v>No plan at start</v>
      </c>
      <c r="K425" s="52">
        <f>H425-I425</f>
        <v>0</v>
      </c>
      <c r="L425" s="49">
        <v>0</v>
      </c>
      <c r="M425" s="49">
        <f>I425+L425</f>
        <v>0</v>
      </c>
      <c r="N425" s="49">
        <f>M425-H425</f>
        <v>0</v>
      </c>
      <c r="O425" s="50" t="str">
        <f>IF(H425=0,"No plan at start",M425/H425)</f>
        <v>No plan at start</v>
      </c>
      <c r="P425" s="53"/>
      <c r="Q425" s="54"/>
      <c r="R425" s="55"/>
      <c r="S425" s="55"/>
    </row>
    <row r="426" spans="1:19" s="10" customFormat="1" hidden="1" outlineLevel="2" x14ac:dyDescent="0.2">
      <c r="A426" s="11"/>
      <c r="B426" s="49" t="s">
        <v>93</v>
      </c>
      <c r="C426" s="49" t="s">
        <v>58</v>
      </c>
      <c r="D426" s="49">
        <v>0</v>
      </c>
      <c r="E426" s="49">
        <v>0</v>
      </c>
      <c r="F426" s="49">
        <f>E426-D426</f>
        <v>0</v>
      </c>
      <c r="G426" s="50">
        <f>IF(D426=0,0,ABS(F426/D426))</f>
        <v>0</v>
      </c>
      <c r="H426" s="49">
        <v>0</v>
      </c>
      <c r="I426" s="49">
        <v>0</v>
      </c>
      <c r="J426" s="51" t="str">
        <f>IF(H426=0,"No plan at start",I426/H426)</f>
        <v>No plan at start</v>
      </c>
      <c r="K426" s="52">
        <f>H426-I426</f>
        <v>0</v>
      </c>
      <c r="L426" s="49">
        <v>0</v>
      </c>
      <c r="M426" s="49">
        <f>I426+L426</f>
        <v>0</v>
      </c>
      <c r="N426" s="49">
        <f>M426-H426</f>
        <v>0</v>
      </c>
      <c r="O426" s="50" t="str">
        <f>IF(H426=0,"No plan at start",M426/H426)</f>
        <v>No plan at start</v>
      </c>
      <c r="P426" s="53"/>
      <c r="Q426" s="54"/>
      <c r="R426" s="55"/>
      <c r="S426" s="55"/>
    </row>
    <row r="427" spans="1:19" s="10" customFormat="1" hidden="1" outlineLevel="2" x14ac:dyDescent="0.2">
      <c r="A427" s="11"/>
      <c r="B427" s="49" t="s">
        <v>93</v>
      </c>
      <c r="C427" s="49" t="s">
        <v>59</v>
      </c>
      <c r="D427" s="49">
        <v>0</v>
      </c>
      <c r="E427" s="49">
        <v>0</v>
      </c>
      <c r="F427" s="49">
        <f>E427-D427</f>
        <v>0</v>
      </c>
      <c r="G427" s="50">
        <f>IF(D427=0,0,ABS(F427/D427))</f>
        <v>0</v>
      </c>
      <c r="H427" s="49">
        <v>0</v>
      </c>
      <c r="I427" s="49">
        <v>0</v>
      </c>
      <c r="J427" s="51" t="str">
        <f>IF(H427=0,"No plan at start",I427/H427)</f>
        <v>No plan at start</v>
      </c>
      <c r="K427" s="52">
        <f>H427-I427</f>
        <v>0</v>
      </c>
      <c r="L427" s="49">
        <v>0</v>
      </c>
      <c r="M427" s="49">
        <f>I427+L427</f>
        <v>0</v>
      </c>
      <c r="N427" s="49">
        <f>M427-H427</f>
        <v>0</v>
      </c>
      <c r="O427" s="50" t="str">
        <f>IF(H427=0,"No plan at start",M427/H427)</f>
        <v>No plan at start</v>
      </c>
      <c r="P427" s="53"/>
      <c r="Q427" s="54"/>
      <c r="R427" s="55"/>
      <c r="S427" s="55"/>
    </row>
    <row r="428" spans="1:19" s="10" customFormat="1" hidden="1" outlineLevel="2" x14ac:dyDescent="0.2">
      <c r="A428" s="11"/>
      <c r="B428" s="49" t="s">
        <v>93</v>
      </c>
      <c r="C428" s="49" t="s">
        <v>60</v>
      </c>
      <c r="D428" s="49">
        <v>0</v>
      </c>
      <c r="E428" s="49">
        <v>0</v>
      </c>
      <c r="F428" s="49">
        <f>E428-D428</f>
        <v>0</v>
      </c>
      <c r="G428" s="50">
        <f>IF(D428=0,0,ABS(F428/D428))</f>
        <v>0</v>
      </c>
      <c r="H428" s="49">
        <v>0</v>
      </c>
      <c r="I428" s="49">
        <v>0</v>
      </c>
      <c r="J428" s="51" t="str">
        <f>IF(H428=0,"No plan at start",I428/H428)</f>
        <v>No plan at start</v>
      </c>
      <c r="K428" s="52">
        <f>H428-I428</f>
        <v>0</v>
      </c>
      <c r="L428" s="49">
        <v>0</v>
      </c>
      <c r="M428" s="49">
        <f>I428+L428</f>
        <v>0</v>
      </c>
      <c r="N428" s="49">
        <f>M428-H428</f>
        <v>0</v>
      </c>
      <c r="O428" s="50" t="str">
        <f>IF(H428=0,"No plan at start",M428/H428)</f>
        <v>No plan at start</v>
      </c>
      <c r="P428" s="53"/>
      <c r="Q428" s="54"/>
      <c r="R428" s="55"/>
      <c r="S428" s="55"/>
    </row>
    <row r="429" spans="1:19" s="10" customFormat="1" hidden="1" outlineLevel="2" x14ac:dyDescent="0.2">
      <c r="A429" s="11"/>
      <c r="B429" s="49" t="s">
        <v>93</v>
      </c>
      <c r="C429" s="49" t="s">
        <v>61</v>
      </c>
      <c r="D429" s="49">
        <v>0</v>
      </c>
      <c r="E429" s="49">
        <v>0</v>
      </c>
      <c r="F429" s="49">
        <f>E429-D429</f>
        <v>0</v>
      </c>
      <c r="G429" s="50">
        <f>IF(D429=0,0,ABS(F429/D429))</f>
        <v>0</v>
      </c>
      <c r="H429" s="49">
        <v>0</v>
      </c>
      <c r="I429" s="49">
        <v>0</v>
      </c>
      <c r="J429" s="51" t="str">
        <f>IF(H429=0,"No plan at start",I429/H429)</f>
        <v>No plan at start</v>
      </c>
      <c r="K429" s="52">
        <f>H429-I429</f>
        <v>0</v>
      </c>
      <c r="L429" s="49">
        <v>0</v>
      </c>
      <c r="M429" s="49">
        <f>I429+L429</f>
        <v>0</v>
      </c>
      <c r="N429" s="49">
        <f>M429-H429</f>
        <v>0</v>
      </c>
      <c r="O429" s="50" t="str">
        <f>IF(H429=0,"No plan at start",M429/H429)</f>
        <v>No plan at start</v>
      </c>
      <c r="P429" s="53"/>
      <c r="Q429" s="54"/>
      <c r="R429" s="55"/>
      <c r="S429" s="55"/>
    </row>
    <row r="430" spans="1:19" s="10" customFormat="1" hidden="1" outlineLevel="2" x14ac:dyDescent="0.2">
      <c r="A430" s="11"/>
      <c r="B430" s="49" t="s">
        <v>93</v>
      </c>
      <c r="C430" s="49" t="s">
        <v>62</v>
      </c>
      <c r="D430" s="49">
        <v>0</v>
      </c>
      <c r="E430" s="49">
        <v>0</v>
      </c>
      <c r="F430" s="49">
        <f>E430-D430</f>
        <v>0</v>
      </c>
      <c r="G430" s="50">
        <f>IF(D430=0,0,ABS(F430/D430))</f>
        <v>0</v>
      </c>
      <c r="H430" s="49">
        <v>0</v>
      </c>
      <c r="I430" s="49">
        <v>0</v>
      </c>
      <c r="J430" s="51" t="str">
        <f>IF(H430=0,"No plan at start",I430/H430)</f>
        <v>No plan at start</v>
      </c>
      <c r="K430" s="52">
        <f>H430-I430</f>
        <v>0</v>
      </c>
      <c r="L430" s="49">
        <v>0</v>
      </c>
      <c r="M430" s="49">
        <f>I430+L430</f>
        <v>0</v>
      </c>
      <c r="N430" s="49">
        <f>M430-H430</f>
        <v>0</v>
      </c>
      <c r="O430" s="50" t="str">
        <f>IF(H430=0,"No plan at start",M430/H430)</f>
        <v>No plan at start</v>
      </c>
      <c r="P430" s="53"/>
      <c r="Q430" s="54"/>
      <c r="R430" s="55"/>
      <c r="S430" s="55"/>
    </row>
    <row r="431" spans="1:19" s="10" customFormat="1" outlineLevel="1" collapsed="1" x14ac:dyDescent="0.2">
      <c r="A431" s="11"/>
      <c r="B431" s="56" t="s">
        <v>132</v>
      </c>
      <c r="C431" s="49"/>
      <c r="D431" s="49">
        <f>SUBTOTAL(9,D419:D430)</f>
        <v>0</v>
      </c>
      <c r="E431" s="49">
        <f>SUBTOTAL(9,E419:E430)</f>
        <v>0</v>
      </c>
      <c r="F431" s="49">
        <f>SUBTOTAL(9,F419:F430)</f>
        <v>0</v>
      </c>
      <c r="G431" s="50">
        <f>IF(D431=0,0,ABS(F431/D431))</f>
        <v>0</v>
      </c>
      <c r="H431" s="49">
        <f>SUBTOTAL(9,H419:H430)</f>
        <v>0</v>
      </c>
      <c r="I431" s="49">
        <f>SUBTOTAL(9,I419:I430)</f>
        <v>559</v>
      </c>
      <c r="J431" s="51" t="str">
        <f>IF(H431=0,"No plan at start",I431/H431)</f>
        <v>No plan at start</v>
      </c>
      <c r="K431" s="52">
        <f>SUBTOTAL(9,K419:K430)</f>
        <v>-559</v>
      </c>
      <c r="L431" s="49">
        <f>SUBTOTAL(9,L419:L430)</f>
        <v>556.6099999999999</v>
      </c>
      <c r="M431" s="49">
        <f>SUBTOTAL(9,M419:M430)</f>
        <v>1115.6099999999999</v>
      </c>
      <c r="N431" s="49">
        <f>SUBTOTAL(9,N419:N430)</f>
        <v>1115.6099999999999</v>
      </c>
      <c r="O431" s="50" t="str">
        <f>IF(H431=0,"No plan at start",M431/H431)</f>
        <v>No plan at start</v>
      </c>
      <c r="P431" s="53"/>
      <c r="Q431" s="54"/>
      <c r="R431" s="55"/>
      <c r="S431" s="55"/>
    </row>
    <row r="432" spans="1:19" s="10" customFormat="1" hidden="1" outlineLevel="2" x14ac:dyDescent="0.2">
      <c r="A432" s="11"/>
      <c r="B432" s="49" t="s">
        <v>94</v>
      </c>
      <c r="C432" s="49" t="s">
        <v>52</v>
      </c>
      <c r="D432" s="49">
        <v>0</v>
      </c>
      <c r="E432" s="49">
        <v>0</v>
      </c>
      <c r="F432" s="49">
        <f>E432-D432</f>
        <v>0</v>
      </c>
      <c r="G432" s="50">
        <f>IF(D432=0,0,ABS(F432/D432))</f>
        <v>0</v>
      </c>
      <c r="H432" s="49">
        <v>0</v>
      </c>
      <c r="I432" s="49">
        <v>22</v>
      </c>
      <c r="J432" s="51" t="str">
        <f>IF(H432=0,"No plan at start",I432/H432)</f>
        <v>No plan at start</v>
      </c>
      <c r="K432" s="52">
        <f>H432-I432</f>
        <v>-22</v>
      </c>
      <c r="L432" s="49">
        <v>0</v>
      </c>
      <c r="M432" s="49">
        <f>I432+L432</f>
        <v>22</v>
      </c>
      <c r="N432" s="49">
        <f>M432-H432</f>
        <v>22</v>
      </c>
      <c r="O432" s="50" t="str">
        <f>IF(H432=0,"No plan at start",M432/H432)</f>
        <v>No plan at start</v>
      </c>
      <c r="P432" s="53"/>
      <c r="Q432" s="54"/>
      <c r="R432" s="55"/>
      <c r="S432" s="55"/>
    </row>
    <row r="433" spans="1:19" s="10" customFormat="1" hidden="1" outlineLevel="2" x14ac:dyDescent="0.2">
      <c r="A433" s="11"/>
      <c r="B433" s="49" t="s">
        <v>94</v>
      </c>
      <c r="C433" s="49" t="s">
        <v>53</v>
      </c>
      <c r="D433" s="49">
        <v>0</v>
      </c>
      <c r="E433" s="49">
        <v>0</v>
      </c>
      <c r="F433" s="49">
        <f>E433-D433</f>
        <v>0</v>
      </c>
      <c r="G433" s="50">
        <f>IF(D433=0,0,ABS(F433/D433))</f>
        <v>0</v>
      </c>
      <c r="H433" s="49">
        <v>0</v>
      </c>
      <c r="I433" s="49">
        <v>0</v>
      </c>
      <c r="J433" s="51" t="str">
        <f>IF(H433=0,"No plan at start",I433/H433)</f>
        <v>No plan at start</v>
      </c>
      <c r="K433" s="52">
        <f>H433-I433</f>
        <v>0</v>
      </c>
      <c r="L433" s="49">
        <v>0</v>
      </c>
      <c r="M433" s="49">
        <f>I433+L433</f>
        <v>0</v>
      </c>
      <c r="N433" s="49">
        <f>M433-H433</f>
        <v>0</v>
      </c>
      <c r="O433" s="50" t="str">
        <f>IF(H433=0,"No plan at start",M433/H433)</f>
        <v>No plan at start</v>
      </c>
      <c r="P433" s="53"/>
      <c r="Q433" s="54"/>
      <c r="R433" s="55"/>
      <c r="S433" s="55"/>
    </row>
    <row r="434" spans="1:19" s="10" customFormat="1" hidden="1" outlineLevel="2" x14ac:dyDescent="0.2">
      <c r="A434" s="11"/>
      <c r="B434" s="49" t="s">
        <v>94</v>
      </c>
      <c r="C434" s="49" t="s">
        <v>54</v>
      </c>
      <c r="D434" s="49">
        <v>0</v>
      </c>
      <c r="E434" s="49">
        <v>0</v>
      </c>
      <c r="F434" s="49">
        <f>E434-D434</f>
        <v>0</v>
      </c>
      <c r="G434" s="50">
        <f>IF(D434=0,0,ABS(F434/D434))</f>
        <v>0</v>
      </c>
      <c r="H434" s="49">
        <v>0</v>
      </c>
      <c r="I434" s="49">
        <v>0</v>
      </c>
      <c r="J434" s="51" t="str">
        <f>IF(H434=0,"No plan at start",I434/H434)</f>
        <v>No plan at start</v>
      </c>
      <c r="K434" s="52">
        <f>H434-I434</f>
        <v>0</v>
      </c>
      <c r="L434" s="49">
        <v>0</v>
      </c>
      <c r="M434" s="49">
        <f>I434+L434</f>
        <v>0</v>
      </c>
      <c r="N434" s="49">
        <f>M434-H434</f>
        <v>0</v>
      </c>
      <c r="O434" s="50" t="str">
        <f>IF(H434=0,"No plan at start",M434/H434)</f>
        <v>No plan at start</v>
      </c>
      <c r="P434" s="53"/>
      <c r="Q434" s="54"/>
      <c r="R434" s="55"/>
      <c r="S434" s="55"/>
    </row>
    <row r="435" spans="1:19" s="10" customFormat="1" hidden="1" outlineLevel="2" x14ac:dyDescent="0.2">
      <c r="A435" s="11"/>
      <c r="B435" s="49" t="s">
        <v>94</v>
      </c>
      <c r="C435" s="49" t="s">
        <v>55</v>
      </c>
      <c r="D435" s="49">
        <v>0</v>
      </c>
      <c r="E435" s="49">
        <v>0</v>
      </c>
      <c r="F435" s="49">
        <f>E435-D435</f>
        <v>0</v>
      </c>
      <c r="G435" s="50">
        <f>IF(D435=0,0,ABS(F435/D435))</f>
        <v>0</v>
      </c>
      <c r="H435" s="49">
        <v>0</v>
      </c>
      <c r="I435" s="49">
        <v>0</v>
      </c>
      <c r="J435" s="51" t="str">
        <f>IF(H435=0,"No plan at start",I435/H435)</f>
        <v>No plan at start</v>
      </c>
      <c r="K435" s="52">
        <f>H435-I435</f>
        <v>0</v>
      </c>
      <c r="L435" s="49">
        <v>0</v>
      </c>
      <c r="M435" s="49">
        <f>I435+L435</f>
        <v>0</v>
      </c>
      <c r="N435" s="49">
        <f>M435-H435</f>
        <v>0</v>
      </c>
      <c r="O435" s="50" t="str">
        <f>IF(H435=0,"No plan at start",M435/H435)</f>
        <v>No plan at start</v>
      </c>
      <c r="P435" s="53"/>
      <c r="Q435" s="54"/>
      <c r="R435" s="55"/>
      <c r="S435" s="55"/>
    </row>
    <row r="436" spans="1:19" s="10" customFormat="1" hidden="1" outlineLevel="2" x14ac:dyDescent="0.2">
      <c r="A436" s="11"/>
      <c r="B436" s="49" t="s">
        <v>94</v>
      </c>
      <c r="C436" s="49" t="s">
        <v>56</v>
      </c>
      <c r="D436" s="49">
        <v>0</v>
      </c>
      <c r="E436" s="49">
        <v>0</v>
      </c>
      <c r="F436" s="49">
        <f>E436-D436</f>
        <v>0</v>
      </c>
      <c r="G436" s="50">
        <f>IF(D436=0,0,ABS(F436/D436))</f>
        <v>0</v>
      </c>
      <c r="H436" s="49">
        <v>0</v>
      </c>
      <c r="I436" s="49">
        <v>0</v>
      </c>
      <c r="J436" s="51" t="str">
        <f>IF(H436=0,"No plan at start",I436/H436)</f>
        <v>No plan at start</v>
      </c>
      <c r="K436" s="52">
        <f>H436-I436</f>
        <v>0</v>
      </c>
      <c r="L436" s="49">
        <v>0</v>
      </c>
      <c r="M436" s="49">
        <f>I436+L436</f>
        <v>0</v>
      </c>
      <c r="N436" s="49">
        <f>M436-H436</f>
        <v>0</v>
      </c>
      <c r="O436" s="50" t="str">
        <f>IF(H436=0,"No plan at start",M436/H436)</f>
        <v>No plan at start</v>
      </c>
      <c r="P436" s="53"/>
      <c r="Q436" s="54"/>
      <c r="R436" s="55"/>
      <c r="S436" s="55"/>
    </row>
    <row r="437" spans="1:19" s="10" customFormat="1" hidden="1" outlineLevel="2" x14ac:dyDescent="0.2">
      <c r="A437" s="11"/>
      <c r="B437" s="49" t="s">
        <v>94</v>
      </c>
      <c r="C437" s="49" t="s">
        <v>57</v>
      </c>
      <c r="D437" s="49">
        <v>0</v>
      </c>
      <c r="E437" s="49">
        <v>0</v>
      </c>
      <c r="F437" s="49">
        <f>E437-D437</f>
        <v>0</v>
      </c>
      <c r="G437" s="50">
        <f>IF(D437=0,0,ABS(F437/D437))</f>
        <v>0</v>
      </c>
      <c r="H437" s="49">
        <v>0</v>
      </c>
      <c r="I437" s="49">
        <v>0</v>
      </c>
      <c r="J437" s="51" t="str">
        <f>IF(H437=0,"No plan at start",I437/H437)</f>
        <v>No plan at start</v>
      </c>
      <c r="K437" s="52">
        <f>H437-I437</f>
        <v>0</v>
      </c>
      <c r="L437" s="49">
        <v>0</v>
      </c>
      <c r="M437" s="49">
        <f>I437+L437</f>
        <v>0</v>
      </c>
      <c r="N437" s="49">
        <f>M437-H437</f>
        <v>0</v>
      </c>
      <c r="O437" s="50" t="str">
        <f>IF(H437=0,"No plan at start",M437/H437)</f>
        <v>No plan at start</v>
      </c>
      <c r="P437" s="53"/>
      <c r="Q437" s="54"/>
      <c r="R437" s="55"/>
      <c r="S437" s="55"/>
    </row>
    <row r="438" spans="1:19" s="10" customFormat="1" hidden="1" outlineLevel="2" x14ac:dyDescent="0.2">
      <c r="A438" s="11"/>
      <c r="B438" s="49" t="s">
        <v>94</v>
      </c>
      <c r="C438" s="49" t="s">
        <v>48</v>
      </c>
      <c r="D438" s="49">
        <v>0</v>
      </c>
      <c r="E438" s="49">
        <v>0</v>
      </c>
      <c r="F438" s="49">
        <f>E438-D438</f>
        <v>0</v>
      </c>
      <c r="G438" s="50">
        <f>IF(D438=0,0,ABS(F438/D438))</f>
        <v>0</v>
      </c>
      <c r="H438" s="49">
        <v>0</v>
      </c>
      <c r="I438" s="49">
        <v>0</v>
      </c>
      <c r="J438" s="51" t="str">
        <f>IF(H438=0,"No plan at start",I438/H438)</f>
        <v>No plan at start</v>
      </c>
      <c r="K438" s="52">
        <f>H438-I438</f>
        <v>0</v>
      </c>
      <c r="L438" s="49">
        <v>0</v>
      </c>
      <c r="M438" s="49">
        <f>I438+L438</f>
        <v>0</v>
      </c>
      <c r="N438" s="49">
        <f>M438-H438</f>
        <v>0</v>
      </c>
      <c r="O438" s="50" t="str">
        <f>IF(H438=0,"No plan at start",M438/H438)</f>
        <v>No plan at start</v>
      </c>
      <c r="P438" s="53"/>
      <c r="Q438" s="54"/>
      <c r="R438" s="55"/>
      <c r="S438" s="55"/>
    </row>
    <row r="439" spans="1:19" s="10" customFormat="1" hidden="1" outlineLevel="2" x14ac:dyDescent="0.2">
      <c r="A439" s="11"/>
      <c r="B439" s="49" t="s">
        <v>94</v>
      </c>
      <c r="C439" s="49" t="s">
        <v>58</v>
      </c>
      <c r="D439" s="49">
        <v>0</v>
      </c>
      <c r="E439" s="49">
        <v>0</v>
      </c>
      <c r="F439" s="49">
        <f>E439-D439</f>
        <v>0</v>
      </c>
      <c r="G439" s="50">
        <f>IF(D439=0,0,ABS(F439/D439))</f>
        <v>0</v>
      </c>
      <c r="H439" s="49">
        <v>0</v>
      </c>
      <c r="I439" s="49">
        <v>0</v>
      </c>
      <c r="J439" s="51" t="str">
        <f>IF(H439=0,"No plan at start",I439/H439)</f>
        <v>No plan at start</v>
      </c>
      <c r="K439" s="52">
        <f>H439-I439</f>
        <v>0</v>
      </c>
      <c r="L439" s="49">
        <v>0</v>
      </c>
      <c r="M439" s="49">
        <f>I439+L439</f>
        <v>0</v>
      </c>
      <c r="N439" s="49">
        <f>M439-H439</f>
        <v>0</v>
      </c>
      <c r="O439" s="50" t="str">
        <f>IF(H439=0,"No plan at start",M439/H439)</f>
        <v>No plan at start</v>
      </c>
      <c r="P439" s="53"/>
      <c r="Q439" s="54"/>
      <c r="R439" s="55"/>
      <c r="S439" s="55"/>
    </row>
    <row r="440" spans="1:19" s="10" customFormat="1" hidden="1" outlineLevel="2" x14ac:dyDescent="0.2">
      <c r="A440" s="11"/>
      <c r="B440" s="49" t="s">
        <v>94</v>
      </c>
      <c r="C440" s="49" t="s">
        <v>59</v>
      </c>
      <c r="D440" s="49">
        <v>0</v>
      </c>
      <c r="E440" s="49">
        <v>0</v>
      </c>
      <c r="F440" s="49">
        <f>E440-D440</f>
        <v>0</v>
      </c>
      <c r="G440" s="50">
        <f>IF(D440=0,0,ABS(F440/D440))</f>
        <v>0</v>
      </c>
      <c r="H440" s="49">
        <v>0</v>
      </c>
      <c r="I440" s="49">
        <v>0</v>
      </c>
      <c r="J440" s="51" t="str">
        <f>IF(H440=0,"No plan at start",I440/H440)</f>
        <v>No plan at start</v>
      </c>
      <c r="K440" s="52">
        <f>H440-I440</f>
        <v>0</v>
      </c>
      <c r="L440" s="49">
        <v>0</v>
      </c>
      <c r="M440" s="49">
        <f>I440+L440</f>
        <v>0</v>
      </c>
      <c r="N440" s="49">
        <f>M440-H440</f>
        <v>0</v>
      </c>
      <c r="O440" s="50" t="str">
        <f>IF(H440=0,"No plan at start",M440/H440)</f>
        <v>No plan at start</v>
      </c>
      <c r="P440" s="53"/>
      <c r="Q440" s="54"/>
      <c r="R440" s="55"/>
      <c r="S440" s="55"/>
    </row>
    <row r="441" spans="1:19" s="10" customFormat="1" hidden="1" outlineLevel="2" x14ac:dyDescent="0.2">
      <c r="A441" s="11"/>
      <c r="B441" s="49" t="s">
        <v>94</v>
      </c>
      <c r="C441" s="49" t="s">
        <v>60</v>
      </c>
      <c r="D441" s="49">
        <v>0</v>
      </c>
      <c r="E441" s="49">
        <v>0</v>
      </c>
      <c r="F441" s="49">
        <f>E441-D441</f>
        <v>0</v>
      </c>
      <c r="G441" s="50">
        <f>IF(D441=0,0,ABS(F441/D441))</f>
        <v>0</v>
      </c>
      <c r="H441" s="49">
        <v>0</v>
      </c>
      <c r="I441" s="49">
        <v>0</v>
      </c>
      <c r="J441" s="51" t="str">
        <f>IF(H441=0,"No plan at start",I441/H441)</f>
        <v>No plan at start</v>
      </c>
      <c r="K441" s="52">
        <f>H441-I441</f>
        <v>0</v>
      </c>
      <c r="L441" s="49">
        <v>0</v>
      </c>
      <c r="M441" s="49">
        <f>I441+L441</f>
        <v>0</v>
      </c>
      <c r="N441" s="49">
        <f>M441-H441</f>
        <v>0</v>
      </c>
      <c r="O441" s="50" t="str">
        <f>IF(H441=0,"No plan at start",M441/H441)</f>
        <v>No plan at start</v>
      </c>
      <c r="P441" s="53"/>
      <c r="Q441" s="54"/>
      <c r="R441" s="55"/>
      <c r="S441" s="55"/>
    </row>
    <row r="442" spans="1:19" s="10" customFormat="1" hidden="1" outlineLevel="2" x14ac:dyDescent="0.2">
      <c r="A442" s="11"/>
      <c r="B442" s="49" t="s">
        <v>94</v>
      </c>
      <c r="C442" s="49" t="s">
        <v>61</v>
      </c>
      <c r="D442" s="49">
        <v>0</v>
      </c>
      <c r="E442" s="49">
        <v>0</v>
      </c>
      <c r="F442" s="49">
        <f>E442-D442</f>
        <v>0</v>
      </c>
      <c r="G442" s="50">
        <f>IF(D442=0,0,ABS(F442/D442))</f>
        <v>0</v>
      </c>
      <c r="H442" s="49">
        <v>0</v>
      </c>
      <c r="I442" s="49">
        <v>0</v>
      </c>
      <c r="J442" s="51" t="str">
        <f>IF(H442=0,"No plan at start",I442/H442)</f>
        <v>No plan at start</v>
      </c>
      <c r="K442" s="52">
        <f>H442-I442</f>
        <v>0</v>
      </c>
      <c r="L442" s="49">
        <v>0</v>
      </c>
      <c r="M442" s="49">
        <f>I442+L442</f>
        <v>0</v>
      </c>
      <c r="N442" s="49">
        <f>M442-H442</f>
        <v>0</v>
      </c>
      <c r="O442" s="50" t="str">
        <f>IF(H442=0,"No plan at start",M442/H442)</f>
        <v>No plan at start</v>
      </c>
      <c r="P442" s="53"/>
      <c r="Q442" s="54"/>
      <c r="R442" s="55"/>
      <c r="S442" s="55"/>
    </row>
    <row r="443" spans="1:19" s="10" customFormat="1" hidden="1" outlineLevel="2" x14ac:dyDescent="0.2">
      <c r="A443" s="11"/>
      <c r="B443" s="49" t="s">
        <v>94</v>
      </c>
      <c r="C443" s="49" t="s">
        <v>62</v>
      </c>
      <c r="D443" s="49">
        <v>0</v>
      </c>
      <c r="E443" s="49">
        <v>0</v>
      </c>
      <c r="F443" s="49">
        <f>E443-D443</f>
        <v>0</v>
      </c>
      <c r="G443" s="50">
        <f>IF(D443=0,0,ABS(F443/D443))</f>
        <v>0</v>
      </c>
      <c r="H443" s="49">
        <v>0</v>
      </c>
      <c r="I443" s="49">
        <v>0</v>
      </c>
      <c r="J443" s="51" t="str">
        <f>IF(H443=0,"No plan at start",I443/H443)</f>
        <v>No plan at start</v>
      </c>
      <c r="K443" s="52">
        <f>H443-I443</f>
        <v>0</v>
      </c>
      <c r="L443" s="49">
        <v>0</v>
      </c>
      <c r="M443" s="49">
        <f>I443+L443</f>
        <v>0</v>
      </c>
      <c r="N443" s="49">
        <f>M443-H443</f>
        <v>0</v>
      </c>
      <c r="O443" s="50" t="str">
        <f>IF(H443=0,"No plan at start",M443/H443)</f>
        <v>No plan at start</v>
      </c>
      <c r="P443" s="53"/>
      <c r="Q443" s="54"/>
      <c r="R443" s="55"/>
      <c r="S443" s="55"/>
    </row>
    <row r="444" spans="1:19" s="10" customFormat="1" outlineLevel="1" collapsed="1" x14ac:dyDescent="0.2">
      <c r="A444" s="11"/>
      <c r="B444" s="56" t="s">
        <v>133</v>
      </c>
      <c r="C444" s="49"/>
      <c r="D444" s="49">
        <f>SUBTOTAL(9,D432:D443)</f>
        <v>0</v>
      </c>
      <c r="E444" s="49">
        <f>SUBTOTAL(9,E432:E443)</f>
        <v>0</v>
      </c>
      <c r="F444" s="49">
        <f>SUBTOTAL(9,F432:F443)</f>
        <v>0</v>
      </c>
      <c r="G444" s="50">
        <f>IF(D444=0,0,ABS(F444/D444))</f>
        <v>0</v>
      </c>
      <c r="H444" s="49">
        <f>SUBTOTAL(9,H432:H443)</f>
        <v>0</v>
      </c>
      <c r="I444" s="49">
        <f>SUBTOTAL(9,I432:I443)</f>
        <v>22</v>
      </c>
      <c r="J444" s="51" t="str">
        <f>IF(H444=0,"No plan at start",I444/H444)</f>
        <v>No plan at start</v>
      </c>
      <c r="K444" s="52">
        <f>SUBTOTAL(9,K432:K443)</f>
        <v>-22</v>
      </c>
      <c r="L444" s="49">
        <f>SUBTOTAL(9,L432:L443)</f>
        <v>0</v>
      </c>
      <c r="M444" s="49">
        <f>SUBTOTAL(9,M432:M443)</f>
        <v>22</v>
      </c>
      <c r="N444" s="49">
        <f>SUBTOTAL(9,N432:N443)</f>
        <v>22</v>
      </c>
      <c r="O444" s="50" t="str">
        <f>IF(H444=0,"No plan at start",M444/H444)</f>
        <v>No plan at start</v>
      </c>
      <c r="P444" s="53"/>
      <c r="Q444" s="54"/>
      <c r="R444" s="55"/>
      <c r="S444" s="55"/>
    </row>
    <row r="445" spans="1:19" s="10" customFormat="1" hidden="1" outlineLevel="2" x14ac:dyDescent="0.2">
      <c r="A445" s="11"/>
      <c r="B445" s="49" t="s">
        <v>95</v>
      </c>
      <c r="C445" s="49" t="s">
        <v>52</v>
      </c>
      <c r="D445" s="49">
        <v>0</v>
      </c>
      <c r="E445" s="49">
        <v>0</v>
      </c>
      <c r="F445" s="49">
        <f>E445-D445</f>
        <v>0</v>
      </c>
      <c r="G445" s="50">
        <f>IF(D445=0,0,ABS(F445/D445))</f>
        <v>0</v>
      </c>
      <c r="H445" s="49">
        <v>0</v>
      </c>
      <c r="I445" s="49">
        <v>0</v>
      </c>
      <c r="J445" s="51" t="str">
        <f>IF(H445=0,"No plan at start",I445/H445)</f>
        <v>No plan at start</v>
      </c>
      <c r="K445" s="52">
        <f>H445-I445</f>
        <v>0</v>
      </c>
      <c r="L445" s="49">
        <v>0</v>
      </c>
      <c r="M445" s="49">
        <f>I445+L445</f>
        <v>0</v>
      </c>
      <c r="N445" s="49">
        <f>M445-H445</f>
        <v>0</v>
      </c>
      <c r="O445" s="50" t="str">
        <f>IF(H445=0,"No plan at start",M445/H445)</f>
        <v>No plan at start</v>
      </c>
      <c r="P445" s="53"/>
      <c r="Q445" s="54"/>
      <c r="R445" s="55"/>
      <c r="S445" s="55"/>
    </row>
    <row r="446" spans="1:19" s="10" customFormat="1" hidden="1" outlineLevel="2" x14ac:dyDescent="0.2">
      <c r="A446" s="11"/>
      <c r="B446" s="49" t="s">
        <v>95</v>
      </c>
      <c r="C446" s="49" t="s">
        <v>53</v>
      </c>
      <c r="D446" s="49">
        <v>0</v>
      </c>
      <c r="E446" s="49">
        <v>0</v>
      </c>
      <c r="F446" s="49">
        <f>E446-D446</f>
        <v>0</v>
      </c>
      <c r="G446" s="50">
        <f>IF(D446=0,0,ABS(F446/D446))</f>
        <v>0</v>
      </c>
      <c r="H446" s="49">
        <v>0</v>
      </c>
      <c r="I446" s="49">
        <v>0</v>
      </c>
      <c r="J446" s="51" t="str">
        <f>IF(H446=0,"No plan at start",I446/H446)</f>
        <v>No plan at start</v>
      </c>
      <c r="K446" s="52">
        <f>H446-I446</f>
        <v>0</v>
      </c>
      <c r="L446" s="49">
        <v>0</v>
      </c>
      <c r="M446" s="49">
        <f>I446+L446</f>
        <v>0</v>
      </c>
      <c r="N446" s="49">
        <f>M446-H446</f>
        <v>0</v>
      </c>
      <c r="O446" s="50" t="str">
        <f>IF(H446=0,"No plan at start",M446/H446)</f>
        <v>No plan at start</v>
      </c>
      <c r="P446" s="53"/>
      <c r="Q446" s="54"/>
      <c r="R446" s="55"/>
      <c r="S446" s="55"/>
    </row>
    <row r="447" spans="1:19" s="10" customFormat="1" hidden="1" outlineLevel="2" x14ac:dyDescent="0.2">
      <c r="A447" s="11"/>
      <c r="B447" s="49" t="s">
        <v>95</v>
      </c>
      <c r="C447" s="49" t="s">
        <v>54</v>
      </c>
      <c r="D447" s="49">
        <v>0</v>
      </c>
      <c r="E447" s="49">
        <v>0</v>
      </c>
      <c r="F447" s="49">
        <f>E447-D447</f>
        <v>0</v>
      </c>
      <c r="G447" s="50">
        <f>IF(D447=0,0,ABS(F447/D447))</f>
        <v>0</v>
      </c>
      <c r="H447" s="49">
        <v>0</v>
      </c>
      <c r="I447" s="49">
        <v>0</v>
      </c>
      <c r="J447" s="51" t="str">
        <f>IF(H447=0,"No plan at start",I447/H447)</f>
        <v>No plan at start</v>
      </c>
      <c r="K447" s="52">
        <f>H447-I447</f>
        <v>0</v>
      </c>
      <c r="L447" s="49">
        <v>0</v>
      </c>
      <c r="M447" s="49">
        <f>I447+L447</f>
        <v>0</v>
      </c>
      <c r="N447" s="49">
        <f>M447-H447</f>
        <v>0</v>
      </c>
      <c r="O447" s="50" t="str">
        <f>IF(H447=0,"No plan at start",M447/H447)</f>
        <v>No plan at start</v>
      </c>
      <c r="P447" s="53"/>
      <c r="Q447" s="54"/>
      <c r="R447" s="55"/>
      <c r="S447" s="55"/>
    </row>
    <row r="448" spans="1:19" s="10" customFormat="1" hidden="1" outlineLevel="2" x14ac:dyDescent="0.2">
      <c r="A448" s="11"/>
      <c r="B448" s="49" t="s">
        <v>95</v>
      </c>
      <c r="C448" s="49" t="s">
        <v>55</v>
      </c>
      <c r="D448" s="49">
        <v>0</v>
      </c>
      <c r="E448" s="49">
        <v>0</v>
      </c>
      <c r="F448" s="49">
        <f>E448-D448</f>
        <v>0</v>
      </c>
      <c r="G448" s="50">
        <f>IF(D448=0,0,ABS(F448/D448))</f>
        <v>0</v>
      </c>
      <c r="H448" s="49">
        <v>0</v>
      </c>
      <c r="I448" s="49">
        <v>0</v>
      </c>
      <c r="J448" s="51" t="str">
        <f>IF(H448=0,"No plan at start",I448/H448)</f>
        <v>No plan at start</v>
      </c>
      <c r="K448" s="52">
        <f>H448-I448</f>
        <v>0</v>
      </c>
      <c r="L448" s="49">
        <v>0</v>
      </c>
      <c r="M448" s="49">
        <f>I448+L448</f>
        <v>0</v>
      </c>
      <c r="N448" s="49">
        <f>M448-H448</f>
        <v>0</v>
      </c>
      <c r="O448" s="50" t="str">
        <f>IF(H448=0,"No plan at start",M448/H448)</f>
        <v>No plan at start</v>
      </c>
      <c r="P448" s="53"/>
      <c r="Q448" s="54"/>
      <c r="R448" s="55"/>
      <c r="S448" s="55"/>
    </row>
    <row r="449" spans="1:19" s="10" customFormat="1" hidden="1" outlineLevel="2" x14ac:dyDescent="0.2">
      <c r="A449" s="11"/>
      <c r="B449" s="49" t="s">
        <v>95</v>
      </c>
      <c r="C449" s="49" t="s">
        <v>56</v>
      </c>
      <c r="D449" s="49">
        <v>0</v>
      </c>
      <c r="E449" s="49">
        <v>0</v>
      </c>
      <c r="F449" s="49">
        <f>E449-D449</f>
        <v>0</v>
      </c>
      <c r="G449" s="50">
        <f>IF(D449=0,0,ABS(F449/D449))</f>
        <v>0</v>
      </c>
      <c r="H449" s="49">
        <v>0</v>
      </c>
      <c r="I449" s="49">
        <v>0</v>
      </c>
      <c r="J449" s="51" t="str">
        <f>IF(H449=0,"No plan at start",I449/H449)</f>
        <v>No plan at start</v>
      </c>
      <c r="K449" s="52">
        <f>H449-I449</f>
        <v>0</v>
      </c>
      <c r="L449" s="49">
        <v>0</v>
      </c>
      <c r="M449" s="49">
        <f>I449+L449</f>
        <v>0</v>
      </c>
      <c r="N449" s="49">
        <f>M449-H449</f>
        <v>0</v>
      </c>
      <c r="O449" s="50" t="str">
        <f>IF(H449=0,"No plan at start",M449/H449)</f>
        <v>No plan at start</v>
      </c>
      <c r="P449" s="53"/>
      <c r="Q449" s="54"/>
      <c r="R449" s="55"/>
      <c r="S449" s="55"/>
    </row>
    <row r="450" spans="1:19" s="10" customFormat="1" hidden="1" outlineLevel="2" x14ac:dyDescent="0.2">
      <c r="A450" s="11"/>
      <c r="B450" s="49" t="s">
        <v>95</v>
      </c>
      <c r="C450" s="49" t="s">
        <v>57</v>
      </c>
      <c r="D450" s="49">
        <v>0</v>
      </c>
      <c r="E450" s="49">
        <v>0</v>
      </c>
      <c r="F450" s="49">
        <f>E450-D450</f>
        <v>0</v>
      </c>
      <c r="G450" s="50">
        <f>IF(D450=0,0,ABS(F450/D450))</f>
        <v>0</v>
      </c>
      <c r="H450" s="49">
        <v>0</v>
      </c>
      <c r="I450" s="49">
        <v>0</v>
      </c>
      <c r="J450" s="51" t="str">
        <f>IF(H450=0,"No plan at start",I450/H450)</f>
        <v>No plan at start</v>
      </c>
      <c r="K450" s="52">
        <f>H450-I450</f>
        <v>0</v>
      </c>
      <c r="L450" s="49">
        <v>0</v>
      </c>
      <c r="M450" s="49">
        <f>I450+L450</f>
        <v>0</v>
      </c>
      <c r="N450" s="49">
        <f>M450-H450</f>
        <v>0</v>
      </c>
      <c r="O450" s="50" t="str">
        <f>IF(H450=0,"No plan at start",M450/H450)</f>
        <v>No plan at start</v>
      </c>
      <c r="P450" s="53"/>
      <c r="Q450" s="54"/>
      <c r="R450" s="55"/>
      <c r="S450" s="55"/>
    </row>
    <row r="451" spans="1:19" s="10" customFormat="1" hidden="1" outlineLevel="2" x14ac:dyDescent="0.2">
      <c r="A451" s="11"/>
      <c r="B451" s="49" t="s">
        <v>95</v>
      </c>
      <c r="C451" s="49" t="s">
        <v>48</v>
      </c>
      <c r="D451" s="49">
        <v>0</v>
      </c>
      <c r="E451" s="49">
        <v>0</v>
      </c>
      <c r="F451" s="49">
        <f>E451-D451</f>
        <v>0</v>
      </c>
      <c r="G451" s="50">
        <f>IF(D451=0,0,ABS(F451/D451))</f>
        <v>0</v>
      </c>
      <c r="H451" s="49">
        <v>0</v>
      </c>
      <c r="I451" s="49">
        <v>0</v>
      </c>
      <c r="J451" s="51" t="str">
        <f>IF(H451=0,"No plan at start",I451/H451)</f>
        <v>No plan at start</v>
      </c>
      <c r="K451" s="52">
        <f>H451-I451</f>
        <v>0</v>
      </c>
      <c r="L451" s="49">
        <v>0</v>
      </c>
      <c r="M451" s="49">
        <f>I451+L451</f>
        <v>0</v>
      </c>
      <c r="N451" s="49">
        <f>M451-H451</f>
        <v>0</v>
      </c>
      <c r="O451" s="50" t="str">
        <f>IF(H451=0,"No plan at start",M451/H451)</f>
        <v>No plan at start</v>
      </c>
      <c r="P451" s="53"/>
      <c r="Q451" s="54"/>
      <c r="R451" s="55"/>
      <c r="S451" s="55"/>
    </row>
    <row r="452" spans="1:19" s="10" customFormat="1" hidden="1" outlineLevel="2" x14ac:dyDescent="0.2">
      <c r="A452" s="11"/>
      <c r="B452" s="49" t="s">
        <v>95</v>
      </c>
      <c r="C452" s="49" t="s">
        <v>58</v>
      </c>
      <c r="D452" s="49">
        <v>0</v>
      </c>
      <c r="E452" s="49">
        <v>0</v>
      </c>
      <c r="F452" s="49">
        <f>E452-D452</f>
        <v>0</v>
      </c>
      <c r="G452" s="50">
        <f>IF(D452=0,0,ABS(F452/D452))</f>
        <v>0</v>
      </c>
      <c r="H452" s="49">
        <v>0</v>
      </c>
      <c r="I452" s="49">
        <v>0</v>
      </c>
      <c r="J452" s="51" t="str">
        <f>IF(H452=0,"No plan at start",I452/H452)</f>
        <v>No plan at start</v>
      </c>
      <c r="K452" s="52">
        <f>H452-I452</f>
        <v>0</v>
      </c>
      <c r="L452" s="49">
        <v>0</v>
      </c>
      <c r="M452" s="49">
        <f>I452+L452</f>
        <v>0</v>
      </c>
      <c r="N452" s="49">
        <f>M452-H452</f>
        <v>0</v>
      </c>
      <c r="O452" s="50" t="str">
        <f>IF(H452=0,"No plan at start",M452/H452)</f>
        <v>No plan at start</v>
      </c>
      <c r="P452" s="53"/>
      <c r="Q452" s="54"/>
      <c r="R452" s="55"/>
      <c r="S452" s="55"/>
    </row>
    <row r="453" spans="1:19" s="10" customFormat="1" hidden="1" outlineLevel="2" x14ac:dyDescent="0.2">
      <c r="A453" s="11"/>
      <c r="B453" s="49" t="s">
        <v>95</v>
      </c>
      <c r="C453" s="49" t="s">
        <v>59</v>
      </c>
      <c r="D453" s="49">
        <v>0</v>
      </c>
      <c r="E453" s="49">
        <v>0</v>
      </c>
      <c r="F453" s="49">
        <f>E453-D453</f>
        <v>0</v>
      </c>
      <c r="G453" s="50">
        <f>IF(D453=0,0,ABS(F453/D453))</f>
        <v>0</v>
      </c>
      <c r="H453" s="49">
        <v>0</v>
      </c>
      <c r="I453" s="49">
        <v>0</v>
      </c>
      <c r="J453" s="51" t="str">
        <f>IF(H453=0,"No plan at start",I453/H453)</f>
        <v>No plan at start</v>
      </c>
      <c r="K453" s="52">
        <f>H453-I453</f>
        <v>0</v>
      </c>
      <c r="L453" s="49">
        <v>0</v>
      </c>
      <c r="M453" s="49">
        <f>I453+L453</f>
        <v>0</v>
      </c>
      <c r="N453" s="49">
        <f>M453-H453</f>
        <v>0</v>
      </c>
      <c r="O453" s="50" t="str">
        <f>IF(H453=0,"No plan at start",M453/H453)</f>
        <v>No plan at start</v>
      </c>
      <c r="P453" s="53"/>
      <c r="Q453" s="54"/>
      <c r="R453" s="55"/>
      <c r="S453" s="55"/>
    </row>
    <row r="454" spans="1:19" s="10" customFormat="1" hidden="1" outlineLevel="2" x14ac:dyDescent="0.2">
      <c r="A454" s="11"/>
      <c r="B454" s="49" t="s">
        <v>95</v>
      </c>
      <c r="C454" s="49" t="s">
        <v>60</v>
      </c>
      <c r="D454" s="49">
        <v>0</v>
      </c>
      <c r="E454" s="49">
        <v>0</v>
      </c>
      <c r="F454" s="49">
        <f>E454-D454</f>
        <v>0</v>
      </c>
      <c r="G454" s="50">
        <f>IF(D454=0,0,ABS(F454/D454))</f>
        <v>0</v>
      </c>
      <c r="H454" s="49">
        <v>0</v>
      </c>
      <c r="I454" s="49">
        <v>0</v>
      </c>
      <c r="J454" s="51" t="str">
        <f>IF(H454=0,"No plan at start",I454/H454)</f>
        <v>No plan at start</v>
      </c>
      <c r="K454" s="52">
        <f>H454-I454</f>
        <v>0</v>
      </c>
      <c r="L454" s="49">
        <v>0</v>
      </c>
      <c r="M454" s="49">
        <f>I454+L454</f>
        <v>0</v>
      </c>
      <c r="N454" s="49">
        <f>M454-H454</f>
        <v>0</v>
      </c>
      <c r="O454" s="50" t="str">
        <f>IF(H454=0,"No plan at start",M454/H454)</f>
        <v>No plan at start</v>
      </c>
      <c r="P454" s="53"/>
      <c r="Q454" s="54"/>
      <c r="R454" s="55"/>
      <c r="S454" s="55"/>
    </row>
    <row r="455" spans="1:19" s="10" customFormat="1" hidden="1" outlineLevel="2" x14ac:dyDescent="0.2">
      <c r="A455" s="11"/>
      <c r="B455" s="49" t="s">
        <v>95</v>
      </c>
      <c r="C455" s="49" t="s">
        <v>61</v>
      </c>
      <c r="D455" s="49">
        <v>0</v>
      </c>
      <c r="E455" s="49">
        <v>0</v>
      </c>
      <c r="F455" s="49">
        <f>E455-D455</f>
        <v>0</v>
      </c>
      <c r="G455" s="50">
        <f>IF(D455=0,0,ABS(F455/D455))</f>
        <v>0</v>
      </c>
      <c r="H455" s="49">
        <v>0</v>
      </c>
      <c r="I455" s="49">
        <v>0</v>
      </c>
      <c r="J455" s="51" t="str">
        <f>IF(H455=0,"No plan at start",I455/H455)</f>
        <v>No plan at start</v>
      </c>
      <c r="K455" s="52">
        <f>H455-I455</f>
        <v>0</v>
      </c>
      <c r="L455" s="49">
        <v>0</v>
      </c>
      <c r="M455" s="49">
        <f>I455+L455</f>
        <v>0</v>
      </c>
      <c r="N455" s="49">
        <f>M455-H455</f>
        <v>0</v>
      </c>
      <c r="O455" s="50" t="str">
        <f>IF(H455=0,"No plan at start",M455/H455)</f>
        <v>No plan at start</v>
      </c>
      <c r="P455" s="53"/>
      <c r="Q455" s="54"/>
      <c r="R455" s="55"/>
      <c r="S455" s="55"/>
    </row>
    <row r="456" spans="1:19" s="10" customFormat="1" hidden="1" outlineLevel="2" x14ac:dyDescent="0.2">
      <c r="A456" s="11"/>
      <c r="B456" s="49" t="s">
        <v>95</v>
      </c>
      <c r="C456" s="49" t="s">
        <v>62</v>
      </c>
      <c r="D456" s="49">
        <v>0</v>
      </c>
      <c r="E456" s="49">
        <v>0</v>
      </c>
      <c r="F456" s="49">
        <f>E456-D456</f>
        <v>0</v>
      </c>
      <c r="G456" s="50">
        <f>IF(D456=0,0,ABS(F456/D456))</f>
        <v>0</v>
      </c>
      <c r="H456" s="49">
        <v>0</v>
      </c>
      <c r="I456" s="49">
        <v>0</v>
      </c>
      <c r="J456" s="51" t="str">
        <f>IF(H456=0,"No plan at start",I456/H456)</f>
        <v>No plan at start</v>
      </c>
      <c r="K456" s="52">
        <f>H456-I456</f>
        <v>0</v>
      </c>
      <c r="L456" s="49">
        <v>0</v>
      </c>
      <c r="M456" s="49">
        <f>I456+L456</f>
        <v>0</v>
      </c>
      <c r="N456" s="49">
        <f>M456-H456</f>
        <v>0</v>
      </c>
      <c r="O456" s="50" t="str">
        <f>IF(H456=0,"No plan at start",M456/H456)</f>
        <v>No plan at start</v>
      </c>
      <c r="P456" s="53"/>
      <c r="Q456" s="54"/>
      <c r="R456" s="55"/>
      <c r="S456" s="55"/>
    </row>
    <row r="457" spans="1:19" s="10" customFormat="1" outlineLevel="1" collapsed="1" x14ac:dyDescent="0.2">
      <c r="A457" s="11"/>
      <c r="B457" s="56" t="s">
        <v>134</v>
      </c>
      <c r="C457" s="49"/>
      <c r="D457" s="49">
        <f>SUBTOTAL(9,D445:D456)</f>
        <v>0</v>
      </c>
      <c r="E457" s="49">
        <f>SUBTOTAL(9,E445:E456)</f>
        <v>0</v>
      </c>
      <c r="F457" s="49">
        <f>SUBTOTAL(9,F445:F456)</f>
        <v>0</v>
      </c>
      <c r="G457" s="50">
        <f>IF(D457=0,0,ABS(F457/D457))</f>
        <v>0</v>
      </c>
      <c r="H457" s="49">
        <f>SUBTOTAL(9,H445:H456)</f>
        <v>0</v>
      </c>
      <c r="I457" s="49">
        <f>SUBTOTAL(9,I445:I456)</f>
        <v>0</v>
      </c>
      <c r="J457" s="51" t="str">
        <f>IF(H457=0,"No plan at start",I457/H457)</f>
        <v>No plan at start</v>
      </c>
      <c r="K457" s="52">
        <f>SUBTOTAL(9,K445:K456)</f>
        <v>0</v>
      </c>
      <c r="L457" s="49">
        <f>SUBTOTAL(9,L445:L456)</f>
        <v>0</v>
      </c>
      <c r="M457" s="49">
        <f>SUBTOTAL(9,M445:M456)</f>
        <v>0</v>
      </c>
      <c r="N457" s="49">
        <f>SUBTOTAL(9,N445:N456)</f>
        <v>0</v>
      </c>
      <c r="O457" s="50" t="str">
        <f>IF(H457=0,"No plan at start",M457/H457)</f>
        <v>No plan at start</v>
      </c>
      <c r="P457" s="53"/>
      <c r="Q457" s="54"/>
      <c r="R457" s="55"/>
      <c r="S457" s="55"/>
    </row>
    <row r="458" spans="1:19" s="10" customFormat="1" hidden="1" outlineLevel="2" x14ac:dyDescent="0.2">
      <c r="A458" s="11"/>
      <c r="B458" s="49" t="s">
        <v>96</v>
      </c>
      <c r="C458" s="49" t="s">
        <v>52</v>
      </c>
      <c r="D458" s="49">
        <v>7.6</v>
      </c>
      <c r="E458" s="49">
        <v>0</v>
      </c>
      <c r="F458" s="49">
        <f>E458-D458</f>
        <v>-7.6</v>
      </c>
      <c r="G458" s="50">
        <f>IF(D458=0,0,ABS(F458/D458))</f>
        <v>1</v>
      </c>
      <c r="H458" s="49">
        <v>49.599999999999994</v>
      </c>
      <c r="I458" s="49">
        <v>13</v>
      </c>
      <c r="J458" s="51">
        <f>IF(H458=0,"No plan at start",I458/H458)</f>
        <v>0.26209677419354843</v>
      </c>
      <c r="K458" s="52">
        <f>H458-I458</f>
        <v>36.599999999999994</v>
      </c>
      <c r="L458" s="49">
        <v>0</v>
      </c>
      <c r="M458" s="49">
        <f>I458+L458</f>
        <v>13</v>
      </c>
      <c r="N458" s="49">
        <f>M458-H458</f>
        <v>-36.599999999999994</v>
      </c>
      <c r="O458" s="50">
        <f>IF(H458=0,"No plan at start",M458/H458)</f>
        <v>0.26209677419354843</v>
      </c>
      <c r="P458" s="53"/>
      <c r="Q458" s="54"/>
      <c r="R458" s="55"/>
      <c r="S458" s="55"/>
    </row>
    <row r="459" spans="1:19" s="10" customFormat="1" hidden="1" outlineLevel="2" x14ac:dyDescent="0.2">
      <c r="A459" s="11"/>
      <c r="B459" s="49" t="s">
        <v>96</v>
      </c>
      <c r="C459" s="49" t="s">
        <v>53</v>
      </c>
      <c r="D459" s="49">
        <v>0</v>
      </c>
      <c r="E459" s="49">
        <v>0</v>
      </c>
      <c r="F459" s="49">
        <f>E459-D459</f>
        <v>0</v>
      </c>
      <c r="G459" s="50">
        <f>IF(D459=0,0,ABS(F459/D459))</f>
        <v>0</v>
      </c>
      <c r="H459" s="49">
        <v>0</v>
      </c>
      <c r="I459" s="49">
        <v>0</v>
      </c>
      <c r="J459" s="51" t="str">
        <f>IF(H459=0,"No plan at start",I459/H459)</f>
        <v>No plan at start</v>
      </c>
      <c r="K459" s="52">
        <f>H459-I459</f>
        <v>0</v>
      </c>
      <c r="L459" s="49">
        <v>0</v>
      </c>
      <c r="M459" s="49">
        <f>I459+L459</f>
        <v>0</v>
      </c>
      <c r="N459" s="49">
        <f>M459-H459</f>
        <v>0</v>
      </c>
      <c r="O459" s="50" t="str">
        <f>IF(H459=0,"No plan at start",M459/H459)</f>
        <v>No plan at start</v>
      </c>
      <c r="P459" s="53"/>
      <c r="Q459" s="54"/>
      <c r="R459" s="55"/>
      <c r="S459" s="55"/>
    </row>
    <row r="460" spans="1:19" s="10" customFormat="1" hidden="1" outlineLevel="2" x14ac:dyDescent="0.2">
      <c r="A460" s="11"/>
      <c r="B460" s="49" t="s">
        <v>96</v>
      </c>
      <c r="C460" s="49" t="s">
        <v>54</v>
      </c>
      <c r="D460" s="49">
        <v>0</v>
      </c>
      <c r="E460" s="49">
        <v>0</v>
      </c>
      <c r="F460" s="49">
        <f>E460-D460</f>
        <v>0</v>
      </c>
      <c r="G460" s="50">
        <f>IF(D460=0,0,ABS(F460/D460))</f>
        <v>0</v>
      </c>
      <c r="H460" s="49">
        <v>0</v>
      </c>
      <c r="I460" s="49">
        <v>0</v>
      </c>
      <c r="J460" s="51" t="str">
        <f>IF(H460=0,"No plan at start",I460/H460)</f>
        <v>No plan at start</v>
      </c>
      <c r="K460" s="52">
        <f>H460-I460</f>
        <v>0</v>
      </c>
      <c r="L460" s="49">
        <v>0</v>
      </c>
      <c r="M460" s="49">
        <f>I460+L460</f>
        <v>0</v>
      </c>
      <c r="N460" s="49">
        <f>M460-H460</f>
        <v>0</v>
      </c>
      <c r="O460" s="50" t="str">
        <f>IF(H460=0,"No plan at start",M460/H460)</f>
        <v>No plan at start</v>
      </c>
      <c r="P460" s="53"/>
      <c r="Q460" s="54"/>
      <c r="R460" s="55"/>
      <c r="S460" s="55"/>
    </row>
    <row r="461" spans="1:19" s="10" customFormat="1" hidden="1" outlineLevel="2" x14ac:dyDescent="0.2">
      <c r="A461" s="11"/>
      <c r="B461" s="49" t="s">
        <v>96</v>
      </c>
      <c r="C461" s="49" t="s">
        <v>55</v>
      </c>
      <c r="D461" s="49">
        <v>0</v>
      </c>
      <c r="E461" s="49">
        <v>0</v>
      </c>
      <c r="F461" s="49">
        <f>E461-D461</f>
        <v>0</v>
      </c>
      <c r="G461" s="50">
        <f>IF(D461=0,0,ABS(F461/D461))</f>
        <v>0</v>
      </c>
      <c r="H461" s="49">
        <v>116</v>
      </c>
      <c r="I461" s="49">
        <v>0</v>
      </c>
      <c r="J461" s="51">
        <f>IF(H461=0,"No plan at start",I461/H461)</f>
        <v>0</v>
      </c>
      <c r="K461" s="52">
        <f>H461-I461</f>
        <v>116</v>
      </c>
      <c r="L461" s="49">
        <v>0</v>
      </c>
      <c r="M461" s="49">
        <f>I461+L461</f>
        <v>0</v>
      </c>
      <c r="N461" s="49">
        <f>M461-H461</f>
        <v>-116</v>
      </c>
      <c r="O461" s="50">
        <f>IF(H461=0,"No plan at start",M461/H461)</f>
        <v>0</v>
      </c>
      <c r="P461" s="53"/>
      <c r="Q461" s="54"/>
      <c r="R461" s="55"/>
      <c r="S461" s="55"/>
    </row>
    <row r="462" spans="1:19" s="10" customFormat="1" hidden="1" outlineLevel="2" x14ac:dyDescent="0.2">
      <c r="A462" s="11"/>
      <c r="B462" s="49" t="s">
        <v>96</v>
      </c>
      <c r="C462" s="49" t="s">
        <v>56</v>
      </c>
      <c r="D462" s="49">
        <v>0</v>
      </c>
      <c r="E462" s="49">
        <v>0</v>
      </c>
      <c r="F462" s="49">
        <f>E462-D462</f>
        <v>0</v>
      </c>
      <c r="G462" s="50">
        <f>IF(D462=0,0,ABS(F462/D462))</f>
        <v>0</v>
      </c>
      <c r="H462" s="49">
        <v>0</v>
      </c>
      <c r="I462" s="49">
        <v>0</v>
      </c>
      <c r="J462" s="51" t="str">
        <f>IF(H462=0,"No plan at start",I462/H462)</f>
        <v>No plan at start</v>
      </c>
      <c r="K462" s="52">
        <f>H462-I462</f>
        <v>0</v>
      </c>
      <c r="L462" s="49">
        <v>0</v>
      </c>
      <c r="M462" s="49">
        <f>I462+L462</f>
        <v>0</v>
      </c>
      <c r="N462" s="49">
        <f>M462-H462</f>
        <v>0</v>
      </c>
      <c r="O462" s="50" t="str">
        <f>IF(H462=0,"No plan at start",M462/H462)</f>
        <v>No plan at start</v>
      </c>
      <c r="P462" s="53"/>
      <c r="Q462" s="54"/>
      <c r="R462" s="55"/>
      <c r="S462" s="55"/>
    </row>
    <row r="463" spans="1:19" s="10" customFormat="1" hidden="1" outlineLevel="2" x14ac:dyDescent="0.2">
      <c r="A463" s="11"/>
      <c r="B463" s="49" t="s">
        <v>96</v>
      </c>
      <c r="C463" s="49" t="s">
        <v>57</v>
      </c>
      <c r="D463" s="49">
        <v>0</v>
      </c>
      <c r="E463" s="49">
        <v>0</v>
      </c>
      <c r="F463" s="49">
        <f>E463-D463</f>
        <v>0</v>
      </c>
      <c r="G463" s="50">
        <f>IF(D463=0,0,ABS(F463/D463))</f>
        <v>0</v>
      </c>
      <c r="H463" s="49">
        <v>0</v>
      </c>
      <c r="I463" s="49">
        <v>0</v>
      </c>
      <c r="J463" s="51" t="str">
        <f>IF(H463=0,"No plan at start",I463/H463)</f>
        <v>No plan at start</v>
      </c>
      <c r="K463" s="52">
        <f>H463-I463</f>
        <v>0</v>
      </c>
      <c r="L463" s="49">
        <v>0</v>
      </c>
      <c r="M463" s="49">
        <f>I463+L463</f>
        <v>0</v>
      </c>
      <c r="N463" s="49">
        <f>M463-H463</f>
        <v>0</v>
      </c>
      <c r="O463" s="50" t="str">
        <f>IF(H463=0,"No plan at start",M463/H463)</f>
        <v>No plan at start</v>
      </c>
      <c r="P463" s="53"/>
      <c r="Q463" s="54"/>
      <c r="R463" s="55"/>
      <c r="S463" s="55"/>
    </row>
    <row r="464" spans="1:19" s="10" customFormat="1" hidden="1" outlineLevel="2" x14ac:dyDescent="0.2">
      <c r="A464" s="11"/>
      <c r="B464" s="49" t="s">
        <v>96</v>
      </c>
      <c r="C464" s="49" t="s">
        <v>48</v>
      </c>
      <c r="D464" s="49">
        <v>0</v>
      </c>
      <c r="E464" s="49">
        <v>0</v>
      </c>
      <c r="F464" s="49">
        <f>E464-D464</f>
        <v>0</v>
      </c>
      <c r="G464" s="50">
        <f>IF(D464=0,0,ABS(F464/D464))</f>
        <v>0</v>
      </c>
      <c r="H464" s="49">
        <v>0</v>
      </c>
      <c r="I464" s="49">
        <v>0</v>
      </c>
      <c r="J464" s="51" t="str">
        <f>IF(H464=0,"No plan at start",I464/H464)</f>
        <v>No plan at start</v>
      </c>
      <c r="K464" s="52">
        <f>H464-I464</f>
        <v>0</v>
      </c>
      <c r="L464" s="49">
        <v>0</v>
      </c>
      <c r="M464" s="49">
        <f>I464+L464</f>
        <v>0</v>
      </c>
      <c r="N464" s="49">
        <f>M464-H464</f>
        <v>0</v>
      </c>
      <c r="O464" s="50" t="str">
        <f>IF(H464=0,"No plan at start",M464/H464)</f>
        <v>No plan at start</v>
      </c>
      <c r="P464" s="53"/>
      <c r="Q464" s="54"/>
      <c r="R464" s="55"/>
      <c r="S464" s="55"/>
    </row>
    <row r="465" spans="1:19" s="10" customFormat="1" hidden="1" outlineLevel="2" x14ac:dyDescent="0.2">
      <c r="A465" s="11"/>
      <c r="B465" s="49" t="s">
        <v>96</v>
      </c>
      <c r="C465" s="49" t="s">
        <v>58</v>
      </c>
      <c r="D465" s="49">
        <v>0</v>
      </c>
      <c r="E465" s="49">
        <v>0</v>
      </c>
      <c r="F465" s="49">
        <f>E465-D465</f>
        <v>0</v>
      </c>
      <c r="G465" s="50">
        <f>IF(D465=0,0,ABS(F465/D465))</f>
        <v>0</v>
      </c>
      <c r="H465" s="49">
        <v>0</v>
      </c>
      <c r="I465" s="49">
        <v>0</v>
      </c>
      <c r="J465" s="51" t="str">
        <f>IF(H465=0,"No plan at start",I465/H465)</f>
        <v>No plan at start</v>
      </c>
      <c r="K465" s="52">
        <f>H465-I465</f>
        <v>0</v>
      </c>
      <c r="L465" s="49">
        <v>0</v>
      </c>
      <c r="M465" s="49">
        <f>I465+L465</f>
        <v>0</v>
      </c>
      <c r="N465" s="49">
        <f>M465-H465</f>
        <v>0</v>
      </c>
      <c r="O465" s="50" t="str">
        <f>IF(H465=0,"No plan at start",M465/H465)</f>
        <v>No plan at start</v>
      </c>
      <c r="P465" s="53"/>
      <c r="Q465" s="54"/>
      <c r="R465" s="55"/>
      <c r="S465" s="55"/>
    </row>
    <row r="466" spans="1:19" s="10" customFormat="1" hidden="1" outlineLevel="2" x14ac:dyDescent="0.2">
      <c r="A466" s="11"/>
      <c r="B466" s="49" t="s">
        <v>96</v>
      </c>
      <c r="C466" s="49" t="s">
        <v>59</v>
      </c>
      <c r="D466" s="49">
        <v>0</v>
      </c>
      <c r="E466" s="49">
        <v>0</v>
      </c>
      <c r="F466" s="49">
        <f>E466-D466</f>
        <v>0</v>
      </c>
      <c r="G466" s="50">
        <f>IF(D466=0,0,ABS(F466/D466))</f>
        <v>0</v>
      </c>
      <c r="H466" s="49">
        <v>0</v>
      </c>
      <c r="I466" s="49">
        <v>0</v>
      </c>
      <c r="J466" s="51" t="str">
        <f>IF(H466=0,"No plan at start",I466/H466)</f>
        <v>No plan at start</v>
      </c>
      <c r="K466" s="52">
        <f>H466-I466</f>
        <v>0</v>
      </c>
      <c r="L466" s="49">
        <v>0</v>
      </c>
      <c r="M466" s="49">
        <f>I466+L466</f>
        <v>0</v>
      </c>
      <c r="N466" s="49">
        <f>M466-H466</f>
        <v>0</v>
      </c>
      <c r="O466" s="50" t="str">
        <f>IF(H466=0,"No plan at start",M466/H466)</f>
        <v>No plan at start</v>
      </c>
      <c r="P466" s="53"/>
      <c r="Q466" s="54"/>
      <c r="R466" s="55"/>
      <c r="S466" s="55"/>
    </row>
    <row r="467" spans="1:19" s="10" customFormat="1" hidden="1" outlineLevel="2" x14ac:dyDescent="0.2">
      <c r="A467" s="11"/>
      <c r="B467" s="49" t="s">
        <v>96</v>
      </c>
      <c r="C467" s="49" t="s">
        <v>60</v>
      </c>
      <c r="D467" s="49">
        <v>0</v>
      </c>
      <c r="E467" s="49">
        <v>0</v>
      </c>
      <c r="F467" s="49">
        <f>E467-D467</f>
        <v>0</v>
      </c>
      <c r="G467" s="50">
        <f>IF(D467=0,0,ABS(F467/D467))</f>
        <v>0</v>
      </c>
      <c r="H467" s="49">
        <v>0</v>
      </c>
      <c r="I467" s="49">
        <v>0</v>
      </c>
      <c r="J467" s="51" t="str">
        <f>IF(H467=0,"No plan at start",I467/H467)</f>
        <v>No plan at start</v>
      </c>
      <c r="K467" s="52">
        <f>H467-I467</f>
        <v>0</v>
      </c>
      <c r="L467" s="49">
        <v>0</v>
      </c>
      <c r="M467" s="49">
        <f>I467+L467</f>
        <v>0</v>
      </c>
      <c r="N467" s="49">
        <f>M467-H467</f>
        <v>0</v>
      </c>
      <c r="O467" s="50" t="str">
        <f>IF(H467=0,"No plan at start",M467/H467)</f>
        <v>No plan at start</v>
      </c>
      <c r="P467" s="53"/>
      <c r="Q467" s="54"/>
      <c r="R467" s="55"/>
      <c r="S467" s="55"/>
    </row>
    <row r="468" spans="1:19" s="10" customFormat="1" hidden="1" outlineLevel="2" x14ac:dyDescent="0.2">
      <c r="A468" s="11"/>
      <c r="B468" s="49" t="s">
        <v>96</v>
      </c>
      <c r="C468" s="49" t="s">
        <v>61</v>
      </c>
      <c r="D468" s="49">
        <v>0</v>
      </c>
      <c r="E468" s="49">
        <v>0</v>
      </c>
      <c r="F468" s="49">
        <f>E468-D468</f>
        <v>0</v>
      </c>
      <c r="G468" s="50">
        <f>IF(D468=0,0,ABS(F468/D468))</f>
        <v>0</v>
      </c>
      <c r="H468" s="49">
        <v>0</v>
      </c>
      <c r="I468" s="49">
        <v>0</v>
      </c>
      <c r="J468" s="51" t="str">
        <f>IF(H468=0,"No plan at start",I468/H468)</f>
        <v>No plan at start</v>
      </c>
      <c r="K468" s="52">
        <f>H468-I468</f>
        <v>0</v>
      </c>
      <c r="L468" s="49">
        <v>0</v>
      </c>
      <c r="M468" s="49">
        <f>I468+L468</f>
        <v>0</v>
      </c>
      <c r="N468" s="49">
        <f>M468-H468</f>
        <v>0</v>
      </c>
      <c r="O468" s="50" t="str">
        <f>IF(H468=0,"No plan at start",M468/H468)</f>
        <v>No plan at start</v>
      </c>
      <c r="P468" s="53"/>
      <c r="Q468" s="54"/>
      <c r="R468" s="55"/>
      <c r="S468" s="55"/>
    </row>
    <row r="469" spans="1:19" s="10" customFormat="1" hidden="1" outlineLevel="2" x14ac:dyDescent="0.2">
      <c r="A469" s="11"/>
      <c r="B469" s="49" t="s">
        <v>96</v>
      </c>
      <c r="C469" s="49" t="s">
        <v>62</v>
      </c>
      <c r="D469" s="49">
        <v>0</v>
      </c>
      <c r="E469" s="49">
        <v>0</v>
      </c>
      <c r="F469" s="49">
        <f>E469-D469</f>
        <v>0</v>
      </c>
      <c r="G469" s="50">
        <f>IF(D469=0,0,ABS(F469/D469))</f>
        <v>0</v>
      </c>
      <c r="H469" s="49">
        <v>0</v>
      </c>
      <c r="I469" s="49">
        <v>0</v>
      </c>
      <c r="J469" s="51" t="str">
        <f>IF(H469=0,"No plan at start",I469/H469)</f>
        <v>No plan at start</v>
      </c>
      <c r="K469" s="52">
        <f>H469-I469</f>
        <v>0</v>
      </c>
      <c r="L469" s="49">
        <v>0</v>
      </c>
      <c r="M469" s="49">
        <f>I469+L469</f>
        <v>0</v>
      </c>
      <c r="N469" s="49">
        <f>M469-H469</f>
        <v>0</v>
      </c>
      <c r="O469" s="50" t="str">
        <f>IF(H469=0,"No plan at start",M469/H469)</f>
        <v>No plan at start</v>
      </c>
      <c r="P469" s="53"/>
      <c r="Q469" s="54"/>
      <c r="R469" s="55"/>
      <c r="S469" s="55"/>
    </row>
    <row r="470" spans="1:19" s="10" customFormat="1" outlineLevel="1" collapsed="1" x14ac:dyDescent="0.2">
      <c r="A470" s="11"/>
      <c r="B470" s="56" t="s">
        <v>135</v>
      </c>
      <c r="C470" s="49"/>
      <c r="D470" s="49">
        <f>SUBTOTAL(9,D458:D469)</f>
        <v>7.6</v>
      </c>
      <c r="E470" s="49">
        <f>SUBTOTAL(9,E458:E469)</f>
        <v>0</v>
      </c>
      <c r="F470" s="49">
        <f>SUBTOTAL(9,F458:F469)</f>
        <v>-7.6</v>
      </c>
      <c r="G470" s="50">
        <f>IF(D470=0,0,ABS(F470/D470))</f>
        <v>1</v>
      </c>
      <c r="H470" s="49">
        <f>SUBTOTAL(9,H458:H469)</f>
        <v>165.6</v>
      </c>
      <c r="I470" s="49">
        <f>SUBTOTAL(9,I458:I469)</f>
        <v>13</v>
      </c>
      <c r="J470" s="51">
        <f>IF(H470=0,"No plan at start",I470/H470)</f>
        <v>7.85024154589372E-2</v>
      </c>
      <c r="K470" s="52">
        <f>SUBTOTAL(9,K458:K469)</f>
        <v>152.6</v>
      </c>
      <c r="L470" s="49">
        <f>SUBTOTAL(9,L458:L469)</f>
        <v>0</v>
      </c>
      <c r="M470" s="49">
        <f>SUBTOTAL(9,M458:M469)</f>
        <v>13</v>
      </c>
      <c r="N470" s="49">
        <f>SUBTOTAL(9,N458:N469)</f>
        <v>-152.6</v>
      </c>
      <c r="O470" s="50">
        <f>IF(H470=0,"No plan at start",M470/H470)</f>
        <v>7.85024154589372E-2</v>
      </c>
      <c r="P470" s="53"/>
      <c r="Q470" s="54"/>
      <c r="R470" s="55"/>
      <c r="S470" s="55"/>
    </row>
    <row r="471" spans="1:19" s="10" customFormat="1" hidden="1" outlineLevel="2" x14ac:dyDescent="0.2">
      <c r="A471" s="11"/>
      <c r="B471" s="49" t="s">
        <v>97</v>
      </c>
      <c r="C471" s="49" t="s">
        <v>52</v>
      </c>
      <c r="D471" s="49">
        <v>0</v>
      </c>
      <c r="E471" s="49">
        <v>0</v>
      </c>
      <c r="F471" s="49">
        <f>E471-D471</f>
        <v>0</v>
      </c>
      <c r="G471" s="50">
        <f>IF(D471=0,0,ABS(F471/D471))</f>
        <v>0</v>
      </c>
      <c r="H471" s="49">
        <v>0</v>
      </c>
      <c r="I471" s="49">
        <v>0</v>
      </c>
      <c r="J471" s="51" t="str">
        <f>IF(H471=0,"No plan at start",I471/H471)</f>
        <v>No plan at start</v>
      </c>
      <c r="K471" s="52">
        <f>H471-I471</f>
        <v>0</v>
      </c>
      <c r="L471" s="49">
        <v>0</v>
      </c>
      <c r="M471" s="49">
        <f>I471+L471</f>
        <v>0</v>
      </c>
      <c r="N471" s="49">
        <f>M471-H471</f>
        <v>0</v>
      </c>
      <c r="O471" s="50" t="str">
        <f>IF(H471=0,"No plan at start",M471/H471)</f>
        <v>No plan at start</v>
      </c>
      <c r="P471" s="53"/>
      <c r="Q471" s="54"/>
      <c r="R471" s="55"/>
      <c r="S471" s="55"/>
    </row>
    <row r="472" spans="1:19" s="10" customFormat="1" hidden="1" outlineLevel="2" x14ac:dyDescent="0.2">
      <c r="A472" s="11"/>
      <c r="B472" s="49" t="s">
        <v>97</v>
      </c>
      <c r="C472" s="49" t="s">
        <v>53</v>
      </c>
      <c r="D472" s="49">
        <v>0</v>
      </c>
      <c r="E472" s="49">
        <v>0</v>
      </c>
      <c r="F472" s="49">
        <f>E472-D472</f>
        <v>0</v>
      </c>
      <c r="G472" s="50">
        <f>IF(D472=0,0,ABS(F472/D472))</f>
        <v>0</v>
      </c>
      <c r="H472" s="49">
        <v>0</v>
      </c>
      <c r="I472" s="49">
        <v>0</v>
      </c>
      <c r="J472" s="51" t="str">
        <f>IF(H472=0,"No plan at start",I472/H472)</f>
        <v>No plan at start</v>
      </c>
      <c r="K472" s="52">
        <f>H472-I472</f>
        <v>0</v>
      </c>
      <c r="L472" s="49">
        <v>0</v>
      </c>
      <c r="M472" s="49">
        <f>I472+L472</f>
        <v>0</v>
      </c>
      <c r="N472" s="49">
        <f>M472-H472</f>
        <v>0</v>
      </c>
      <c r="O472" s="50" t="str">
        <f>IF(H472=0,"No plan at start",M472/H472)</f>
        <v>No plan at start</v>
      </c>
      <c r="P472" s="53"/>
      <c r="Q472" s="54"/>
      <c r="R472" s="55"/>
      <c r="S472" s="55"/>
    </row>
    <row r="473" spans="1:19" s="10" customFormat="1" hidden="1" outlineLevel="2" x14ac:dyDescent="0.2">
      <c r="A473" s="11"/>
      <c r="B473" s="49" t="s">
        <v>97</v>
      </c>
      <c r="C473" s="49" t="s">
        <v>54</v>
      </c>
      <c r="D473" s="49">
        <v>0</v>
      </c>
      <c r="E473" s="49">
        <v>0</v>
      </c>
      <c r="F473" s="49">
        <f>E473-D473</f>
        <v>0</v>
      </c>
      <c r="G473" s="50">
        <f>IF(D473=0,0,ABS(F473/D473))</f>
        <v>0</v>
      </c>
      <c r="H473" s="49">
        <v>0</v>
      </c>
      <c r="I473" s="49">
        <v>0</v>
      </c>
      <c r="J473" s="51" t="str">
        <f>IF(H473=0,"No plan at start",I473/H473)</f>
        <v>No plan at start</v>
      </c>
      <c r="K473" s="52">
        <f>H473-I473</f>
        <v>0</v>
      </c>
      <c r="L473" s="49">
        <v>0</v>
      </c>
      <c r="M473" s="49">
        <f>I473+L473</f>
        <v>0</v>
      </c>
      <c r="N473" s="49">
        <f>M473-H473</f>
        <v>0</v>
      </c>
      <c r="O473" s="50" t="str">
        <f>IF(H473=0,"No plan at start",M473/H473)</f>
        <v>No plan at start</v>
      </c>
      <c r="P473" s="53"/>
      <c r="Q473" s="54"/>
      <c r="R473" s="55"/>
      <c r="S473" s="55"/>
    </row>
    <row r="474" spans="1:19" s="10" customFormat="1" hidden="1" outlineLevel="2" x14ac:dyDescent="0.2">
      <c r="A474" s="11"/>
      <c r="B474" s="49" t="s">
        <v>97</v>
      </c>
      <c r="C474" s="49" t="s">
        <v>55</v>
      </c>
      <c r="D474" s="49">
        <v>0</v>
      </c>
      <c r="E474" s="49">
        <v>0</v>
      </c>
      <c r="F474" s="49">
        <f>E474-D474</f>
        <v>0</v>
      </c>
      <c r="G474" s="50">
        <f>IF(D474=0,0,ABS(F474/D474))</f>
        <v>0</v>
      </c>
      <c r="H474" s="49">
        <v>0</v>
      </c>
      <c r="I474" s="49">
        <v>0</v>
      </c>
      <c r="J474" s="51" t="str">
        <f>IF(H474=0,"No plan at start",I474/H474)</f>
        <v>No plan at start</v>
      </c>
      <c r="K474" s="52">
        <f>H474-I474</f>
        <v>0</v>
      </c>
      <c r="L474" s="49">
        <v>0</v>
      </c>
      <c r="M474" s="49">
        <f>I474+L474</f>
        <v>0</v>
      </c>
      <c r="N474" s="49">
        <f>M474-H474</f>
        <v>0</v>
      </c>
      <c r="O474" s="50" t="str">
        <f>IF(H474=0,"No plan at start",M474/H474)</f>
        <v>No plan at start</v>
      </c>
      <c r="P474" s="53"/>
      <c r="Q474" s="54"/>
      <c r="R474" s="55"/>
      <c r="S474" s="55"/>
    </row>
    <row r="475" spans="1:19" s="10" customFormat="1" hidden="1" outlineLevel="2" x14ac:dyDescent="0.2">
      <c r="A475" s="11"/>
      <c r="B475" s="49" t="s">
        <v>97</v>
      </c>
      <c r="C475" s="49" t="s">
        <v>56</v>
      </c>
      <c r="D475" s="49">
        <v>0</v>
      </c>
      <c r="E475" s="49">
        <v>0</v>
      </c>
      <c r="F475" s="49">
        <f>E475-D475</f>
        <v>0</v>
      </c>
      <c r="G475" s="50">
        <f>IF(D475=0,0,ABS(F475/D475))</f>
        <v>0</v>
      </c>
      <c r="H475" s="49">
        <v>0</v>
      </c>
      <c r="I475" s="49">
        <v>0</v>
      </c>
      <c r="J475" s="51" t="str">
        <f>IF(H475=0,"No plan at start",I475/H475)</f>
        <v>No plan at start</v>
      </c>
      <c r="K475" s="52">
        <f>H475-I475</f>
        <v>0</v>
      </c>
      <c r="L475" s="49">
        <v>0</v>
      </c>
      <c r="M475" s="49">
        <f>I475+L475</f>
        <v>0</v>
      </c>
      <c r="N475" s="49">
        <f>M475-H475</f>
        <v>0</v>
      </c>
      <c r="O475" s="50" t="str">
        <f>IF(H475=0,"No plan at start",M475/H475)</f>
        <v>No plan at start</v>
      </c>
      <c r="P475" s="53"/>
      <c r="Q475" s="54"/>
      <c r="R475" s="55"/>
      <c r="S475" s="55"/>
    </row>
    <row r="476" spans="1:19" s="10" customFormat="1" hidden="1" outlineLevel="2" x14ac:dyDescent="0.2">
      <c r="A476" s="11"/>
      <c r="B476" s="49" t="s">
        <v>97</v>
      </c>
      <c r="C476" s="49" t="s">
        <v>57</v>
      </c>
      <c r="D476" s="49">
        <v>0</v>
      </c>
      <c r="E476" s="49">
        <v>0</v>
      </c>
      <c r="F476" s="49">
        <f>E476-D476</f>
        <v>0</v>
      </c>
      <c r="G476" s="50">
        <f>IF(D476=0,0,ABS(F476/D476))</f>
        <v>0</v>
      </c>
      <c r="H476" s="49">
        <v>0</v>
      </c>
      <c r="I476" s="49">
        <v>0</v>
      </c>
      <c r="J476" s="51" t="str">
        <f>IF(H476=0,"No plan at start",I476/H476)</f>
        <v>No plan at start</v>
      </c>
      <c r="K476" s="52">
        <f>H476-I476</f>
        <v>0</v>
      </c>
      <c r="L476" s="49">
        <v>0</v>
      </c>
      <c r="M476" s="49">
        <f>I476+L476</f>
        <v>0</v>
      </c>
      <c r="N476" s="49">
        <f>M476-H476</f>
        <v>0</v>
      </c>
      <c r="O476" s="50" t="str">
        <f>IF(H476=0,"No plan at start",M476/H476)</f>
        <v>No plan at start</v>
      </c>
      <c r="P476" s="53"/>
      <c r="Q476" s="54"/>
      <c r="R476" s="55"/>
      <c r="S476" s="55"/>
    </row>
    <row r="477" spans="1:19" s="10" customFormat="1" hidden="1" outlineLevel="2" x14ac:dyDescent="0.2">
      <c r="A477" s="11"/>
      <c r="B477" s="49" t="s">
        <v>97</v>
      </c>
      <c r="C477" s="49" t="s">
        <v>48</v>
      </c>
      <c r="D477" s="49">
        <v>0</v>
      </c>
      <c r="E477" s="49">
        <v>0</v>
      </c>
      <c r="F477" s="49">
        <f>E477-D477</f>
        <v>0</v>
      </c>
      <c r="G477" s="50">
        <f>IF(D477=0,0,ABS(F477/D477))</f>
        <v>0</v>
      </c>
      <c r="H477" s="49">
        <v>0</v>
      </c>
      <c r="I477" s="49">
        <v>0</v>
      </c>
      <c r="J477" s="51" t="str">
        <f>IF(H477=0,"No plan at start",I477/H477)</f>
        <v>No plan at start</v>
      </c>
      <c r="K477" s="52">
        <f>H477-I477</f>
        <v>0</v>
      </c>
      <c r="L477" s="49">
        <v>0</v>
      </c>
      <c r="M477" s="49">
        <f>I477+L477</f>
        <v>0</v>
      </c>
      <c r="N477" s="49">
        <f>M477-H477</f>
        <v>0</v>
      </c>
      <c r="O477" s="50" t="str">
        <f>IF(H477=0,"No plan at start",M477/H477)</f>
        <v>No plan at start</v>
      </c>
      <c r="P477" s="53"/>
      <c r="Q477" s="54"/>
      <c r="R477" s="55"/>
      <c r="S477" s="55"/>
    </row>
    <row r="478" spans="1:19" s="10" customFormat="1" hidden="1" outlineLevel="2" x14ac:dyDescent="0.2">
      <c r="A478" s="11"/>
      <c r="B478" s="49" t="s">
        <v>97</v>
      </c>
      <c r="C478" s="49" t="s">
        <v>58</v>
      </c>
      <c r="D478" s="49">
        <v>0</v>
      </c>
      <c r="E478" s="49">
        <v>0</v>
      </c>
      <c r="F478" s="49">
        <f>E478-D478</f>
        <v>0</v>
      </c>
      <c r="G478" s="50">
        <f>IF(D478=0,0,ABS(F478/D478))</f>
        <v>0</v>
      </c>
      <c r="H478" s="49">
        <v>0</v>
      </c>
      <c r="I478" s="49">
        <v>0</v>
      </c>
      <c r="J478" s="51" t="str">
        <f>IF(H478=0,"No plan at start",I478/H478)</f>
        <v>No plan at start</v>
      </c>
      <c r="K478" s="52">
        <f>H478-I478</f>
        <v>0</v>
      </c>
      <c r="L478" s="49">
        <v>0</v>
      </c>
      <c r="M478" s="49">
        <f>I478+L478</f>
        <v>0</v>
      </c>
      <c r="N478" s="49">
        <f>M478-H478</f>
        <v>0</v>
      </c>
      <c r="O478" s="50" t="str">
        <f>IF(H478=0,"No plan at start",M478/H478)</f>
        <v>No plan at start</v>
      </c>
      <c r="P478" s="53"/>
      <c r="Q478" s="54"/>
      <c r="R478" s="55"/>
      <c r="S478" s="55"/>
    </row>
    <row r="479" spans="1:19" s="10" customFormat="1" hidden="1" outlineLevel="2" x14ac:dyDescent="0.2">
      <c r="A479" s="11"/>
      <c r="B479" s="49" t="s">
        <v>97</v>
      </c>
      <c r="C479" s="49" t="s">
        <v>59</v>
      </c>
      <c r="D479" s="49">
        <v>0</v>
      </c>
      <c r="E479" s="49">
        <v>0</v>
      </c>
      <c r="F479" s="49">
        <f>E479-D479</f>
        <v>0</v>
      </c>
      <c r="G479" s="50">
        <f>IF(D479=0,0,ABS(F479/D479))</f>
        <v>0</v>
      </c>
      <c r="H479" s="49">
        <v>0</v>
      </c>
      <c r="I479" s="49">
        <v>0</v>
      </c>
      <c r="J479" s="51" t="str">
        <f>IF(H479=0,"No plan at start",I479/H479)</f>
        <v>No plan at start</v>
      </c>
      <c r="K479" s="52">
        <f>H479-I479</f>
        <v>0</v>
      </c>
      <c r="L479" s="49">
        <v>0</v>
      </c>
      <c r="M479" s="49">
        <f>I479+L479</f>
        <v>0</v>
      </c>
      <c r="N479" s="49">
        <f>M479-H479</f>
        <v>0</v>
      </c>
      <c r="O479" s="50" t="str">
        <f>IF(H479=0,"No plan at start",M479/H479)</f>
        <v>No plan at start</v>
      </c>
      <c r="P479" s="53"/>
      <c r="Q479" s="54"/>
      <c r="R479" s="55"/>
      <c r="S479" s="55"/>
    </row>
    <row r="480" spans="1:19" s="10" customFormat="1" hidden="1" outlineLevel="2" x14ac:dyDescent="0.2">
      <c r="A480" s="11"/>
      <c r="B480" s="49" t="s">
        <v>97</v>
      </c>
      <c r="C480" s="49" t="s">
        <v>60</v>
      </c>
      <c r="D480" s="49">
        <v>0</v>
      </c>
      <c r="E480" s="49">
        <v>0</v>
      </c>
      <c r="F480" s="49">
        <f>E480-D480</f>
        <v>0</v>
      </c>
      <c r="G480" s="50">
        <f>IF(D480=0,0,ABS(F480/D480))</f>
        <v>0</v>
      </c>
      <c r="H480" s="49">
        <v>0</v>
      </c>
      <c r="I480" s="49">
        <v>0</v>
      </c>
      <c r="J480" s="51" t="str">
        <f>IF(H480=0,"No plan at start",I480/H480)</f>
        <v>No plan at start</v>
      </c>
      <c r="K480" s="52">
        <f>H480-I480</f>
        <v>0</v>
      </c>
      <c r="L480" s="49">
        <v>0</v>
      </c>
      <c r="M480" s="49">
        <f>I480+L480</f>
        <v>0</v>
      </c>
      <c r="N480" s="49">
        <f>M480-H480</f>
        <v>0</v>
      </c>
      <c r="O480" s="50" t="str">
        <f>IF(H480=0,"No plan at start",M480/H480)</f>
        <v>No plan at start</v>
      </c>
      <c r="P480" s="53"/>
      <c r="Q480" s="54"/>
      <c r="R480" s="55"/>
      <c r="S480" s="55"/>
    </row>
    <row r="481" spans="1:19" s="10" customFormat="1" hidden="1" outlineLevel="2" x14ac:dyDescent="0.2">
      <c r="A481" s="11"/>
      <c r="B481" s="49" t="s">
        <v>97</v>
      </c>
      <c r="C481" s="49" t="s">
        <v>61</v>
      </c>
      <c r="D481" s="49">
        <v>0</v>
      </c>
      <c r="E481" s="49">
        <v>0</v>
      </c>
      <c r="F481" s="49">
        <f>E481-D481</f>
        <v>0</v>
      </c>
      <c r="G481" s="50">
        <f>IF(D481=0,0,ABS(F481/D481))</f>
        <v>0</v>
      </c>
      <c r="H481" s="49">
        <v>0</v>
      </c>
      <c r="I481" s="49">
        <v>0</v>
      </c>
      <c r="J481" s="51" t="str">
        <f>IF(H481=0,"No plan at start",I481/H481)</f>
        <v>No plan at start</v>
      </c>
      <c r="K481" s="52">
        <f>H481-I481</f>
        <v>0</v>
      </c>
      <c r="L481" s="49">
        <v>0</v>
      </c>
      <c r="M481" s="49">
        <f>I481+L481</f>
        <v>0</v>
      </c>
      <c r="N481" s="49">
        <f>M481-H481</f>
        <v>0</v>
      </c>
      <c r="O481" s="50" t="str">
        <f>IF(H481=0,"No plan at start",M481/H481)</f>
        <v>No plan at start</v>
      </c>
      <c r="P481" s="53"/>
      <c r="Q481" s="54"/>
      <c r="R481" s="55"/>
      <c r="S481" s="55"/>
    </row>
    <row r="482" spans="1:19" s="10" customFormat="1" hidden="1" outlineLevel="2" x14ac:dyDescent="0.2">
      <c r="A482" s="11"/>
      <c r="B482" s="49" t="s">
        <v>97</v>
      </c>
      <c r="C482" s="49" t="s">
        <v>62</v>
      </c>
      <c r="D482" s="49">
        <v>0</v>
      </c>
      <c r="E482" s="49">
        <v>0</v>
      </c>
      <c r="F482" s="49">
        <f>E482-D482</f>
        <v>0</v>
      </c>
      <c r="G482" s="50">
        <f>IF(D482=0,0,ABS(F482/D482))</f>
        <v>0</v>
      </c>
      <c r="H482" s="49">
        <v>0</v>
      </c>
      <c r="I482" s="49">
        <v>0</v>
      </c>
      <c r="J482" s="51" t="str">
        <f>IF(H482=0,"No plan at start",I482/H482)</f>
        <v>No plan at start</v>
      </c>
      <c r="K482" s="52">
        <f>H482-I482</f>
        <v>0</v>
      </c>
      <c r="L482" s="49">
        <v>0</v>
      </c>
      <c r="M482" s="49">
        <f>I482+L482</f>
        <v>0</v>
      </c>
      <c r="N482" s="49">
        <f>M482-H482</f>
        <v>0</v>
      </c>
      <c r="O482" s="50" t="str">
        <f>IF(H482=0,"No plan at start",M482/H482)</f>
        <v>No plan at start</v>
      </c>
      <c r="P482" s="53"/>
      <c r="Q482" s="54"/>
      <c r="R482" s="55"/>
      <c r="S482" s="55"/>
    </row>
    <row r="483" spans="1:19" s="10" customFormat="1" outlineLevel="1" collapsed="1" x14ac:dyDescent="0.2">
      <c r="A483" s="11"/>
      <c r="B483" s="56" t="s">
        <v>136</v>
      </c>
      <c r="C483" s="49"/>
      <c r="D483" s="49">
        <f>SUBTOTAL(9,D471:D482)</f>
        <v>0</v>
      </c>
      <c r="E483" s="49">
        <f>SUBTOTAL(9,E471:E482)</f>
        <v>0</v>
      </c>
      <c r="F483" s="49">
        <f>SUBTOTAL(9,F471:F482)</f>
        <v>0</v>
      </c>
      <c r="G483" s="50">
        <f>IF(D483=0,0,ABS(F483/D483))</f>
        <v>0</v>
      </c>
      <c r="H483" s="49">
        <f>SUBTOTAL(9,H471:H482)</f>
        <v>0</v>
      </c>
      <c r="I483" s="49">
        <f>SUBTOTAL(9,I471:I482)</f>
        <v>0</v>
      </c>
      <c r="J483" s="51" t="str">
        <f>IF(H483=0,"No plan at start",I483/H483)</f>
        <v>No plan at start</v>
      </c>
      <c r="K483" s="52">
        <f>SUBTOTAL(9,K471:K482)</f>
        <v>0</v>
      </c>
      <c r="L483" s="49">
        <f>SUBTOTAL(9,L471:L482)</f>
        <v>0</v>
      </c>
      <c r="M483" s="49">
        <f>SUBTOTAL(9,M471:M482)</f>
        <v>0</v>
      </c>
      <c r="N483" s="49">
        <f>SUBTOTAL(9,N471:N482)</f>
        <v>0</v>
      </c>
      <c r="O483" s="50" t="str">
        <f>IF(H483=0,"No plan at start",M483/H483)</f>
        <v>No plan at start</v>
      </c>
      <c r="P483" s="53"/>
      <c r="Q483" s="54"/>
      <c r="R483" s="55"/>
      <c r="S483" s="55"/>
    </row>
    <row r="484" spans="1:19" s="10" customFormat="1" hidden="1" outlineLevel="2" x14ac:dyDescent="0.2">
      <c r="A484" s="11"/>
      <c r="B484" s="49" t="s">
        <v>98</v>
      </c>
      <c r="C484" s="49" t="s">
        <v>52</v>
      </c>
      <c r="D484" s="49">
        <v>0</v>
      </c>
      <c r="E484" s="49">
        <v>0</v>
      </c>
      <c r="F484" s="49">
        <f>E484-D484</f>
        <v>0</v>
      </c>
      <c r="G484" s="50">
        <f>IF(D484=0,0,ABS(F484/D484))</f>
        <v>0</v>
      </c>
      <c r="H484" s="49">
        <v>0</v>
      </c>
      <c r="I484" s="49">
        <v>0</v>
      </c>
      <c r="J484" s="51" t="str">
        <f>IF(H484=0,"No plan at start",I484/H484)</f>
        <v>No plan at start</v>
      </c>
      <c r="K484" s="52">
        <f>H484-I484</f>
        <v>0</v>
      </c>
      <c r="L484" s="49">
        <v>0</v>
      </c>
      <c r="M484" s="49">
        <f>I484+L484</f>
        <v>0</v>
      </c>
      <c r="N484" s="49">
        <f>M484-H484</f>
        <v>0</v>
      </c>
      <c r="O484" s="50" t="str">
        <f>IF(H484=0,"No plan at start",M484/H484)</f>
        <v>No plan at start</v>
      </c>
      <c r="P484" s="53"/>
      <c r="Q484" s="54"/>
      <c r="R484" s="55"/>
      <c r="S484" s="55"/>
    </row>
    <row r="485" spans="1:19" s="10" customFormat="1" hidden="1" outlineLevel="2" x14ac:dyDescent="0.2">
      <c r="A485" s="11"/>
      <c r="B485" s="49" t="s">
        <v>98</v>
      </c>
      <c r="C485" s="49" t="s">
        <v>53</v>
      </c>
      <c r="D485" s="49">
        <v>0</v>
      </c>
      <c r="E485" s="49">
        <v>0</v>
      </c>
      <c r="F485" s="49">
        <f>E485-D485</f>
        <v>0</v>
      </c>
      <c r="G485" s="50">
        <f>IF(D485=0,0,ABS(F485/D485))</f>
        <v>0</v>
      </c>
      <c r="H485" s="49">
        <v>0</v>
      </c>
      <c r="I485" s="49">
        <v>0</v>
      </c>
      <c r="J485" s="51" t="str">
        <f>IF(H485=0,"No plan at start",I485/H485)</f>
        <v>No plan at start</v>
      </c>
      <c r="K485" s="52">
        <f>H485-I485</f>
        <v>0</v>
      </c>
      <c r="L485" s="49">
        <v>0</v>
      </c>
      <c r="M485" s="49">
        <f>I485+L485</f>
        <v>0</v>
      </c>
      <c r="N485" s="49">
        <f>M485-H485</f>
        <v>0</v>
      </c>
      <c r="O485" s="50" t="str">
        <f>IF(H485=0,"No plan at start",M485/H485)</f>
        <v>No plan at start</v>
      </c>
      <c r="P485" s="53"/>
      <c r="Q485" s="54"/>
      <c r="R485" s="55"/>
      <c r="S485" s="55"/>
    </row>
    <row r="486" spans="1:19" s="10" customFormat="1" hidden="1" outlineLevel="2" x14ac:dyDescent="0.2">
      <c r="A486" s="11"/>
      <c r="B486" s="49" t="s">
        <v>98</v>
      </c>
      <c r="C486" s="49" t="s">
        <v>54</v>
      </c>
      <c r="D486" s="49">
        <v>0</v>
      </c>
      <c r="E486" s="49">
        <v>0</v>
      </c>
      <c r="F486" s="49">
        <f>E486-D486</f>
        <v>0</v>
      </c>
      <c r="G486" s="50">
        <f>IF(D486=0,0,ABS(F486/D486))</f>
        <v>0</v>
      </c>
      <c r="H486" s="49">
        <v>0</v>
      </c>
      <c r="I486" s="49">
        <v>0</v>
      </c>
      <c r="J486" s="51" t="str">
        <f>IF(H486=0,"No plan at start",I486/H486)</f>
        <v>No plan at start</v>
      </c>
      <c r="K486" s="52">
        <f>H486-I486</f>
        <v>0</v>
      </c>
      <c r="L486" s="49">
        <v>0</v>
      </c>
      <c r="M486" s="49">
        <f>I486+L486</f>
        <v>0</v>
      </c>
      <c r="N486" s="49">
        <f>M486-H486</f>
        <v>0</v>
      </c>
      <c r="O486" s="50" t="str">
        <f>IF(H486=0,"No plan at start",M486/H486)</f>
        <v>No plan at start</v>
      </c>
      <c r="P486" s="53"/>
      <c r="Q486" s="54"/>
      <c r="R486" s="55"/>
      <c r="S486" s="55"/>
    </row>
    <row r="487" spans="1:19" s="10" customFormat="1" hidden="1" outlineLevel="2" x14ac:dyDescent="0.2">
      <c r="A487" s="11"/>
      <c r="B487" s="49" t="s">
        <v>98</v>
      </c>
      <c r="C487" s="49" t="s">
        <v>55</v>
      </c>
      <c r="D487" s="49">
        <v>0</v>
      </c>
      <c r="E487" s="49">
        <v>0</v>
      </c>
      <c r="F487" s="49">
        <f>E487-D487</f>
        <v>0</v>
      </c>
      <c r="G487" s="50">
        <f>IF(D487=0,0,ABS(F487/D487))</f>
        <v>0</v>
      </c>
      <c r="H487" s="49">
        <v>0</v>
      </c>
      <c r="I487" s="49">
        <v>0</v>
      </c>
      <c r="J487" s="51" t="str">
        <f>IF(H487=0,"No plan at start",I487/H487)</f>
        <v>No plan at start</v>
      </c>
      <c r="K487" s="52">
        <f>H487-I487</f>
        <v>0</v>
      </c>
      <c r="L487" s="49">
        <v>0</v>
      </c>
      <c r="M487" s="49">
        <f>I487+L487</f>
        <v>0</v>
      </c>
      <c r="N487" s="49">
        <f>M487-H487</f>
        <v>0</v>
      </c>
      <c r="O487" s="50" t="str">
        <f>IF(H487=0,"No plan at start",M487/H487)</f>
        <v>No plan at start</v>
      </c>
      <c r="P487" s="53"/>
      <c r="Q487" s="54"/>
      <c r="R487" s="55"/>
      <c r="S487" s="55"/>
    </row>
    <row r="488" spans="1:19" s="10" customFormat="1" hidden="1" outlineLevel="2" x14ac:dyDescent="0.2">
      <c r="A488" s="11"/>
      <c r="B488" s="49" t="s">
        <v>98</v>
      </c>
      <c r="C488" s="49" t="s">
        <v>56</v>
      </c>
      <c r="D488" s="49">
        <v>0</v>
      </c>
      <c r="E488" s="49">
        <v>0</v>
      </c>
      <c r="F488" s="49">
        <f>E488-D488</f>
        <v>0</v>
      </c>
      <c r="G488" s="50">
        <f>IF(D488=0,0,ABS(F488/D488))</f>
        <v>0</v>
      </c>
      <c r="H488" s="49">
        <v>0</v>
      </c>
      <c r="I488" s="49">
        <v>0</v>
      </c>
      <c r="J488" s="51" t="str">
        <f>IF(H488=0,"No plan at start",I488/H488)</f>
        <v>No plan at start</v>
      </c>
      <c r="K488" s="52">
        <f>H488-I488</f>
        <v>0</v>
      </c>
      <c r="L488" s="49">
        <v>0</v>
      </c>
      <c r="M488" s="49">
        <f>I488+L488</f>
        <v>0</v>
      </c>
      <c r="N488" s="49">
        <f>M488-H488</f>
        <v>0</v>
      </c>
      <c r="O488" s="50" t="str">
        <f>IF(H488=0,"No plan at start",M488/H488)</f>
        <v>No plan at start</v>
      </c>
      <c r="P488" s="53"/>
      <c r="Q488" s="54"/>
      <c r="R488" s="55"/>
      <c r="S488" s="55"/>
    </row>
    <row r="489" spans="1:19" s="10" customFormat="1" hidden="1" outlineLevel="2" x14ac:dyDescent="0.2">
      <c r="A489" s="11"/>
      <c r="B489" s="49" t="s">
        <v>98</v>
      </c>
      <c r="C489" s="49" t="s">
        <v>57</v>
      </c>
      <c r="D489" s="49">
        <v>0</v>
      </c>
      <c r="E489" s="49">
        <v>0</v>
      </c>
      <c r="F489" s="49">
        <f>E489-D489</f>
        <v>0</v>
      </c>
      <c r="G489" s="50">
        <f>IF(D489=0,0,ABS(F489/D489))</f>
        <v>0</v>
      </c>
      <c r="H489" s="49">
        <v>0</v>
      </c>
      <c r="I489" s="49">
        <v>0</v>
      </c>
      <c r="J489" s="51" t="str">
        <f>IF(H489=0,"No plan at start",I489/H489)</f>
        <v>No plan at start</v>
      </c>
      <c r="K489" s="52">
        <f>H489-I489</f>
        <v>0</v>
      </c>
      <c r="L489" s="49">
        <v>0</v>
      </c>
      <c r="M489" s="49">
        <f>I489+L489</f>
        <v>0</v>
      </c>
      <c r="N489" s="49">
        <f>M489-H489</f>
        <v>0</v>
      </c>
      <c r="O489" s="50" t="str">
        <f>IF(H489=0,"No plan at start",M489/H489)</f>
        <v>No plan at start</v>
      </c>
      <c r="P489" s="53"/>
      <c r="Q489" s="54"/>
      <c r="R489" s="55"/>
      <c r="S489" s="55"/>
    </row>
    <row r="490" spans="1:19" s="10" customFormat="1" hidden="1" outlineLevel="2" x14ac:dyDescent="0.2">
      <c r="A490" s="11"/>
      <c r="B490" s="49" t="s">
        <v>98</v>
      </c>
      <c r="C490" s="49" t="s">
        <v>48</v>
      </c>
      <c r="D490" s="49">
        <v>0</v>
      </c>
      <c r="E490" s="49">
        <v>0</v>
      </c>
      <c r="F490" s="49">
        <f>E490-D490</f>
        <v>0</v>
      </c>
      <c r="G490" s="50">
        <f>IF(D490=0,0,ABS(F490/D490))</f>
        <v>0</v>
      </c>
      <c r="H490" s="49">
        <v>0</v>
      </c>
      <c r="I490" s="49">
        <v>0</v>
      </c>
      <c r="J490" s="51" t="str">
        <f>IF(H490=0,"No plan at start",I490/H490)</f>
        <v>No plan at start</v>
      </c>
      <c r="K490" s="52">
        <f>H490-I490</f>
        <v>0</v>
      </c>
      <c r="L490" s="49">
        <v>0</v>
      </c>
      <c r="M490" s="49">
        <f>I490+L490</f>
        <v>0</v>
      </c>
      <c r="N490" s="49">
        <f>M490-H490</f>
        <v>0</v>
      </c>
      <c r="O490" s="50" t="str">
        <f>IF(H490=0,"No plan at start",M490/H490)</f>
        <v>No plan at start</v>
      </c>
      <c r="P490" s="53"/>
      <c r="Q490" s="54"/>
      <c r="R490" s="55"/>
      <c r="S490" s="55"/>
    </row>
    <row r="491" spans="1:19" s="10" customFormat="1" hidden="1" outlineLevel="2" x14ac:dyDescent="0.2">
      <c r="A491" s="11"/>
      <c r="B491" s="49" t="s">
        <v>98</v>
      </c>
      <c r="C491" s="49" t="s">
        <v>58</v>
      </c>
      <c r="D491" s="49">
        <v>0</v>
      </c>
      <c r="E491" s="49">
        <v>0</v>
      </c>
      <c r="F491" s="49">
        <f>E491-D491</f>
        <v>0</v>
      </c>
      <c r="G491" s="50">
        <f>IF(D491=0,0,ABS(F491/D491))</f>
        <v>0</v>
      </c>
      <c r="H491" s="49">
        <v>0</v>
      </c>
      <c r="I491" s="49">
        <v>0</v>
      </c>
      <c r="J491" s="51" t="str">
        <f>IF(H491=0,"No plan at start",I491/H491)</f>
        <v>No plan at start</v>
      </c>
      <c r="K491" s="52">
        <f>H491-I491</f>
        <v>0</v>
      </c>
      <c r="L491" s="49">
        <v>0</v>
      </c>
      <c r="M491" s="49">
        <f>I491+L491</f>
        <v>0</v>
      </c>
      <c r="N491" s="49">
        <f>M491-H491</f>
        <v>0</v>
      </c>
      <c r="O491" s="50" t="str">
        <f>IF(H491=0,"No plan at start",M491/H491)</f>
        <v>No plan at start</v>
      </c>
      <c r="P491" s="53"/>
      <c r="Q491" s="54"/>
      <c r="R491" s="55"/>
      <c r="S491" s="55"/>
    </row>
    <row r="492" spans="1:19" s="10" customFormat="1" hidden="1" outlineLevel="2" x14ac:dyDescent="0.2">
      <c r="A492" s="11"/>
      <c r="B492" s="49" t="s">
        <v>98</v>
      </c>
      <c r="C492" s="49" t="s">
        <v>59</v>
      </c>
      <c r="D492" s="49">
        <v>0</v>
      </c>
      <c r="E492" s="49">
        <v>0</v>
      </c>
      <c r="F492" s="49">
        <f>E492-D492</f>
        <v>0</v>
      </c>
      <c r="G492" s="50">
        <f>IF(D492=0,0,ABS(F492/D492))</f>
        <v>0</v>
      </c>
      <c r="H492" s="49">
        <v>0</v>
      </c>
      <c r="I492" s="49">
        <v>0</v>
      </c>
      <c r="J492" s="51" t="str">
        <f>IF(H492=0,"No plan at start",I492/H492)</f>
        <v>No plan at start</v>
      </c>
      <c r="K492" s="52">
        <f>H492-I492</f>
        <v>0</v>
      </c>
      <c r="L492" s="49">
        <v>0</v>
      </c>
      <c r="M492" s="49">
        <f>I492+L492</f>
        <v>0</v>
      </c>
      <c r="N492" s="49">
        <f>M492-H492</f>
        <v>0</v>
      </c>
      <c r="O492" s="50" t="str">
        <f>IF(H492=0,"No plan at start",M492/H492)</f>
        <v>No plan at start</v>
      </c>
      <c r="P492" s="53"/>
      <c r="Q492" s="54"/>
      <c r="R492" s="55"/>
      <c r="S492" s="55"/>
    </row>
    <row r="493" spans="1:19" s="10" customFormat="1" hidden="1" outlineLevel="2" x14ac:dyDescent="0.2">
      <c r="A493" s="11"/>
      <c r="B493" s="49" t="s">
        <v>98</v>
      </c>
      <c r="C493" s="49" t="s">
        <v>60</v>
      </c>
      <c r="D493" s="49">
        <v>0</v>
      </c>
      <c r="E493" s="49">
        <v>0</v>
      </c>
      <c r="F493" s="49">
        <f>E493-D493</f>
        <v>0</v>
      </c>
      <c r="G493" s="50">
        <f>IF(D493=0,0,ABS(F493/D493))</f>
        <v>0</v>
      </c>
      <c r="H493" s="49">
        <v>0</v>
      </c>
      <c r="I493" s="49">
        <v>0</v>
      </c>
      <c r="J493" s="51" t="str">
        <f>IF(H493=0,"No plan at start",I493/H493)</f>
        <v>No plan at start</v>
      </c>
      <c r="K493" s="52">
        <f>H493-I493</f>
        <v>0</v>
      </c>
      <c r="L493" s="49">
        <v>0</v>
      </c>
      <c r="M493" s="49">
        <f>I493+L493</f>
        <v>0</v>
      </c>
      <c r="N493" s="49">
        <f>M493-H493</f>
        <v>0</v>
      </c>
      <c r="O493" s="50" t="str">
        <f>IF(H493=0,"No plan at start",M493/H493)</f>
        <v>No plan at start</v>
      </c>
      <c r="P493" s="53"/>
      <c r="Q493" s="54"/>
      <c r="R493" s="55"/>
      <c r="S493" s="55"/>
    </row>
    <row r="494" spans="1:19" s="10" customFormat="1" hidden="1" outlineLevel="2" x14ac:dyDescent="0.2">
      <c r="A494" s="11"/>
      <c r="B494" s="49" t="s">
        <v>98</v>
      </c>
      <c r="C494" s="49" t="s">
        <v>61</v>
      </c>
      <c r="D494" s="49">
        <v>0</v>
      </c>
      <c r="E494" s="49">
        <v>0</v>
      </c>
      <c r="F494" s="49">
        <f>E494-D494</f>
        <v>0</v>
      </c>
      <c r="G494" s="50">
        <f>IF(D494=0,0,ABS(F494/D494))</f>
        <v>0</v>
      </c>
      <c r="H494" s="49">
        <v>0</v>
      </c>
      <c r="I494" s="49">
        <v>0</v>
      </c>
      <c r="J494" s="51" t="str">
        <f>IF(H494=0,"No plan at start",I494/H494)</f>
        <v>No plan at start</v>
      </c>
      <c r="K494" s="52">
        <f>H494-I494</f>
        <v>0</v>
      </c>
      <c r="L494" s="49">
        <v>0</v>
      </c>
      <c r="M494" s="49">
        <f>I494+L494</f>
        <v>0</v>
      </c>
      <c r="N494" s="49">
        <f>M494-H494</f>
        <v>0</v>
      </c>
      <c r="O494" s="50" t="str">
        <f>IF(H494=0,"No plan at start",M494/H494)</f>
        <v>No plan at start</v>
      </c>
      <c r="P494" s="53"/>
      <c r="Q494" s="54"/>
      <c r="R494" s="55"/>
      <c r="S494" s="55"/>
    </row>
    <row r="495" spans="1:19" s="10" customFormat="1" hidden="1" outlineLevel="2" x14ac:dyDescent="0.2">
      <c r="A495" s="11"/>
      <c r="B495" s="49" t="s">
        <v>98</v>
      </c>
      <c r="C495" s="49" t="s">
        <v>62</v>
      </c>
      <c r="D495" s="49">
        <v>0</v>
      </c>
      <c r="E495" s="49">
        <v>0</v>
      </c>
      <c r="F495" s="49">
        <f>E495-D495</f>
        <v>0</v>
      </c>
      <c r="G495" s="50">
        <f>IF(D495=0,0,ABS(F495/D495))</f>
        <v>0</v>
      </c>
      <c r="H495" s="49">
        <v>0</v>
      </c>
      <c r="I495" s="49">
        <v>0</v>
      </c>
      <c r="J495" s="51" t="str">
        <f>IF(H495=0,"No plan at start",I495/H495)</f>
        <v>No plan at start</v>
      </c>
      <c r="K495" s="52">
        <f>H495-I495</f>
        <v>0</v>
      </c>
      <c r="L495" s="49">
        <v>0</v>
      </c>
      <c r="M495" s="49">
        <f>I495+L495</f>
        <v>0</v>
      </c>
      <c r="N495" s="49">
        <f>M495-H495</f>
        <v>0</v>
      </c>
      <c r="O495" s="50" t="str">
        <f>IF(H495=0,"No plan at start",M495/H495)</f>
        <v>No plan at start</v>
      </c>
      <c r="P495" s="53"/>
      <c r="Q495" s="54"/>
      <c r="R495" s="55"/>
      <c r="S495" s="55"/>
    </row>
    <row r="496" spans="1:19" s="10" customFormat="1" outlineLevel="1" collapsed="1" x14ac:dyDescent="0.2">
      <c r="A496" s="11"/>
      <c r="B496" s="56" t="s">
        <v>137</v>
      </c>
      <c r="C496" s="49"/>
      <c r="D496" s="49">
        <f>SUBTOTAL(9,D484:D495)</f>
        <v>0</v>
      </c>
      <c r="E496" s="49">
        <f>SUBTOTAL(9,E484:E495)</f>
        <v>0</v>
      </c>
      <c r="F496" s="49">
        <f>SUBTOTAL(9,F484:F495)</f>
        <v>0</v>
      </c>
      <c r="G496" s="50">
        <f>IF(D496=0,0,ABS(F496/D496))</f>
        <v>0</v>
      </c>
      <c r="H496" s="49">
        <f>SUBTOTAL(9,H484:H495)</f>
        <v>0</v>
      </c>
      <c r="I496" s="49">
        <f>SUBTOTAL(9,I484:I495)</f>
        <v>0</v>
      </c>
      <c r="J496" s="51" t="str">
        <f>IF(H496=0,"No plan at start",I496/H496)</f>
        <v>No plan at start</v>
      </c>
      <c r="K496" s="52">
        <f>SUBTOTAL(9,K484:K495)</f>
        <v>0</v>
      </c>
      <c r="L496" s="49">
        <f>SUBTOTAL(9,L484:L495)</f>
        <v>0</v>
      </c>
      <c r="M496" s="49">
        <f>SUBTOTAL(9,M484:M495)</f>
        <v>0</v>
      </c>
      <c r="N496" s="49">
        <f>SUBTOTAL(9,N484:N495)</f>
        <v>0</v>
      </c>
      <c r="O496" s="50" t="str">
        <f>IF(H496=0,"No plan at start",M496/H496)</f>
        <v>No plan at start</v>
      </c>
      <c r="P496" s="53"/>
      <c r="Q496" s="54"/>
      <c r="R496" s="55"/>
      <c r="S496" s="55"/>
    </row>
    <row r="497" spans="1:19" s="10" customFormat="1" hidden="1" outlineLevel="2" x14ac:dyDescent="0.2">
      <c r="A497" s="11"/>
      <c r="B497" s="49" t="s">
        <v>99</v>
      </c>
      <c r="C497" s="49" t="s">
        <v>52</v>
      </c>
      <c r="D497" s="49">
        <v>60.8</v>
      </c>
      <c r="E497" s="49">
        <v>33</v>
      </c>
      <c r="F497" s="49">
        <f>E497-D497</f>
        <v>-27.799999999999997</v>
      </c>
      <c r="G497" s="50">
        <f>IF(D497=0,0,ABS(F497/D497))</f>
        <v>0.45723684210526311</v>
      </c>
      <c r="H497" s="49">
        <v>1243.2000000000003</v>
      </c>
      <c r="I497" s="49">
        <v>267</v>
      </c>
      <c r="J497" s="51">
        <f>IF(H497=0,"No plan at start",I497/H497)</f>
        <v>0.21476833976833973</v>
      </c>
      <c r="K497" s="52">
        <f>H497-I497</f>
        <v>976.20000000000027</v>
      </c>
      <c r="L497" s="49">
        <v>926.40000000000009</v>
      </c>
      <c r="M497" s="49">
        <f>I497+L497</f>
        <v>1193.4000000000001</v>
      </c>
      <c r="N497" s="49">
        <f>M497-H497</f>
        <v>-49.800000000000182</v>
      </c>
      <c r="O497" s="50">
        <f>IF(H497=0,"No plan at start",M497/H497)</f>
        <v>0.95994208494208477</v>
      </c>
      <c r="P497" s="53"/>
      <c r="Q497" s="54"/>
      <c r="R497" s="55"/>
      <c r="S497" s="55"/>
    </row>
    <row r="498" spans="1:19" s="10" customFormat="1" hidden="1" outlineLevel="2" x14ac:dyDescent="0.2">
      <c r="A498" s="11"/>
      <c r="B498" s="49" t="s">
        <v>99</v>
      </c>
      <c r="C498" s="49" t="s">
        <v>53</v>
      </c>
      <c r="D498" s="49">
        <v>0</v>
      </c>
      <c r="E498" s="49">
        <v>0</v>
      </c>
      <c r="F498" s="49">
        <f>E498-D498</f>
        <v>0</v>
      </c>
      <c r="G498" s="50">
        <f>IF(D498=0,0,ABS(F498/D498))</f>
        <v>0</v>
      </c>
      <c r="H498" s="49">
        <v>0</v>
      </c>
      <c r="I498" s="49">
        <v>0</v>
      </c>
      <c r="J498" s="51" t="str">
        <f>IF(H498=0,"No plan at start",I498/H498)</f>
        <v>No plan at start</v>
      </c>
      <c r="K498" s="52">
        <f>H498-I498</f>
        <v>0</v>
      </c>
      <c r="L498" s="49">
        <v>0</v>
      </c>
      <c r="M498" s="49">
        <f>I498+L498</f>
        <v>0</v>
      </c>
      <c r="N498" s="49">
        <f>M498-H498</f>
        <v>0</v>
      </c>
      <c r="O498" s="50" t="str">
        <f>IF(H498=0,"No plan at start",M498/H498)</f>
        <v>No plan at start</v>
      </c>
      <c r="P498" s="53"/>
      <c r="Q498" s="54"/>
      <c r="R498" s="55"/>
      <c r="S498" s="55"/>
    </row>
    <row r="499" spans="1:19" s="10" customFormat="1" hidden="1" outlineLevel="2" x14ac:dyDescent="0.2">
      <c r="A499" s="11"/>
      <c r="B499" s="49" t="s">
        <v>99</v>
      </c>
      <c r="C499" s="49" t="s">
        <v>54</v>
      </c>
      <c r="D499" s="49">
        <v>0</v>
      </c>
      <c r="E499" s="49">
        <v>0</v>
      </c>
      <c r="F499" s="49">
        <f>E499-D499</f>
        <v>0</v>
      </c>
      <c r="G499" s="50">
        <f>IF(D499=0,0,ABS(F499/D499))</f>
        <v>0</v>
      </c>
      <c r="H499" s="49">
        <v>0</v>
      </c>
      <c r="I499" s="49">
        <v>0</v>
      </c>
      <c r="J499" s="51" t="str">
        <f>IF(H499=0,"No plan at start",I499/H499)</f>
        <v>No plan at start</v>
      </c>
      <c r="K499" s="52">
        <f>H499-I499</f>
        <v>0</v>
      </c>
      <c r="L499" s="49">
        <v>0</v>
      </c>
      <c r="M499" s="49">
        <f>I499+L499</f>
        <v>0</v>
      </c>
      <c r="N499" s="49">
        <f>M499-H499</f>
        <v>0</v>
      </c>
      <c r="O499" s="50" t="str">
        <f>IF(H499=0,"No plan at start",M499/H499)</f>
        <v>No plan at start</v>
      </c>
      <c r="P499" s="53"/>
      <c r="Q499" s="54"/>
      <c r="R499" s="55"/>
      <c r="S499" s="55"/>
    </row>
    <row r="500" spans="1:19" s="10" customFormat="1" hidden="1" outlineLevel="2" x14ac:dyDescent="0.2">
      <c r="A500" s="11"/>
      <c r="B500" s="49" t="s">
        <v>99</v>
      </c>
      <c r="C500" s="49" t="s">
        <v>55</v>
      </c>
      <c r="D500" s="49">
        <v>0</v>
      </c>
      <c r="E500" s="49">
        <v>6</v>
      </c>
      <c r="F500" s="49">
        <f>E500-D500</f>
        <v>6</v>
      </c>
      <c r="G500" s="50">
        <f>IF(D500=0,0,ABS(F500/D500))</f>
        <v>0</v>
      </c>
      <c r="H500" s="49">
        <v>0</v>
      </c>
      <c r="I500" s="49">
        <v>110</v>
      </c>
      <c r="J500" s="51" t="str">
        <f>IF(H500=0,"No plan at start",I500/H500)</f>
        <v>No plan at start</v>
      </c>
      <c r="K500" s="52">
        <f>H500-I500</f>
        <v>-110</v>
      </c>
      <c r="L500" s="49">
        <v>0</v>
      </c>
      <c r="M500" s="49">
        <f>I500+L500</f>
        <v>110</v>
      </c>
      <c r="N500" s="49">
        <f>M500-H500</f>
        <v>110</v>
      </c>
      <c r="O500" s="50" t="str">
        <f>IF(H500=0,"No plan at start",M500/H500)</f>
        <v>No plan at start</v>
      </c>
      <c r="P500" s="53"/>
      <c r="Q500" s="54"/>
      <c r="R500" s="55"/>
      <c r="S500" s="55"/>
    </row>
    <row r="501" spans="1:19" s="10" customFormat="1" hidden="1" outlineLevel="2" x14ac:dyDescent="0.2">
      <c r="A501" s="11"/>
      <c r="B501" s="49" t="s">
        <v>99</v>
      </c>
      <c r="C501" s="49" t="s">
        <v>56</v>
      </c>
      <c r="D501" s="49">
        <v>60.8</v>
      </c>
      <c r="E501" s="49">
        <v>0</v>
      </c>
      <c r="F501" s="49">
        <f>E501-D501</f>
        <v>-60.8</v>
      </c>
      <c r="G501" s="50">
        <f>IF(D501=0,0,ABS(F501/D501))</f>
        <v>1</v>
      </c>
      <c r="H501" s="49">
        <v>731.99999999999989</v>
      </c>
      <c r="I501" s="49">
        <v>4</v>
      </c>
      <c r="J501" s="51">
        <f>IF(H501=0,"No plan at start",I501/H501)</f>
        <v>5.4644808743169408E-3</v>
      </c>
      <c r="K501" s="52">
        <f>H501-I501</f>
        <v>727.99999999999989</v>
      </c>
      <c r="L501" s="49">
        <v>584.79999999999995</v>
      </c>
      <c r="M501" s="49">
        <f>I501+L501</f>
        <v>588.79999999999995</v>
      </c>
      <c r="N501" s="49">
        <f>M501-H501</f>
        <v>-143.19999999999993</v>
      </c>
      <c r="O501" s="50">
        <f>IF(H501=0,"No plan at start",M501/H501)</f>
        <v>0.80437158469945358</v>
      </c>
      <c r="P501" s="53"/>
      <c r="Q501" s="54"/>
      <c r="R501" s="55"/>
      <c r="S501" s="55"/>
    </row>
    <row r="502" spans="1:19" s="10" customFormat="1" hidden="1" outlineLevel="2" x14ac:dyDescent="0.2">
      <c r="A502" s="11"/>
      <c r="B502" s="49" t="s">
        <v>99</v>
      </c>
      <c r="C502" s="49" t="s">
        <v>57</v>
      </c>
      <c r="D502" s="49">
        <v>0</v>
      </c>
      <c r="E502" s="49">
        <v>0</v>
      </c>
      <c r="F502" s="49">
        <f>E502-D502</f>
        <v>0</v>
      </c>
      <c r="G502" s="50">
        <f>IF(D502=0,0,ABS(F502/D502))</f>
        <v>0</v>
      </c>
      <c r="H502" s="49">
        <v>0</v>
      </c>
      <c r="I502" s="49">
        <v>0</v>
      </c>
      <c r="J502" s="51" t="str">
        <f>IF(H502=0,"No plan at start",I502/H502)</f>
        <v>No plan at start</v>
      </c>
      <c r="K502" s="52">
        <f>H502-I502</f>
        <v>0</v>
      </c>
      <c r="L502" s="49">
        <v>0</v>
      </c>
      <c r="M502" s="49">
        <f>I502+L502</f>
        <v>0</v>
      </c>
      <c r="N502" s="49">
        <f>M502-H502</f>
        <v>0</v>
      </c>
      <c r="O502" s="50" t="str">
        <f>IF(H502=0,"No plan at start",M502/H502)</f>
        <v>No plan at start</v>
      </c>
      <c r="P502" s="53"/>
      <c r="Q502" s="54"/>
      <c r="R502" s="55"/>
      <c r="S502" s="55"/>
    </row>
    <row r="503" spans="1:19" s="10" customFormat="1" hidden="1" outlineLevel="2" x14ac:dyDescent="0.2">
      <c r="A503" s="11"/>
      <c r="B503" s="49" t="s">
        <v>99</v>
      </c>
      <c r="C503" s="49" t="s">
        <v>48</v>
      </c>
      <c r="D503" s="49">
        <v>0</v>
      </c>
      <c r="E503" s="49">
        <v>0</v>
      </c>
      <c r="F503" s="49">
        <f>E503-D503</f>
        <v>0</v>
      </c>
      <c r="G503" s="50">
        <f>IF(D503=0,0,ABS(F503/D503))</f>
        <v>0</v>
      </c>
      <c r="H503" s="49">
        <v>0</v>
      </c>
      <c r="I503" s="49">
        <v>0</v>
      </c>
      <c r="J503" s="51" t="str">
        <f>IF(H503=0,"No plan at start",I503/H503)</f>
        <v>No plan at start</v>
      </c>
      <c r="K503" s="52">
        <f>H503-I503</f>
        <v>0</v>
      </c>
      <c r="L503" s="49">
        <v>0</v>
      </c>
      <c r="M503" s="49">
        <f>I503+L503</f>
        <v>0</v>
      </c>
      <c r="N503" s="49">
        <f>M503-H503</f>
        <v>0</v>
      </c>
      <c r="O503" s="50" t="str">
        <f>IF(H503=0,"No plan at start",M503/H503)</f>
        <v>No plan at start</v>
      </c>
      <c r="P503" s="53"/>
      <c r="Q503" s="54"/>
      <c r="R503" s="55"/>
      <c r="S503" s="55"/>
    </row>
    <row r="504" spans="1:19" s="10" customFormat="1" hidden="1" outlineLevel="2" x14ac:dyDescent="0.2">
      <c r="A504" s="11"/>
      <c r="B504" s="49" t="s">
        <v>99</v>
      </c>
      <c r="C504" s="49" t="s">
        <v>58</v>
      </c>
      <c r="D504" s="49">
        <v>0</v>
      </c>
      <c r="E504" s="49">
        <v>0</v>
      </c>
      <c r="F504" s="49">
        <f>E504-D504</f>
        <v>0</v>
      </c>
      <c r="G504" s="50">
        <f>IF(D504=0,0,ABS(F504/D504))</f>
        <v>0</v>
      </c>
      <c r="H504" s="49">
        <v>0</v>
      </c>
      <c r="I504" s="49">
        <v>0</v>
      </c>
      <c r="J504" s="51" t="str">
        <f>IF(H504=0,"No plan at start",I504/H504)</f>
        <v>No plan at start</v>
      </c>
      <c r="K504" s="52">
        <f>H504-I504</f>
        <v>0</v>
      </c>
      <c r="L504" s="49">
        <v>0</v>
      </c>
      <c r="M504" s="49">
        <f>I504+L504</f>
        <v>0</v>
      </c>
      <c r="N504" s="49">
        <f>M504-H504</f>
        <v>0</v>
      </c>
      <c r="O504" s="50" t="str">
        <f>IF(H504=0,"No plan at start",M504/H504)</f>
        <v>No plan at start</v>
      </c>
      <c r="P504" s="53"/>
      <c r="Q504" s="54"/>
      <c r="R504" s="55"/>
      <c r="S504" s="55"/>
    </row>
    <row r="505" spans="1:19" s="10" customFormat="1" hidden="1" outlineLevel="2" x14ac:dyDescent="0.2">
      <c r="A505" s="11"/>
      <c r="B505" s="49" t="s">
        <v>99</v>
      </c>
      <c r="C505" s="49" t="s">
        <v>59</v>
      </c>
      <c r="D505" s="49">
        <v>0</v>
      </c>
      <c r="E505" s="49">
        <v>0</v>
      </c>
      <c r="F505" s="49">
        <f>E505-D505</f>
        <v>0</v>
      </c>
      <c r="G505" s="50">
        <f>IF(D505=0,0,ABS(F505/D505))</f>
        <v>0</v>
      </c>
      <c r="H505" s="49">
        <v>0</v>
      </c>
      <c r="I505" s="49">
        <v>0</v>
      </c>
      <c r="J505" s="51" t="str">
        <f>IF(H505=0,"No plan at start",I505/H505)</f>
        <v>No plan at start</v>
      </c>
      <c r="K505" s="52">
        <f>H505-I505</f>
        <v>0</v>
      </c>
      <c r="L505" s="49">
        <v>0</v>
      </c>
      <c r="M505" s="49">
        <f>I505+L505</f>
        <v>0</v>
      </c>
      <c r="N505" s="49">
        <f>M505-H505</f>
        <v>0</v>
      </c>
      <c r="O505" s="50" t="str">
        <f>IF(H505=0,"No plan at start",M505/H505)</f>
        <v>No plan at start</v>
      </c>
      <c r="P505" s="53"/>
      <c r="Q505" s="54"/>
      <c r="R505" s="55"/>
      <c r="S505" s="55"/>
    </row>
    <row r="506" spans="1:19" s="10" customFormat="1" hidden="1" outlineLevel="2" x14ac:dyDescent="0.2">
      <c r="A506" s="11"/>
      <c r="B506" s="49" t="s">
        <v>99</v>
      </c>
      <c r="C506" s="49" t="s">
        <v>60</v>
      </c>
      <c r="D506" s="49">
        <v>0</v>
      </c>
      <c r="E506" s="49">
        <v>0</v>
      </c>
      <c r="F506" s="49">
        <f>E506-D506</f>
        <v>0</v>
      </c>
      <c r="G506" s="50">
        <f>IF(D506=0,0,ABS(F506/D506))</f>
        <v>0</v>
      </c>
      <c r="H506" s="49">
        <v>0</v>
      </c>
      <c r="I506" s="49">
        <v>0</v>
      </c>
      <c r="J506" s="51" t="str">
        <f>IF(H506=0,"No plan at start",I506/H506)</f>
        <v>No plan at start</v>
      </c>
      <c r="K506" s="52">
        <f>H506-I506</f>
        <v>0</v>
      </c>
      <c r="L506" s="49">
        <v>0</v>
      </c>
      <c r="M506" s="49">
        <f>I506+L506</f>
        <v>0</v>
      </c>
      <c r="N506" s="49">
        <f>M506-H506</f>
        <v>0</v>
      </c>
      <c r="O506" s="50" t="str">
        <f>IF(H506=0,"No plan at start",M506/H506)</f>
        <v>No plan at start</v>
      </c>
      <c r="P506" s="53"/>
      <c r="Q506" s="54"/>
      <c r="R506" s="55"/>
      <c r="S506" s="55"/>
    </row>
    <row r="507" spans="1:19" s="10" customFormat="1" hidden="1" outlineLevel="2" x14ac:dyDescent="0.2">
      <c r="A507" s="11"/>
      <c r="B507" s="49" t="s">
        <v>99</v>
      </c>
      <c r="C507" s="49" t="s">
        <v>61</v>
      </c>
      <c r="D507" s="49">
        <v>0</v>
      </c>
      <c r="E507" s="49">
        <v>0</v>
      </c>
      <c r="F507" s="49">
        <f>E507-D507</f>
        <v>0</v>
      </c>
      <c r="G507" s="50">
        <f>IF(D507=0,0,ABS(F507/D507))</f>
        <v>0</v>
      </c>
      <c r="H507" s="49">
        <v>0</v>
      </c>
      <c r="I507" s="49">
        <v>0</v>
      </c>
      <c r="J507" s="51" t="str">
        <f>IF(H507=0,"No plan at start",I507/H507)</f>
        <v>No plan at start</v>
      </c>
      <c r="K507" s="52">
        <f>H507-I507</f>
        <v>0</v>
      </c>
      <c r="L507" s="49">
        <v>0</v>
      </c>
      <c r="M507" s="49">
        <f>I507+L507</f>
        <v>0</v>
      </c>
      <c r="N507" s="49">
        <f>M507-H507</f>
        <v>0</v>
      </c>
      <c r="O507" s="50" t="str">
        <f>IF(H507=0,"No plan at start",M507/H507)</f>
        <v>No plan at start</v>
      </c>
      <c r="P507" s="53"/>
      <c r="Q507" s="54"/>
      <c r="R507" s="55"/>
      <c r="S507" s="55"/>
    </row>
    <row r="508" spans="1:19" s="10" customFormat="1" hidden="1" outlineLevel="2" x14ac:dyDescent="0.2">
      <c r="A508" s="11"/>
      <c r="B508" s="49" t="s">
        <v>99</v>
      </c>
      <c r="C508" s="49" t="s">
        <v>62</v>
      </c>
      <c r="D508" s="49">
        <v>0</v>
      </c>
      <c r="E508" s="49">
        <v>0</v>
      </c>
      <c r="F508" s="49">
        <f>E508-D508</f>
        <v>0</v>
      </c>
      <c r="G508" s="50">
        <f>IF(D508=0,0,ABS(F508/D508))</f>
        <v>0</v>
      </c>
      <c r="H508" s="49">
        <v>0</v>
      </c>
      <c r="I508" s="49">
        <v>0</v>
      </c>
      <c r="J508" s="51" t="str">
        <f>IF(H508=0,"No plan at start",I508/H508)</f>
        <v>No plan at start</v>
      </c>
      <c r="K508" s="52">
        <f>H508-I508</f>
        <v>0</v>
      </c>
      <c r="L508" s="49">
        <v>0</v>
      </c>
      <c r="M508" s="49">
        <f>I508+L508</f>
        <v>0</v>
      </c>
      <c r="N508" s="49">
        <f>M508-H508</f>
        <v>0</v>
      </c>
      <c r="O508" s="50" t="str">
        <f>IF(H508=0,"No plan at start",M508/H508)</f>
        <v>No plan at start</v>
      </c>
      <c r="P508" s="53"/>
      <c r="Q508" s="54"/>
      <c r="R508" s="55"/>
      <c r="S508" s="55"/>
    </row>
    <row r="509" spans="1:19" s="10" customFormat="1" outlineLevel="1" collapsed="1" x14ac:dyDescent="0.2">
      <c r="A509" s="11"/>
      <c r="B509" s="56" t="s">
        <v>138</v>
      </c>
      <c r="C509" s="49"/>
      <c r="D509" s="49">
        <f>SUBTOTAL(9,D497:D508)</f>
        <v>121.6</v>
      </c>
      <c r="E509" s="49">
        <f>SUBTOTAL(9,E497:E508)</f>
        <v>39</v>
      </c>
      <c r="F509" s="49">
        <f>SUBTOTAL(9,F497:F508)</f>
        <v>-82.6</v>
      </c>
      <c r="G509" s="50">
        <f>IF(D509=0,0,ABS(F509/D509))</f>
        <v>0.67927631578947367</v>
      </c>
      <c r="H509" s="49">
        <f>SUBTOTAL(9,H497:H508)</f>
        <v>1975.2000000000003</v>
      </c>
      <c r="I509" s="49">
        <f>SUBTOTAL(9,I497:I508)</f>
        <v>381</v>
      </c>
      <c r="J509" s="51">
        <f>IF(H509=0,"No plan at start",I509/H509)</f>
        <v>0.19289185905224784</v>
      </c>
      <c r="K509" s="52">
        <f>SUBTOTAL(9,K497:K508)</f>
        <v>1594.2000000000003</v>
      </c>
      <c r="L509" s="49">
        <f>SUBTOTAL(9,L497:L508)</f>
        <v>1511.2</v>
      </c>
      <c r="M509" s="49">
        <f>SUBTOTAL(9,M497:M508)</f>
        <v>1892.2</v>
      </c>
      <c r="N509" s="49">
        <f>SUBTOTAL(9,N497:N508)</f>
        <v>-83.000000000000114</v>
      </c>
      <c r="O509" s="50">
        <f>IF(H509=0,"No plan at start",M509/H509)</f>
        <v>0.95797893884163621</v>
      </c>
      <c r="P509" s="53"/>
      <c r="Q509" s="54"/>
      <c r="R509" s="55"/>
      <c r="S509" s="55"/>
    </row>
    <row r="510" spans="1:19" s="10" customFormat="1" hidden="1" outlineLevel="2" x14ac:dyDescent="0.2">
      <c r="A510" s="11"/>
      <c r="B510" s="49" t="s">
        <v>100</v>
      </c>
      <c r="C510" s="49" t="s">
        <v>52</v>
      </c>
      <c r="D510" s="49">
        <v>22.8</v>
      </c>
      <c r="E510" s="49">
        <v>30</v>
      </c>
      <c r="F510" s="49">
        <f>E510-D510</f>
        <v>7.1999999999999993</v>
      </c>
      <c r="G510" s="50">
        <f>IF(D510=0,0,ABS(F510/D510))</f>
        <v>0.31578947368421051</v>
      </c>
      <c r="H510" s="49">
        <v>254.4</v>
      </c>
      <c r="I510" s="49">
        <v>30</v>
      </c>
      <c r="J510" s="51">
        <f>IF(H510=0,"No plan at start",I510/H510)</f>
        <v>0.11792452830188679</v>
      </c>
      <c r="K510" s="52">
        <f>H510-I510</f>
        <v>224.4</v>
      </c>
      <c r="L510" s="49">
        <v>199.20000000000002</v>
      </c>
      <c r="M510" s="49">
        <f>I510+L510</f>
        <v>229.20000000000002</v>
      </c>
      <c r="N510" s="49">
        <f>M510-H510</f>
        <v>-25.199999999999989</v>
      </c>
      <c r="O510" s="50">
        <f>IF(H510=0,"No plan at start",M510/H510)</f>
        <v>0.90094339622641517</v>
      </c>
      <c r="P510" s="53"/>
      <c r="Q510" s="54"/>
      <c r="R510" s="55"/>
      <c r="S510" s="55"/>
    </row>
    <row r="511" spans="1:19" s="10" customFormat="1" hidden="1" outlineLevel="2" x14ac:dyDescent="0.2">
      <c r="A511" s="11"/>
      <c r="B511" s="49" t="s">
        <v>100</v>
      </c>
      <c r="C511" s="49" t="s">
        <v>53</v>
      </c>
      <c r="D511" s="49">
        <v>0</v>
      </c>
      <c r="E511" s="49">
        <v>0</v>
      </c>
      <c r="F511" s="49">
        <f>E511-D511</f>
        <v>0</v>
      </c>
      <c r="G511" s="50">
        <f>IF(D511=0,0,ABS(F511/D511))</f>
        <v>0</v>
      </c>
      <c r="H511" s="49">
        <v>0</v>
      </c>
      <c r="I511" s="49">
        <v>0</v>
      </c>
      <c r="J511" s="51" t="str">
        <f>IF(H511=0,"No plan at start",I511/H511)</f>
        <v>No plan at start</v>
      </c>
      <c r="K511" s="52">
        <f>H511-I511</f>
        <v>0</v>
      </c>
      <c r="L511" s="49">
        <v>0</v>
      </c>
      <c r="M511" s="49">
        <f>I511+L511</f>
        <v>0</v>
      </c>
      <c r="N511" s="49">
        <f>M511-H511</f>
        <v>0</v>
      </c>
      <c r="O511" s="50" t="str">
        <f>IF(H511=0,"No plan at start",M511/H511)</f>
        <v>No plan at start</v>
      </c>
      <c r="P511" s="53"/>
      <c r="Q511" s="54"/>
      <c r="R511" s="55"/>
      <c r="S511" s="55"/>
    </row>
    <row r="512" spans="1:19" s="10" customFormat="1" hidden="1" outlineLevel="2" x14ac:dyDescent="0.2">
      <c r="A512" s="11"/>
      <c r="B512" s="49" t="s">
        <v>100</v>
      </c>
      <c r="C512" s="49" t="s">
        <v>54</v>
      </c>
      <c r="D512" s="49">
        <v>0</v>
      </c>
      <c r="E512" s="49">
        <v>0</v>
      </c>
      <c r="F512" s="49">
        <f>E512-D512</f>
        <v>0</v>
      </c>
      <c r="G512" s="50">
        <f>IF(D512=0,0,ABS(F512/D512))</f>
        <v>0</v>
      </c>
      <c r="H512" s="49">
        <v>0</v>
      </c>
      <c r="I512" s="49">
        <v>0</v>
      </c>
      <c r="J512" s="51" t="str">
        <f>IF(H512=0,"No plan at start",I512/H512)</f>
        <v>No plan at start</v>
      </c>
      <c r="K512" s="52">
        <f>H512-I512</f>
        <v>0</v>
      </c>
      <c r="L512" s="49">
        <v>0</v>
      </c>
      <c r="M512" s="49">
        <f>I512+L512</f>
        <v>0</v>
      </c>
      <c r="N512" s="49">
        <f>M512-H512</f>
        <v>0</v>
      </c>
      <c r="O512" s="50" t="str">
        <f>IF(H512=0,"No plan at start",M512/H512)</f>
        <v>No plan at start</v>
      </c>
      <c r="P512" s="53"/>
      <c r="Q512" s="54"/>
      <c r="R512" s="55"/>
      <c r="S512" s="55"/>
    </row>
    <row r="513" spans="1:19" s="10" customFormat="1" hidden="1" outlineLevel="2" x14ac:dyDescent="0.2">
      <c r="A513" s="11"/>
      <c r="B513" s="49" t="s">
        <v>100</v>
      </c>
      <c r="C513" s="49" t="s">
        <v>55</v>
      </c>
      <c r="D513" s="49">
        <v>76</v>
      </c>
      <c r="E513" s="49">
        <v>66</v>
      </c>
      <c r="F513" s="49">
        <f>E513-D513</f>
        <v>-10</v>
      </c>
      <c r="G513" s="50">
        <f>IF(D513=0,0,ABS(F513/D513))</f>
        <v>0.13157894736842105</v>
      </c>
      <c r="H513" s="49">
        <v>1429.6000000000001</v>
      </c>
      <c r="I513" s="49">
        <v>82.5</v>
      </c>
      <c r="J513" s="51">
        <f>IF(H513=0,"No plan at start",I513/H513)</f>
        <v>5.7708449916060431E-2</v>
      </c>
      <c r="K513" s="52">
        <f>H513-I513</f>
        <v>1347.1000000000001</v>
      </c>
      <c r="L513" s="49">
        <v>1282.4000000000001</v>
      </c>
      <c r="M513" s="49">
        <f>I513+L513</f>
        <v>1364.9</v>
      </c>
      <c r="N513" s="49">
        <f>M513-H513</f>
        <v>-64.700000000000045</v>
      </c>
      <c r="O513" s="50">
        <f>IF(H513=0,"No plan at start",M513/H513)</f>
        <v>0.95474258533855616</v>
      </c>
      <c r="P513" s="53"/>
      <c r="Q513" s="54"/>
      <c r="R513" s="55"/>
      <c r="S513" s="55"/>
    </row>
    <row r="514" spans="1:19" s="10" customFormat="1" hidden="1" outlineLevel="2" x14ac:dyDescent="0.2">
      <c r="A514" s="11"/>
      <c r="B514" s="49" t="s">
        <v>100</v>
      </c>
      <c r="C514" s="49" t="s">
        <v>56</v>
      </c>
      <c r="D514" s="49">
        <v>0</v>
      </c>
      <c r="E514" s="49">
        <v>6</v>
      </c>
      <c r="F514" s="49">
        <f>E514-D514</f>
        <v>6</v>
      </c>
      <c r="G514" s="50">
        <f>IF(D514=0,0,ABS(F514/D514))</f>
        <v>0</v>
      </c>
      <c r="H514" s="49">
        <v>0</v>
      </c>
      <c r="I514" s="49">
        <v>7</v>
      </c>
      <c r="J514" s="51" t="str">
        <f>IF(H514=0,"No plan at start",I514/H514)</f>
        <v>No plan at start</v>
      </c>
      <c r="K514" s="52">
        <f>H514-I514</f>
        <v>-7</v>
      </c>
      <c r="L514" s="49">
        <v>0</v>
      </c>
      <c r="M514" s="49">
        <f>I514+L514</f>
        <v>7</v>
      </c>
      <c r="N514" s="49">
        <f>M514-H514</f>
        <v>7</v>
      </c>
      <c r="O514" s="50" t="str">
        <f>IF(H514=0,"No plan at start",M514/H514)</f>
        <v>No plan at start</v>
      </c>
      <c r="P514" s="53"/>
      <c r="Q514" s="54"/>
      <c r="R514" s="55"/>
      <c r="S514" s="55"/>
    </row>
    <row r="515" spans="1:19" s="10" customFormat="1" hidden="1" outlineLevel="2" x14ac:dyDescent="0.2">
      <c r="A515" s="11"/>
      <c r="B515" s="49" t="s">
        <v>100</v>
      </c>
      <c r="C515" s="49" t="s">
        <v>57</v>
      </c>
      <c r="D515" s="49">
        <v>0</v>
      </c>
      <c r="E515" s="49">
        <v>0</v>
      </c>
      <c r="F515" s="49">
        <f>E515-D515</f>
        <v>0</v>
      </c>
      <c r="G515" s="50">
        <f>IF(D515=0,0,ABS(F515/D515))</f>
        <v>0</v>
      </c>
      <c r="H515" s="49">
        <v>0</v>
      </c>
      <c r="I515" s="49">
        <v>0</v>
      </c>
      <c r="J515" s="51" t="str">
        <f>IF(H515=0,"No plan at start",I515/H515)</f>
        <v>No plan at start</v>
      </c>
      <c r="K515" s="52">
        <f>H515-I515</f>
        <v>0</v>
      </c>
      <c r="L515" s="49">
        <v>0</v>
      </c>
      <c r="M515" s="49">
        <f>I515+L515</f>
        <v>0</v>
      </c>
      <c r="N515" s="49">
        <f>M515-H515</f>
        <v>0</v>
      </c>
      <c r="O515" s="50" t="str">
        <f>IF(H515=0,"No plan at start",M515/H515)</f>
        <v>No plan at start</v>
      </c>
      <c r="P515" s="53"/>
      <c r="Q515" s="54"/>
      <c r="R515" s="55"/>
      <c r="S515" s="55"/>
    </row>
    <row r="516" spans="1:19" s="10" customFormat="1" hidden="1" outlineLevel="2" x14ac:dyDescent="0.2">
      <c r="A516" s="11"/>
      <c r="B516" s="49" t="s">
        <v>100</v>
      </c>
      <c r="C516" s="49" t="s">
        <v>48</v>
      </c>
      <c r="D516" s="49">
        <v>0</v>
      </c>
      <c r="E516" s="49">
        <v>0</v>
      </c>
      <c r="F516" s="49">
        <f>E516-D516</f>
        <v>0</v>
      </c>
      <c r="G516" s="50">
        <f>IF(D516=0,0,ABS(F516/D516))</f>
        <v>0</v>
      </c>
      <c r="H516" s="49">
        <v>0</v>
      </c>
      <c r="I516" s="49">
        <v>0</v>
      </c>
      <c r="J516" s="51" t="str">
        <f>IF(H516=0,"No plan at start",I516/H516)</f>
        <v>No plan at start</v>
      </c>
      <c r="K516" s="52">
        <f>H516-I516</f>
        <v>0</v>
      </c>
      <c r="L516" s="49">
        <v>0</v>
      </c>
      <c r="M516" s="49">
        <f>I516+L516</f>
        <v>0</v>
      </c>
      <c r="N516" s="49">
        <f>M516-H516</f>
        <v>0</v>
      </c>
      <c r="O516" s="50" t="str">
        <f>IF(H516=0,"No plan at start",M516/H516)</f>
        <v>No plan at start</v>
      </c>
      <c r="P516" s="53"/>
      <c r="Q516" s="54"/>
      <c r="R516" s="55"/>
      <c r="S516" s="55"/>
    </row>
    <row r="517" spans="1:19" s="10" customFormat="1" hidden="1" outlineLevel="2" x14ac:dyDescent="0.2">
      <c r="A517" s="11"/>
      <c r="B517" s="49" t="s">
        <v>100</v>
      </c>
      <c r="C517" s="49" t="s">
        <v>58</v>
      </c>
      <c r="D517" s="49">
        <v>0</v>
      </c>
      <c r="E517" s="49">
        <v>0</v>
      </c>
      <c r="F517" s="49">
        <f>E517-D517</f>
        <v>0</v>
      </c>
      <c r="G517" s="50">
        <f>IF(D517=0,0,ABS(F517/D517))</f>
        <v>0</v>
      </c>
      <c r="H517" s="49">
        <v>0</v>
      </c>
      <c r="I517" s="49">
        <v>0</v>
      </c>
      <c r="J517" s="51" t="str">
        <f>IF(H517=0,"No plan at start",I517/H517)</f>
        <v>No plan at start</v>
      </c>
      <c r="K517" s="52">
        <f>H517-I517</f>
        <v>0</v>
      </c>
      <c r="L517" s="49">
        <v>0</v>
      </c>
      <c r="M517" s="49">
        <f>I517+L517</f>
        <v>0</v>
      </c>
      <c r="N517" s="49">
        <f>M517-H517</f>
        <v>0</v>
      </c>
      <c r="O517" s="50" t="str">
        <f>IF(H517=0,"No plan at start",M517/H517)</f>
        <v>No plan at start</v>
      </c>
      <c r="P517" s="53"/>
      <c r="Q517" s="54"/>
      <c r="R517" s="55"/>
      <c r="S517" s="55"/>
    </row>
    <row r="518" spans="1:19" s="10" customFormat="1" hidden="1" outlineLevel="2" x14ac:dyDescent="0.2">
      <c r="A518" s="11"/>
      <c r="B518" s="49" t="s">
        <v>100</v>
      </c>
      <c r="C518" s="49" t="s">
        <v>59</v>
      </c>
      <c r="D518" s="49">
        <v>0</v>
      </c>
      <c r="E518" s="49">
        <v>0</v>
      </c>
      <c r="F518" s="49">
        <f>E518-D518</f>
        <v>0</v>
      </c>
      <c r="G518" s="50">
        <f>IF(D518=0,0,ABS(F518/D518))</f>
        <v>0</v>
      </c>
      <c r="H518" s="49">
        <v>0</v>
      </c>
      <c r="I518" s="49">
        <v>0</v>
      </c>
      <c r="J518" s="51" t="str">
        <f>IF(H518=0,"No plan at start",I518/H518)</f>
        <v>No plan at start</v>
      </c>
      <c r="K518" s="52">
        <f>H518-I518</f>
        <v>0</v>
      </c>
      <c r="L518" s="49">
        <v>0</v>
      </c>
      <c r="M518" s="49">
        <f>I518+L518</f>
        <v>0</v>
      </c>
      <c r="N518" s="49">
        <f>M518-H518</f>
        <v>0</v>
      </c>
      <c r="O518" s="50" t="str">
        <f>IF(H518=0,"No plan at start",M518/H518)</f>
        <v>No plan at start</v>
      </c>
      <c r="P518" s="53"/>
      <c r="Q518" s="54"/>
      <c r="R518" s="55"/>
      <c r="S518" s="55"/>
    </row>
    <row r="519" spans="1:19" s="10" customFormat="1" hidden="1" outlineLevel="2" x14ac:dyDescent="0.2">
      <c r="A519" s="11"/>
      <c r="B519" s="49" t="s">
        <v>100</v>
      </c>
      <c r="C519" s="49" t="s">
        <v>60</v>
      </c>
      <c r="D519" s="49">
        <v>0</v>
      </c>
      <c r="E519" s="49">
        <v>0</v>
      </c>
      <c r="F519" s="49">
        <f>E519-D519</f>
        <v>0</v>
      </c>
      <c r="G519" s="50">
        <f>IF(D519=0,0,ABS(F519/D519))</f>
        <v>0</v>
      </c>
      <c r="H519" s="49">
        <v>0</v>
      </c>
      <c r="I519" s="49">
        <v>0</v>
      </c>
      <c r="J519" s="51" t="str">
        <f>IF(H519=0,"No plan at start",I519/H519)</f>
        <v>No plan at start</v>
      </c>
      <c r="K519" s="52">
        <f>H519-I519</f>
        <v>0</v>
      </c>
      <c r="L519" s="49">
        <v>0</v>
      </c>
      <c r="M519" s="49">
        <f>I519+L519</f>
        <v>0</v>
      </c>
      <c r="N519" s="49">
        <f>M519-H519</f>
        <v>0</v>
      </c>
      <c r="O519" s="50" t="str">
        <f>IF(H519=0,"No plan at start",M519/H519)</f>
        <v>No plan at start</v>
      </c>
      <c r="P519" s="53"/>
      <c r="Q519" s="54"/>
      <c r="R519" s="55"/>
      <c r="S519" s="55"/>
    </row>
    <row r="520" spans="1:19" s="10" customFormat="1" hidden="1" outlineLevel="2" x14ac:dyDescent="0.2">
      <c r="A520" s="11"/>
      <c r="B520" s="49" t="s">
        <v>100</v>
      </c>
      <c r="C520" s="49" t="s">
        <v>61</v>
      </c>
      <c r="D520" s="49">
        <v>0</v>
      </c>
      <c r="E520" s="49">
        <v>0</v>
      </c>
      <c r="F520" s="49">
        <f>E520-D520</f>
        <v>0</v>
      </c>
      <c r="G520" s="50">
        <f>IF(D520=0,0,ABS(F520/D520))</f>
        <v>0</v>
      </c>
      <c r="H520" s="49">
        <v>0</v>
      </c>
      <c r="I520" s="49">
        <v>0</v>
      </c>
      <c r="J520" s="51" t="str">
        <f>IF(H520=0,"No plan at start",I520/H520)</f>
        <v>No plan at start</v>
      </c>
      <c r="K520" s="52">
        <f>H520-I520</f>
        <v>0</v>
      </c>
      <c r="L520" s="49">
        <v>0</v>
      </c>
      <c r="M520" s="49">
        <f>I520+L520</f>
        <v>0</v>
      </c>
      <c r="N520" s="49">
        <f>M520-H520</f>
        <v>0</v>
      </c>
      <c r="O520" s="50" t="str">
        <f>IF(H520=0,"No plan at start",M520/H520)</f>
        <v>No plan at start</v>
      </c>
      <c r="P520" s="53"/>
      <c r="Q520" s="54"/>
      <c r="R520" s="55"/>
      <c r="S520" s="55"/>
    </row>
    <row r="521" spans="1:19" s="10" customFormat="1" hidden="1" outlineLevel="2" x14ac:dyDescent="0.2">
      <c r="A521" s="11"/>
      <c r="B521" s="49" t="s">
        <v>100</v>
      </c>
      <c r="C521" s="49" t="s">
        <v>62</v>
      </c>
      <c r="D521" s="49">
        <v>0</v>
      </c>
      <c r="E521" s="49">
        <v>0</v>
      </c>
      <c r="F521" s="49">
        <f>E521-D521</f>
        <v>0</v>
      </c>
      <c r="G521" s="50">
        <f>IF(D521=0,0,ABS(F521/D521))</f>
        <v>0</v>
      </c>
      <c r="H521" s="49">
        <v>0</v>
      </c>
      <c r="I521" s="49">
        <v>0</v>
      </c>
      <c r="J521" s="51" t="str">
        <f t="shared" ref="J521:J522" si="0">IF(H521=0,"No plan at start",I521/H521)</f>
        <v>No plan at start</v>
      </c>
      <c r="K521" s="52">
        <f>H521-I521</f>
        <v>0</v>
      </c>
      <c r="L521" s="49">
        <v>0</v>
      </c>
      <c r="M521" s="49">
        <f>I521+L521</f>
        <v>0</v>
      </c>
      <c r="N521" s="49">
        <f>M521-H521</f>
        <v>0</v>
      </c>
      <c r="O521" s="50" t="str">
        <f>IF(H521=0,"No plan at start",M521/H521)</f>
        <v>No plan at start</v>
      </c>
      <c r="P521" s="53"/>
      <c r="Q521" s="54"/>
      <c r="R521" s="55"/>
      <c r="S521" s="55"/>
    </row>
    <row r="522" spans="1:19" s="10" customFormat="1" outlineLevel="1" collapsed="1" x14ac:dyDescent="0.2">
      <c r="A522" s="11"/>
      <c r="B522" s="56" t="s">
        <v>139</v>
      </c>
      <c r="C522" s="49"/>
      <c r="D522" s="49">
        <f>SUBTOTAL(9,D510:D521)</f>
        <v>98.8</v>
      </c>
      <c r="E522" s="49">
        <f>SUBTOTAL(9,E510:E521)</f>
        <v>102</v>
      </c>
      <c r="F522" s="49">
        <f>SUBTOTAL(9,F510:F521)</f>
        <v>3.1999999999999993</v>
      </c>
      <c r="G522" s="50">
        <f>IF(D522=0,0,ABS(F522/D522))</f>
        <v>3.2388663967611329E-2</v>
      </c>
      <c r="H522" s="49">
        <f>SUBTOTAL(9,H510:H521)</f>
        <v>1684.0000000000002</v>
      </c>
      <c r="I522" s="49">
        <f>SUBTOTAL(9,I510:I521)</f>
        <v>119.5</v>
      </c>
      <c r="J522" s="51">
        <f t="shared" si="0"/>
        <v>7.0961995249406162E-2</v>
      </c>
      <c r="K522" s="52">
        <f>SUBTOTAL(9,K510:K521)</f>
        <v>1564.5000000000002</v>
      </c>
      <c r="L522" s="49">
        <f>SUBTOTAL(9,L510:L521)</f>
        <v>1481.6000000000001</v>
      </c>
      <c r="M522" s="49">
        <f>SUBTOTAL(9,M510:M521)</f>
        <v>1601.1000000000001</v>
      </c>
      <c r="N522" s="49">
        <f>SUBTOTAL(9,N510:N521)</f>
        <v>-82.900000000000034</v>
      </c>
      <c r="O522" s="50">
        <f>IF(H522=0,"No plan at start",M522/H522)</f>
        <v>0.950771971496437</v>
      </c>
      <c r="P522" s="53"/>
      <c r="Q522" s="54"/>
      <c r="R522" s="55"/>
      <c r="S522" s="55"/>
    </row>
    <row r="523" spans="1:19" s="10" customFormat="1" ht="28.5" customHeight="1" x14ac:dyDescent="0.2">
      <c r="A523" s="11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</row>
    <row r="524" spans="1:19" x14ac:dyDescent="0.2">
      <c r="B524" s="37" t="s">
        <v>35</v>
      </c>
      <c r="C524" s="38"/>
      <c r="D524" s="38"/>
      <c r="E524" s="38"/>
      <c r="F524" s="39"/>
      <c r="G524" s="39"/>
      <c r="H524" s="40"/>
      <c r="I524" s="10"/>
      <c r="J524" s="10"/>
      <c r="K524" s="41"/>
      <c r="L524" s="10"/>
      <c r="M524" s="42"/>
      <c r="N524" s="10"/>
      <c r="O524" s="10"/>
    </row>
    <row r="525" spans="1:19" x14ac:dyDescent="0.2"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</row>
    <row r="526" spans="1:19" x14ac:dyDescent="0.2">
      <c r="B526" s="43"/>
      <c r="C526" s="43"/>
      <c r="D526" s="43" t="s">
        <v>2</v>
      </c>
      <c r="E526" s="43" t="s">
        <v>3</v>
      </c>
      <c r="F526" s="43" t="s">
        <v>13</v>
      </c>
      <c r="G526" s="43" t="s">
        <v>4</v>
      </c>
      <c r="H526" s="43" t="s">
        <v>25</v>
      </c>
      <c r="I526" s="43" t="s">
        <v>42</v>
      </c>
      <c r="J526" s="44" t="s">
        <v>43</v>
      </c>
      <c r="K526" s="44" t="s">
        <v>44</v>
      </c>
      <c r="L526" s="43" t="s">
        <v>24</v>
      </c>
      <c r="M526" s="43" t="s">
        <v>45</v>
      </c>
      <c r="N526" s="43" t="s">
        <v>27</v>
      </c>
      <c r="O526" s="43" t="s">
        <v>28</v>
      </c>
    </row>
    <row r="527" spans="1:19" ht="76.5" x14ac:dyDescent="0.2">
      <c r="B527" s="46" t="s">
        <v>17</v>
      </c>
      <c r="C527" s="46" t="s">
        <v>33</v>
      </c>
      <c r="D527" s="57" t="s">
        <v>18</v>
      </c>
      <c r="E527" s="57" t="s">
        <v>19</v>
      </c>
      <c r="F527" s="57" t="s">
        <v>20</v>
      </c>
      <c r="G527" s="57" t="s">
        <v>12</v>
      </c>
      <c r="H527" s="57" t="s">
        <v>36</v>
      </c>
      <c r="I527" s="57" t="s">
        <v>37</v>
      </c>
      <c r="J527" s="58" t="s">
        <v>38</v>
      </c>
      <c r="K527" s="58" t="s">
        <v>22</v>
      </c>
      <c r="L527" s="57" t="s">
        <v>39</v>
      </c>
      <c r="M527" s="57" t="s">
        <v>40</v>
      </c>
      <c r="N527" s="57" t="s">
        <v>41</v>
      </c>
      <c r="O527" s="57" t="s">
        <v>29</v>
      </c>
    </row>
    <row r="528" spans="1:19" hidden="1" outlineLevel="2" x14ac:dyDescent="0.2">
      <c r="B528" s="49" t="s">
        <v>51</v>
      </c>
      <c r="C528" s="49" t="s">
        <v>52</v>
      </c>
      <c r="D528" s="49">
        <v>0</v>
      </c>
      <c r="E528" s="49">
        <v>0</v>
      </c>
      <c r="F528" s="49">
        <f>E528-D528</f>
        <v>0</v>
      </c>
      <c r="G528" s="50">
        <f>IF(D528=0,0,ABS(F528/D528))</f>
        <v>0</v>
      </c>
      <c r="H528" s="49">
        <v>14116.049999999997</v>
      </c>
      <c r="I528" s="49">
        <v>4290</v>
      </c>
      <c r="J528" s="51">
        <f>IF(H528=0,"No plan at start",I528/H528)</f>
        <v>0.30390937974858412</v>
      </c>
      <c r="K528" s="52">
        <f>H528-I528</f>
        <v>9826.0499999999975</v>
      </c>
      <c r="L528" s="49">
        <v>0</v>
      </c>
      <c r="M528" s="49">
        <f>I528+L528</f>
        <v>4290</v>
      </c>
      <c r="N528" s="49">
        <f>M528-H528</f>
        <v>-9826.0499999999975</v>
      </c>
      <c r="O528" s="50">
        <f>IF(H528=0,"No plan at start",M528/H528)</f>
        <v>0.30390937974858412</v>
      </c>
    </row>
    <row r="529" spans="2:15" hidden="1" outlineLevel="2" x14ac:dyDescent="0.2">
      <c r="B529" s="49" t="s">
        <v>51</v>
      </c>
      <c r="C529" s="49" t="s">
        <v>53</v>
      </c>
      <c r="D529" s="49">
        <v>0</v>
      </c>
      <c r="E529" s="49">
        <v>0</v>
      </c>
      <c r="F529" s="49">
        <f>E529-D529</f>
        <v>0</v>
      </c>
      <c r="G529" s="50">
        <f>IF(D529=0,0,ABS(F529/D529))</f>
        <v>0</v>
      </c>
      <c r="H529" s="49">
        <v>21717</v>
      </c>
      <c r="I529" s="49">
        <v>7527</v>
      </c>
      <c r="J529" s="51">
        <f>IF(H529=0,"No plan at start",I529/H529)</f>
        <v>0.34659483354054427</v>
      </c>
      <c r="K529" s="52">
        <f>H529-I529</f>
        <v>14190</v>
      </c>
      <c r="L529" s="49">
        <v>0</v>
      </c>
      <c r="M529" s="49">
        <f>I529+L529</f>
        <v>7527</v>
      </c>
      <c r="N529" s="49">
        <f>M529-H529</f>
        <v>-14190</v>
      </c>
      <c r="O529" s="50">
        <f>IF(H529=0,"No plan at start",M529/H529)</f>
        <v>0.34659483354054427</v>
      </c>
    </row>
    <row r="530" spans="2:15" hidden="1" outlineLevel="2" x14ac:dyDescent="0.2">
      <c r="B530" s="49" t="s">
        <v>51</v>
      </c>
      <c r="C530" s="49" t="s">
        <v>54</v>
      </c>
      <c r="D530" s="49">
        <v>0</v>
      </c>
      <c r="E530" s="49">
        <v>0</v>
      </c>
      <c r="F530" s="49">
        <f>E530-D530</f>
        <v>0</v>
      </c>
      <c r="G530" s="50">
        <f>IF(D530=0,0,ABS(F530/D530))</f>
        <v>0</v>
      </c>
      <c r="H530" s="49">
        <v>0</v>
      </c>
      <c r="I530" s="49">
        <v>134.16</v>
      </c>
      <c r="J530" s="51" t="str">
        <f>IF(H530=0,"No plan at start",I530/H530)</f>
        <v>No plan at start</v>
      </c>
      <c r="K530" s="52">
        <f>H530-I530</f>
        <v>-134.16</v>
      </c>
      <c r="L530" s="49">
        <v>0</v>
      </c>
      <c r="M530" s="49">
        <f>I530+L530</f>
        <v>134.16</v>
      </c>
      <c r="N530" s="49">
        <f>M530-H530</f>
        <v>134.16</v>
      </c>
      <c r="O530" s="50" t="str">
        <f>IF(H530=0,"No plan at start",M530/H530)</f>
        <v>No plan at start</v>
      </c>
    </row>
    <row r="531" spans="2:15" hidden="1" outlineLevel="2" x14ac:dyDescent="0.2">
      <c r="B531" s="49" t="s">
        <v>51</v>
      </c>
      <c r="C531" s="49" t="s">
        <v>55</v>
      </c>
      <c r="D531" s="49">
        <v>0</v>
      </c>
      <c r="E531" s="49">
        <v>0</v>
      </c>
      <c r="F531" s="49">
        <f>E531-D531</f>
        <v>0</v>
      </c>
      <c r="G531" s="50">
        <f>IF(D531=0,0,ABS(F531/D531))</f>
        <v>0</v>
      </c>
      <c r="H531" s="49">
        <v>0</v>
      </c>
      <c r="I531" s="49">
        <v>793</v>
      </c>
      <c r="J531" s="51" t="str">
        <f>IF(H531=0,"No plan at start",I531/H531)</f>
        <v>No plan at start</v>
      </c>
      <c r="K531" s="52">
        <f>H531-I531</f>
        <v>-793</v>
      </c>
      <c r="L531" s="49">
        <v>0</v>
      </c>
      <c r="M531" s="49">
        <f>I531+L531</f>
        <v>793</v>
      </c>
      <c r="N531" s="49">
        <f>M531-H531</f>
        <v>793</v>
      </c>
      <c r="O531" s="50" t="str">
        <f>IF(H531=0,"No plan at start",M531/H531)</f>
        <v>No plan at start</v>
      </c>
    </row>
    <row r="532" spans="2:15" hidden="1" outlineLevel="2" x14ac:dyDescent="0.2">
      <c r="B532" s="49" t="s">
        <v>51</v>
      </c>
      <c r="C532" s="49" t="s">
        <v>56</v>
      </c>
      <c r="D532" s="49">
        <v>0</v>
      </c>
      <c r="E532" s="49">
        <v>0</v>
      </c>
      <c r="F532" s="49">
        <f>E532-D532</f>
        <v>0</v>
      </c>
      <c r="G532" s="50">
        <f>IF(D532=0,0,ABS(F532/D532))</f>
        <v>0</v>
      </c>
      <c r="H532" s="49">
        <v>0</v>
      </c>
      <c r="I532" s="49">
        <v>0</v>
      </c>
      <c r="J532" s="51" t="str">
        <f>IF(H532=0,"No plan at start",I532/H532)</f>
        <v>No plan at start</v>
      </c>
      <c r="K532" s="52">
        <f>H532-I532</f>
        <v>0</v>
      </c>
      <c r="L532" s="49">
        <v>0</v>
      </c>
      <c r="M532" s="49">
        <f>I532+L532</f>
        <v>0</v>
      </c>
      <c r="N532" s="49">
        <f>M532-H532</f>
        <v>0</v>
      </c>
      <c r="O532" s="50" t="str">
        <f>IF(H532=0,"No plan at start",M532/H532)</f>
        <v>No plan at start</v>
      </c>
    </row>
    <row r="533" spans="2:15" hidden="1" outlineLevel="2" x14ac:dyDescent="0.2">
      <c r="B533" s="49" t="s">
        <v>51</v>
      </c>
      <c r="C533" s="49" t="s">
        <v>57</v>
      </c>
      <c r="D533" s="49">
        <v>0</v>
      </c>
      <c r="E533" s="49">
        <v>0</v>
      </c>
      <c r="F533" s="49">
        <f>E533-D533</f>
        <v>0</v>
      </c>
      <c r="G533" s="50">
        <f>IF(D533=0,0,ABS(F533/D533))</f>
        <v>0</v>
      </c>
      <c r="H533" s="49">
        <v>0</v>
      </c>
      <c r="I533" s="49">
        <v>0</v>
      </c>
      <c r="J533" s="51" t="str">
        <f>IF(H533=0,"No plan at start",I533/H533)</f>
        <v>No plan at start</v>
      </c>
      <c r="K533" s="52">
        <f>H533-I533</f>
        <v>0</v>
      </c>
      <c r="L533" s="49">
        <v>0</v>
      </c>
      <c r="M533" s="49">
        <f>I533+L533</f>
        <v>0</v>
      </c>
      <c r="N533" s="49">
        <f>M533-H533</f>
        <v>0</v>
      </c>
      <c r="O533" s="50" t="str">
        <f>IF(H533=0,"No plan at start",M533/H533)</f>
        <v>No plan at start</v>
      </c>
    </row>
    <row r="534" spans="2:15" hidden="1" outlineLevel="2" x14ac:dyDescent="0.2">
      <c r="B534" s="49" t="s">
        <v>51</v>
      </c>
      <c r="C534" s="49" t="s">
        <v>48</v>
      </c>
      <c r="D534" s="49">
        <v>0</v>
      </c>
      <c r="E534" s="49">
        <v>0</v>
      </c>
      <c r="F534" s="49">
        <f>E534-D534</f>
        <v>0</v>
      </c>
      <c r="G534" s="50">
        <f>IF(D534=0,0,ABS(F534/D534))</f>
        <v>0</v>
      </c>
      <c r="H534" s="49">
        <v>0</v>
      </c>
      <c r="I534" s="49">
        <v>0</v>
      </c>
      <c r="J534" s="51" t="str">
        <f>IF(H534=0,"No plan at start",I534/H534)</f>
        <v>No plan at start</v>
      </c>
      <c r="K534" s="52">
        <f>H534-I534</f>
        <v>0</v>
      </c>
      <c r="L534" s="49">
        <v>0</v>
      </c>
      <c r="M534" s="49">
        <f>I534+L534</f>
        <v>0</v>
      </c>
      <c r="N534" s="49">
        <f>M534-H534</f>
        <v>0</v>
      </c>
      <c r="O534" s="50" t="str">
        <f>IF(H534=0,"No plan at start",M534/H534)</f>
        <v>No plan at start</v>
      </c>
    </row>
    <row r="535" spans="2:15" hidden="1" outlineLevel="2" x14ac:dyDescent="0.2">
      <c r="B535" s="49" t="s">
        <v>51</v>
      </c>
      <c r="C535" s="49" t="s">
        <v>58</v>
      </c>
      <c r="D535" s="49">
        <v>0</v>
      </c>
      <c r="E535" s="49">
        <v>0</v>
      </c>
      <c r="F535" s="49">
        <f>E535-D535</f>
        <v>0</v>
      </c>
      <c r="G535" s="50">
        <f>IF(D535=0,0,ABS(F535/D535))</f>
        <v>0</v>
      </c>
      <c r="H535" s="49">
        <v>38890</v>
      </c>
      <c r="I535" s="49">
        <v>20448.220000000019</v>
      </c>
      <c r="J535" s="51">
        <f>IF(H535=0,"No plan at start",I535/H535)</f>
        <v>0.52579634867575265</v>
      </c>
      <c r="K535" s="52">
        <f>H535-I535</f>
        <v>18441.779999999981</v>
      </c>
      <c r="L535" s="49">
        <v>0</v>
      </c>
      <c r="M535" s="49">
        <f>I535+L535</f>
        <v>20448.220000000019</v>
      </c>
      <c r="N535" s="49">
        <f>M535-H535</f>
        <v>-18441.779999999981</v>
      </c>
      <c r="O535" s="50">
        <f>IF(H535=0,"No plan at start",M535/H535)</f>
        <v>0.52579634867575265</v>
      </c>
    </row>
    <row r="536" spans="2:15" hidden="1" outlineLevel="2" x14ac:dyDescent="0.2">
      <c r="B536" s="49" t="s">
        <v>51</v>
      </c>
      <c r="C536" s="49" t="s">
        <v>59</v>
      </c>
      <c r="D536" s="49">
        <v>0</v>
      </c>
      <c r="E536" s="49">
        <v>0</v>
      </c>
      <c r="F536" s="49">
        <f>E536-D536</f>
        <v>0</v>
      </c>
      <c r="G536" s="50">
        <f>IF(D536=0,0,ABS(F536/D536))</f>
        <v>0</v>
      </c>
      <c r="H536" s="49">
        <v>0</v>
      </c>
      <c r="I536" s="49">
        <v>0</v>
      </c>
      <c r="J536" s="51" t="str">
        <f>IF(H536=0,"No plan at start",I536/H536)</f>
        <v>No plan at start</v>
      </c>
      <c r="K536" s="52">
        <f>H536-I536</f>
        <v>0</v>
      </c>
      <c r="L536" s="49">
        <v>0</v>
      </c>
      <c r="M536" s="49">
        <f>I536+L536</f>
        <v>0</v>
      </c>
      <c r="N536" s="49">
        <f>M536-H536</f>
        <v>0</v>
      </c>
      <c r="O536" s="50" t="str">
        <f>IF(H536=0,"No plan at start",M536/H536)</f>
        <v>No plan at start</v>
      </c>
    </row>
    <row r="537" spans="2:15" hidden="1" outlineLevel="2" x14ac:dyDescent="0.2">
      <c r="B537" s="49" t="s">
        <v>51</v>
      </c>
      <c r="C537" s="49" t="s">
        <v>60</v>
      </c>
      <c r="D537" s="49">
        <v>0</v>
      </c>
      <c r="E537" s="49">
        <v>0</v>
      </c>
      <c r="F537" s="49">
        <f>E537-D537</f>
        <v>0</v>
      </c>
      <c r="G537" s="50">
        <f>IF(D537=0,0,ABS(F537/D537))</f>
        <v>0</v>
      </c>
      <c r="H537" s="49">
        <v>0</v>
      </c>
      <c r="I537" s="49">
        <v>0</v>
      </c>
      <c r="J537" s="51" t="str">
        <f>IF(H537=0,"No plan at start",I537/H537)</f>
        <v>No plan at start</v>
      </c>
      <c r="K537" s="52">
        <f>H537-I537</f>
        <v>0</v>
      </c>
      <c r="L537" s="49">
        <v>0</v>
      </c>
      <c r="M537" s="49">
        <f>I537+L537</f>
        <v>0</v>
      </c>
      <c r="N537" s="49">
        <f>M537-H537</f>
        <v>0</v>
      </c>
      <c r="O537" s="50" t="str">
        <f>IF(H537=0,"No plan at start",M537/H537)</f>
        <v>No plan at start</v>
      </c>
    </row>
    <row r="538" spans="2:15" hidden="1" outlineLevel="2" x14ac:dyDescent="0.2">
      <c r="B538" s="49" t="s">
        <v>51</v>
      </c>
      <c r="C538" s="49" t="s">
        <v>61</v>
      </c>
      <c r="D538" s="49">
        <v>0</v>
      </c>
      <c r="E538" s="49">
        <v>0</v>
      </c>
      <c r="F538" s="49">
        <f>E538-D538</f>
        <v>0</v>
      </c>
      <c r="G538" s="50">
        <f>IF(D538=0,0,ABS(F538/D538))</f>
        <v>0</v>
      </c>
      <c r="H538" s="49">
        <v>0</v>
      </c>
      <c r="I538" s="49">
        <v>0</v>
      </c>
      <c r="J538" s="51" t="str">
        <f>IF(H538=0,"No plan at start",I538/H538)</f>
        <v>No plan at start</v>
      </c>
      <c r="K538" s="52">
        <f>H538-I538</f>
        <v>0</v>
      </c>
      <c r="L538" s="49">
        <v>0</v>
      </c>
      <c r="M538" s="49">
        <f>I538+L538</f>
        <v>0</v>
      </c>
      <c r="N538" s="49">
        <f>M538-H538</f>
        <v>0</v>
      </c>
      <c r="O538" s="50" t="str">
        <f>IF(H538=0,"No plan at start",M538/H538)</f>
        <v>No plan at start</v>
      </c>
    </row>
    <row r="539" spans="2:15" hidden="1" outlineLevel="2" x14ac:dyDescent="0.2">
      <c r="B539" s="49" t="s">
        <v>51</v>
      </c>
      <c r="C539" s="49" t="s">
        <v>62</v>
      </c>
      <c r="D539" s="49">
        <v>0</v>
      </c>
      <c r="E539" s="49">
        <v>0</v>
      </c>
      <c r="F539" s="49">
        <f>E539-D539</f>
        <v>0</v>
      </c>
      <c r="G539" s="50">
        <f>IF(D539=0,0,ABS(F539/D539))</f>
        <v>0</v>
      </c>
      <c r="H539" s="49">
        <v>0</v>
      </c>
      <c r="I539" s="49">
        <v>1368.9</v>
      </c>
      <c r="J539" s="51" t="str">
        <f>IF(H539=0,"No plan at start",I539/H539)</f>
        <v>No plan at start</v>
      </c>
      <c r="K539" s="52">
        <f>H539-I539</f>
        <v>-1368.9</v>
      </c>
      <c r="L539" s="49">
        <v>0</v>
      </c>
      <c r="M539" s="49">
        <f>I539+L539</f>
        <v>1368.9</v>
      </c>
      <c r="N539" s="49">
        <f>M539-H539</f>
        <v>1368.9</v>
      </c>
      <c r="O539" s="50" t="str">
        <f>IF(H539=0,"No plan at start",M539/H539)</f>
        <v>No plan at start</v>
      </c>
    </row>
    <row r="540" spans="2:15" outlineLevel="1" collapsed="1" x14ac:dyDescent="0.2">
      <c r="B540" s="56" t="s">
        <v>101</v>
      </c>
      <c r="C540" s="49"/>
      <c r="D540" s="49">
        <f>SUBTOTAL(9,D528:D539)</f>
        <v>0</v>
      </c>
      <c r="E540" s="49">
        <f>SUBTOTAL(9,E528:E539)</f>
        <v>0</v>
      </c>
      <c r="F540" s="49">
        <f>SUBTOTAL(9,F528:F539)</f>
        <v>0</v>
      </c>
      <c r="G540" s="50">
        <f>IF(D540=0,0,ABS(F540/D540))</f>
        <v>0</v>
      </c>
      <c r="H540" s="49">
        <f>SUBTOTAL(9,H528:H539)</f>
        <v>74723.049999999988</v>
      </c>
      <c r="I540" s="49">
        <f>SUBTOTAL(9,I528:I539)</f>
        <v>34561.280000000021</v>
      </c>
      <c r="J540" s="51">
        <f>IF(H540=0,"No plan at start",I540/H540)</f>
        <v>0.46252501738084867</v>
      </c>
      <c r="K540" s="52">
        <f>SUBTOTAL(9,K528:K539)</f>
        <v>40161.769999999975</v>
      </c>
      <c r="L540" s="49">
        <f>SUBTOTAL(9,L528:L539)</f>
        <v>0</v>
      </c>
      <c r="M540" s="49">
        <f>SUBTOTAL(9,M528:M539)</f>
        <v>34561.280000000021</v>
      </c>
      <c r="N540" s="49">
        <f>SUBTOTAL(9,N528:N539)</f>
        <v>-40161.769999999975</v>
      </c>
      <c r="O540" s="50">
        <f>IF(H540=0,"No plan at start",M540/H540)</f>
        <v>0.46252501738084867</v>
      </c>
    </row>
    <row r="541" spans="2:15" hidden="1" outlineLevel="2" x14ac:dyDescent="0.2">
      <c r="B541" s="49" t="s">
        <v>63</v>
      </c>
      <c r="C541" s="49" t="s">
        <v>52</v>
      </c>
      <c r="D541" s="49">
        <v>0</v>
      </c>
      <c r="E541" s="49">
        <v>0</v>
      </c>
      <c r="F541" s="49">
        <f>E541-D541</f>
        <v>0</v>
      </c>
      <c r="G541" s="50">
        <f>IF(D541=0,0,ABS(F541/D541))</f>
        <v>0</v>
      </c>
      <c r="H541" s="49">
        <v>0</v>
      </c>
      <c r="I541" s="49">
        <v>0</v>
      </c>
      <c r="J541" s="51" t="str">
        <f>IF(H541=0,"No plan at start",I541/H541)</f>
        <v>No plan at start</v>
      </c>
      <c r="K541" s="52">
        <f>H541-I541</f>
        <v>0</v>
      </c>
      <c r="L541" s="49">
        <v>0</v>
      </c>
      <c r="M541" s="49">
        <f>I541+L541</f>
        <v>0</v>
      </c>
      <c r="N541" s="49">
        <f>M541-H541</f>
        <v>0</v>
      </c>
      <c r="O541" s="50" t="str">
        <f>IF(H541=0,"No plan at start",M541/H541)</f>
        <v>No plan at start</v>
      </c>
    </row>
    <row r="542" spans="2:15" hidden="1" outlineLevel="2" x14ac:dyDescent="0.2">
      <c r="B542" s="49" t="s">
        <v>63</v>
      </c>
      <c r="C542" s="49" t="s">
        <v>53</v>
      </c>
      <c r="D542" s="49">
        <v>0</v>
      </c>
      <c r="E542" s="49">
        <v>0</v>
      </c>
      <c r="F542" s="49">
        <f>E542-D542</f>
        <v>0</v>
      </c>
      <c r="G542" s="50">
        <f>IF(D542=0,0,ABS(F542/D542))</f>
        <v>0</v>
      </c>
      <c r="H542" s="49">
        <v>0</v>
      </c>
      <c r="I542" s="49">
        <v>0</v>
      </c>
      <c r="J542" s="51" t="str">
        <f>IF(H542=0,"No plan at start",I542/H542)</f>
        <v>No plan at start</v>
      </c>
      <c r="K542" s="52">
        <f>H542-I542</f>
        <v>0</v>
      </c>
      <c r="L542" s="49">
        <v>0</v>
      </c>
      <c r="M542" s="49">
        <f>I542+L542</f>
        <v>0</v>
      </c>
      <c r="N542" s="49">
        <f>M542-H542</f>
        <v>0</v>
      </c>
      <c r="O542" s="50" t="str">
        <f>IF(H542=0,"No plan at start",M542/H542)</f>
        <v>No plan at start</v>
      </c>
    </row>
    <row r="543" spans="2:15" hidden="1" outlineLevel="2" x14ac:dyDescent="0.2">
      <c r="B543" s="49" t="s">
        <v>63</v>
      </c>
      <c r="C543" s="49" t="s">
        <v>54</v>
      </c>
      <c r="D543" s="49">
        <v>0</v>
      </c>
      <c r="E543" s="49">
        <v>0</v>
      </c>
      <c r="F543" s="49">
        <f>E543-D543</f>
        <v>0</v>
      </c>
      <c r="G543" s="50">
        <f>IF(D543=0,0,ABS(F543/D543))</f>
        <v>0</v>
      </c>
      <c r="H543" s="49">
        <v>0</v>
      </c>
      <c r="I543" s="49">
        <v>0</v>
      </c>
      <c r="J543" s="51" t="str">
        <f>IF(H543=0,"No plan at start",I543/H543)</f>
        <v>No plan at start</v>
      </c>
      <c r="K543" s="52">
        <f>H543-I543</f>
        <v>0</v>
      </c>
      <c r="L543" s="49">
        <v>0</v>
      </c>
      <c r="M543" s="49">
        <f>I543+L543</f>
        <v>0</v>
      </c>
      <c r="N543" s="49">
        <f>M543-H543</f>
        <v>0</v>
      </c>
      <c r="O543" s="50" t="str">
        <f>IF(H543=0,"No plan at start",M543/H543)</f>
        <v>No plan at start</v>
      </c>
    </row>
    <row r="544" spans="2:15" hidden="1" outlineLevel="2" x14ac:dyDescent="0.2">
      <c r="B544" s="49" t="s">
        <v>63</v>
      </c>
      <c r="C544" s="49" t="s">
        <v>55</v>
      </c>
      <c r="D544" s="49">
        <v>0</v>
      </c>
      <c r="E544" s="49">
        <v>0</v>
      </c>
      <c r="F544" s="49">
        <f>E544-D544</f>
        <v>0</v>
      </c>
      <c r="G544" s="50">
        <f>IF(D544=0,0,ABS(F544/D544))</f>
        <v>0</v>
      </c>
      <c r="H544" s="49">
        <v>0</v>
      </c>
      <c r="I544" s="49">
        <v>0</v>
      </c>
      <c r="J544" s="51" t="str">
        <f>IF(H544=0,"No plan at start",I544/H544)</f>
        <v>No plan at start</v>
      </c>
      <c r="K544" s="52">
        <f>H544-I544</f>
        <v>0</v>
      </c>
      <c r="L544" s="49">
        <v>0</v>
      </c>
      <c r="M544" s="49">
        <f>I544+L544</f>
        <v>0</v>
      </c>
      <c r="N544" s="49">
        <f>M544-H544</f>
        <v>0</v>
      </c>
      <c r="O544" s="50" t="str">
        <f>IF(H544=0,"No plan at start",M544/H544)</f>
        <v>No plan at start</v>
      </c>
    </row>
    <row r="545" spans="2:15" hidden="1" outlineLevel="2" x14ac:dyDescent="0.2">
      <c r="B545" s="49" t="s">
        <v>63</v>
      </c>
      <c r="C545" s="49" t="s">
        <v>56</v>
      </c>
      <c r="D545" s="49">
        <v>0</v>
      </c>
      <c r="E545" s="49">
        <v>0</v>
      </c>
      <c r="F545" s="49">
        <f>E545-D545</f>
        <v>0</v>
      </c>
      <c r="G545" s="50">
        <f>IF(D545=0,0,ABS(F545/D545))</f>
        <v>0</v>
      </c>
      <c r="H545" s="49">
        <v>0</v>
      </c>
      <c r="I545" s="49">
        <v>0</v>
      </c>
      <c r="J545" s="51" t="str">
        <f>IF(H545=0,"No plan at start",I545/H545)</f>
        <v>No plan at start</v>
      </c>
      <c r="K545" s="52">
        <f>H545-I545</f>
        <v>0</v>
      </c>
      <c r="L545" s="49">
        <v>0</v>
      </c>
      <c r="M545" s="49">
        <f>I545+L545</f>
        <v>0</v>
      </c>
      <c r="N545" s="49">
        <f>M545-H545</f>
        <v>0</v>
      </c>
      <c r="O545" s="50" t="str">
        <f>IF(H545=0,"No plan at start",M545/H545)</f>
        <v>No plan at start</v>
      </c>
    </row>
    <row r="546" spans="2:15" hidden="1" outlineLevel="2" x14ac:dyDescent="0.2">
      <c r="B546" s="49" t="s">
        <v>63</v>
      </c>
      <c r="C546" s="49" t="s">
        <v>57</v>
      </c>
      <c r="D546" s="49">
        <v>0</v>
      </c>
      <c r="E546" s="49">
        <v>0</v>
      </c>
      <c r="F546" s="49">
        <f>E546-D546</f>
        <v>0</v>
      </c>
      <c r="G546" s="50">
        <f>IF(D546=0,0,ABS(F546/D546))</f>
        <v>0</v>
      </c>
      <c r="H546" s="49">
        <v>0</v>
      </c>
      <c r="I546" s="49">
        <v>0</v>
      </c>
      <c r="J546" s="51" t="str">
        <f>IF(H546=0,"No plan at start",I546/H546)</f>
        <v>No plan at start</v>
      </c>
      <c r="K546" s="52">
        <f>H546-I546</f>
        <v>0</v>
      </c>
      <c r="L546" s="49">
        <v>0</v>
      </c>
      <c r="M546" s="49">
        <f>I546+L546</f>
        <v>0</v>
      </c>
      <c r="N546" s="49">
        <f>M546-H546</f>
        <v>0</v>
      </c>
      <c r="O546" s="50" t="str">
        <f>IF(H546=0,"No plan at start",M546/H546)</f>
        <v>No plan at start</v>
      </c>
    </row>
    <row r="547" spans="2:15" hidden="1" outlineLevel="2" x14ac:dyDescent="0.2">
      <c r="B547" s="49" t="s">
        <v>63</v>
      </c>
      <c r="C547" s="49" t="s">
        <v>48</v>
      </c>
      <c r="D547" s="49">
        <v>0</v>
      </c>
      <c r="E547" s="49">
        <v>0</v>
      </c>
      <c r="F547" s="49">
        <f>E547-D547</f>
        <v>0</v>
      </c>
      <c r="G547" s="50">
        <f>IF(D547=0,0,ABS(F547/D547))</f>
        <v>0</v>
      </c>
      <c r="H547" s="49">
        <v>0</v>
      </c>
      <c r="I547" s="49">
        <v>0</v>
      </c>
      <c r="J547" s="51" t="str">
        <f>IF(H547=0,"No plan at start",I547/H547)</f>
        <v>No plan at start</v>
      </c>
      <c r="K547" s="52">
        <f>H547-I547</f>
        <v>0</v>
      </c>
      <c r="L547" s="49">
        <v>0</v>
      </c>
      <c r="M547" s="49">
        <f>I547+L547</f>
        <v>0</v>
      </c>
      <c r="N547" s="49">
        <f>M547-H547</f>
        <v>0</v>
      </c>
      <c r="O547" s="50" t="str">
        <f>IF(H547=0,"No plan at start",M547/H547)</f>
        <v>No plan at start</v>
      </c>
    </row>
    <row r="548" spans="2:15" hidden="1" outlineLevel="2" x14ac:dyDescent="0.2">
      <c r="B548" s="49" t="s">
        <v>63</v>
      </c>
      <c r="C548" s="49" t="s">
        <v>58</v>
      </c>
      <c r="D548" s="49">
        <v>0</v>
      </c>
      <c r="E548" s="49">
        <v>0</v>
      </c>
      <c r="F548" s="49">
        <f>E548-D548</f>
        <v>0</v>
      </c>
      <c r="G548" s="50">
        <f>IF(D548=0,0,ABS(F548/D548))</f>
        <v>0</v>
      </c>
      <c r="H548" s="49">
        <v>0</v>
      </c>
      <c r="I548" s="49">
        <v>0</v>
      </c>
      <c r="J548" s="51" t="str">
        <f>IF(H548=0,"No plan at start",I548/H548)</f>
        <v>No plan at start</v>
      </c>
      <c r="K548" s="52">
        <f>H548-I548</f>
        <v>0</v>
      </c>
      <c r="L548" s="49">
        <v>0</v>
      </c>
      <c r="M548" s="49">
        <f>I548+L548</f>
        <v>0</v>
      </c>
      <c r="N548" s="49">
        <f>M548-H548</f>
        <v>0</v>
      </c>
      <c r="O548" s="50" t="str">
        <f>IF(H548=0,"No plan at start",M548/H548)</f>
        <v>No plan at start</v>
      </c>
    </row>
    <row r="549" spans="2:15" hidden="1" outlineLevel="2" x14ac:dyDescent="0.2">
      <c r="B549" s="49" t="s">
        <v>63</v>
      </c>
      <c r="C549" s="49" t="s">
        <v>59</v>
      </c>
      <c r="D549" s="49">
        <v>0</v>
      </c>
      <c r="E549" s="49">
        <v>0</v>
      </c>
      <c r="F549" s="49">
        <f>E549-D549</f>
        <v>0</v>
      </c>
      <c r="G549" s="50">
        <f>IF(D549=0,0,ABS(F549/D549))</f>
        <v>0</v>
      </c>
      <c r="H549" s="49">
        <v>0</v>
      </c>
      <c r="I549" s="49">
        <v>0</v>
      </c>
      <c r="J549" s="51" t="str">
        <f>IF(H549=0,"No plan at start",I549/H549)</f>
        <v>No plan at start</v>
      </c>
      <c r="K549" s="52">
        <f>H549-I549</f>
        <v>0</v>
      </c>
      <c r="L549" s="49">
        <v>0</v>
      </c>
      <c r="M549" s="49">
        <f>I549+L549</f>
        <v>0</v>
      </c>
      <c r="N549" s="49">
        <f>M549-H549</f>
        <v>0</v>
      </c>
      <c r="O549" s="50" t="str">
        <f>IF(H549=0,"No plan at start",M549/H549)</f>
        <v>No plan at start</v>
      </c>
    </row>
    <row r="550" spans="2:15" hidden="1" outlineLevel="2" x14ac:dyDescent="0.2">
      <c r="B550" s="49" t="s">
        <v>63</v>
      </c>
      <c r="C550" s="49" t="s">
        <v>60</v>
      </c>
      <c r="D550" s="49">
        <v>0</v>
      </c>
      <c r="E550" s="49">
        <v>0</v>
      </c>
      <c r="F550" s="49">
        <f>E550-D550</f>
        <v>0</v>
      </c>
      <c r="G550" s="50">
        <f>IF(D550=0,0,ABS(F550/D550))</f>
        <v>0</v>
      </c>
      <c r="H550" s="49">
        <v>0</v>
      </c>
      <c r="I550" s="49">
        <v>0</v>
      </c>
      <c r="J550" s="51" t="str">
        <f>IF(H550=0,"No plan at start",I550/H550)</f>
        <v>No plan at start</v>
      </c>
      <c r="K550" s="52">
        <f>H550-I550</f>
        <v>0</v>
      </c>
      <c r="L550" s="49">
        <v>0</v>
      </c>
      <c r="M550" s="49">
        <f>I550+L550</f>
        <v>0</v>
      </c>
      <c r="N550" s="49">
        <f>M550-H550</f>
        <v>0</v>
      </c>
      <c r="O550" s="50" t="str">
        <f>IF(H550=0,"No plan at start",M550/H550)</f>
        <v>No plan at start</v>
      </c>
    </row>
    <row r="551" spans="2:15" hidden="1" outlineLevel="2" x14ac:dyDescent="0.2">
      <c r="B551" s="49" t="s">
        <v>63</v>
      </c>
      <c r="C551" s="49" t="s">
        <v>61</v>
      </c>
      <c r="D551" s="49">
        <v>0</v>
      </c>
      <c r="E551" s="49">
        <v>0</v>
      </c>
      <c r="F551" s="49">
        <f>E551-D551</f>
        <v>0</v>
      </c>
      <c r="G551" s="50">
        <f>IF(D551=0,0,ABS(F551/D551))</f>
        <v>0</v>
      </c>
      <c r="H551" s="49">
        <v>0</v>
      </c>
      <c r="I551" s="49">
        <v>0</v>
      </c>
      <c r="J551" s="51" t="str">
        <f>IF(H551=0,"No plan at start",I551/H551)</f>
        <v>No plan at start</v>
      </c>
      <c r="K551" s="52">
        <f>H551-I551</f>
        <v>0</v>
      </c>
      <c r="L551" s="49">
        <v>0</v>
      </c>
      <c r="M551" s="49">
        <f>I551+L551</f>
        <v>0</v>
      </c>
      <c r="N551" s="49">
        <f>M551-H551</f>
        <v>0</v>
      </c>
      <c r="O551" s="50" t="str">
        <f>IF(H551=0,"No plan at start",M551/H551)</f>
        <v>No plan at start</v>
      </c>
    </row>
    <row r="552" spans="2:15" hidden="1" outlineLevel="2" x14ac:dyDescent="0.2">
      <c r="B552" s="49" t="s">
        <v>63</v>
      </c>
      <c r="C552" s="49" t="s">
        <v>62</v>
      </c>
      <c r="D552" s="49">
        <v>0</v>
      </c>
      <c r="E552" s="49">
        <v>0</v>
      </c>
      <c r="F552" s="49">
        <f>E552-D552</f>
        <v>0</v>
      </c>
      <c r="G552" s="50">
        <f>IF(D552=0,0,ABS(F552/D552))</f>
        <v>0</v>
      </c>
      <c r="H552" s="49">
        <v>0</v>
      </c>
      <c r="I552" s="49">
        <v>0</v>
      </c>
      <c r="J552" s="51" t="str">
        <f>IF(H552=0,"No plan at start",I552/H552)</f>
        <v>No plan at start</v>
      </c>
      <c r="K552" s="52">
        <f>H552-I552</f>
        <v>0</v>
      </c>
      <c r="L552" s="49">
        <v>0</v>
      </c>
      <c r="M552" s="49">
        <f>I552+L552</f>
        <v>0</v>
      </c>
      <c r="N552" s="49">
        <f>M552-H552</f>
        <v>0</v>
      </c>
      <c r="O552" s="50" t="str">
        <f>IF(H552=0,"No plan at start",M552/H552)</f>
        <v>No plan at start</v>
      </c>
    </row>
    <row r="553" spans="2:15" outlineLevel="1" collapsed="1" x14ac:dyDescent="0.2">
      <c r="B553" s="56" t="s">
        <v>102</v>
      </c>
      <c r="C553" s="49"/>
      <c r="D553" s="49">
        <f>SUBTOTAL(9,D541:D552)</f>
        <v>0</v>
      </c>
      <c r="E553" s="49">
        <f>SUBTOTAL(9,E541:E552)</f>
        <v>0</v>
      </c>
      <c r="F553" s="49">
        <f>SUBTOTAL(9,F541:F552)</f>
        <v>0</v>
      </c>
      <c r="G553" s="50">
        <f>IF(D553=0,0,ABS(F553/D553))</f>
        <v>0</v>
      </c>
      <c r="H553" s="49">
        <f>SUBTOTAL(9,H541:H552)</f>
        <v>0</v>
      </c>
      <c r="I553" s="49">
        <f>SUBTOTAL(9,I541:I552)</f>
        <v>0</v>
      </c>
      <c r="J553" s="51" t="str">
        <f>IF(H553=0,"No plan at start",I553/H553)</f>
        <v>No plan at start</v>
      </c>
      <c r="K553" s="52">
        <f>SUBTOTAL(9,K541:K552)</f>
        <v>0</v>
      </c>
      <c r="L553" s="49">
        <f>SUBTOTAL(9,L541:L552)</f>
        <v>0</v>
      </c>
      <c r="M553" s="49">
        <f>SUBTOTAL(9,M541:M552)</f>
        <v>0</v>
      </c>
      <c r="N553" s="49">
        <f>SUBTOTAL(9,N541:N552)</f>
        <v>0</v>
      </c>
      <c r="O553" s="50" t="str">
        <f>IF(H553=0,"No plan at start",M553/H553)</f>
        <v>No plan at start</v>
      </c>
    </row>
    <row r="554" spans="2:15" hidden="1" outlineLevel="2" x14ac:dyDescent="0.2">
      <c r="B554" s="49" t="s">
        <v>64</v>
      </c>
      <c r="C554" s="49" t="s">
        <v>52</v>
      </c>
      <c r="D554" s="49">
        <v>0</v>
      </c>
      <c r="E554" s="49">
        <v>0</v>
      </c>
      <c r="F554" s="49">
        <f>E554-D554</f>
        <v>0</v>
      </c>
      <c r="G554" s="50">
        <f>IF(D554=0,0,ABS(F554/D554))</f>
        <v>0</v>
      </c>
      <c r="H554" s="49">
        <v>0</v>
      </c>
      <c r="I554" s="49">
        <v>0</v>
      </c>
      <c r="J554" s="51" t="str">
        <f>IF(H554=0,"No plan at start",I554/H554)</f>
        <v>No plan at start</v>
      </c>
      <c r="K554" s="52">
        <f>H554-I554</f>
        <v>0</v>
      </c>
      <c r="L554" s="49">
        <v>0</v>
      </c>
      <c r="M554" s="49">
        <f>I554+L554</f>
        <v>0</v>
      </c>
      <c r="N554" s="49">
        <f>M554-H554</f>
        <v>0</v>
      </c>
      <c r="O554" s="50" t="str">
        <f>IF(H554=0,"No plan at start",M554/H554)</f>
        <v>No plan at start</v>
      </c>
    </row>
    <row r="555" spans="2:15" hidden="1" outlineLevel="2" x14ac:dyDescent="0.2">
      <c r="B555" s="49" t="s">
        <v>64</v>
      </c>
      <c r="C555" s="49" t="s">
        <v>53</v>
      </c>
      <c r="D555" s="49">
        <v>0</v>
      </c>
      <c r="E555" s="49">
        <v>0</v>
      </c>
      <c r="F555" s="49">
        <f>E555-D555</f>
        <v>0</v>
      </c>
      <c r="G555" s="50">
        <f>IF(D555=0,0,ABS(F555/D555))</f>
        <v>0</v>
      </c>
      <c r="H555" s="49">
        <v>0</v>
      </c>
      <c r="I555" s="49">
        <v>0</v>
      </c>
      <c r="J555" s="51" t="str">
        <f>IF(H555=0,"No plan at start",I555/H555)</f>
        <v>No plan at start</v>
      </c>
      <c r="K555" s="52">
        <f>H555-I555</f>
        <v>0</v>
      </c>
      <c r="L555" s="49">
        <v>0</v>
      </c>
      <c r="M555" s="49">
        <f>I555+L555</f>
        <v>0</v>
      </c>
      <c r="N555" s="49">
        <f>M555-H555</f>
        <v>0</v>
      </c>
      <c r="O555" s="50" t="str">
        <f>IF(H555=0,"No plan at start",M555/H555)</f>
        <v>No plan at start</v>
      </c>
    </row>
    <row r="556" spans="2:15" hidden="1" outlineLevel="2" x14ac:dyDescent="0.2">
      <c r="B556" s="49" t="s">
        <v>64</v>
      </c>
      <c r="C556" s="49" t="s">
        <v>54</v>
      </c>
      <c r="D556" s="49">
        <v>0</v>
      </c>
      <c r="E556" s="49">
        <v>0</v>
      </c>
      <c r="F556" s="49">
        <f>E556-D556</f>
        <v>0</v>
      </c>
      <c r="G556" s="50">
        <f>IF(D556=0,0,ABS(F556/D556))</f>
        <v>0</v>
      </c>
      <c r="H556" s="49">
        <v>0</v>
      </c>
      <c r="I556" s="49">
        <v>0</v>
      </c>
      <c r="J556" s="51" t="str">
        <f>IF(H556=0,"No plan at start",I556/H556)</f>
        <v>No plan at start</v>
      </c>
      <c r="K556" s="52">
        <f>H556-I556</f>
        <v>0</v>
      </c>
      <c r="L556" s="49">
        <v>0</v>
      </c>
      <c r="M556" s="49">
        <f>I556+L556</f>
        <v>0</v>
      </c>
      <c r="N556" s="49">
        <f>M556-H556</f>
        <v>0</v>
      </c>
      <c r="O556" s="50" t="str">
        <f>IF(H556=0,"No plan at start",M556/H556)</f>
        <v>No plan at start</v>
      </c>
    </row>
    <row r="557" spans="2:15" hidden="1" outlineLevel="2" x14ac:dyDescent="0.2">
      <c r="B557" s="49" t="s">
        <v>64</v>
      </c>
      <c r="C557" s="49" t="s">
        <v>55</v>
      </c>
      <c r="D557" s="49">
        <v>0</v>
      </c>
      <c r="E557" s="49">
        <v>0</v>
      </c>
      <c r="F557" s="49">
        <f>E557-D557</f>
        <v>0</v>
      </c>
      <c r="G557" s="50">
        <f>IF(D557=0,0,ABS(F557/D557))</f>
        <v>0</v>
      </c>
      <c r="H557" s="49">
        <v>0</v>
      </c>
      <c r="I557" s="49">
        <v>0</v>
      </c>
      <c r="J557" s="51" t="str">
        <f>IF(H557=0,"No plan at start",I557/H557)</f>
        <v>No plan at start</v>
      </c>
      <c r="K557" s="52">
        <f>H557-I557</f>
        <v>0</v>
      </c>
      <c r="L557" s="49">
        <v>0</v>
      </c>
      <c r="M557" s="49">
        <f>I557+L557</f>
        <v>0</v>
      </c>
      <c r="N557" s="49">
        <f>M557-H557</f>
        <v>0</v>
      </c>
      <c r="O557" s="50" t="str">
        <f>IF(H557=0,"No plan at start",M557/H557)</f>
        <v>No plan at start</v>
      </c>
    </row>
    <row r="558" spans="2:15" hidden="1" outlineLevel="2" x14ac:dyDescent="0.2">
      <c r="B558" s="49" t="s">
        <v>64</v>
      </c>
      <c r="C558" s="49" t="s">
        <v>56</v>
      </c>
      <c r="D558" s="49">
        <v>0</v>
      </c>
      <c r="E558" s="49">
        <v>0</v>
      </c>
      <c r="F558" s="49">
        <f>E558-D558</f>
        <v>0</v>
      </c>
      <c r="G558" s="50">
        <f>IF(D558=0,0,ABS(F558/D558))</f>
        <v>0</v>
      </c>
      <c r="H558" s="49">
        <v>0</v>
      </c>
      <c r="I558" s="49">
        <v>0</v>
      </c>
      <c r="J558" s="51" t="str">
        <f>IF(H558=0,"No plan at start",I558/H558)</f>
        <v>No plan at start</v>
      </c>
      <c r="K558" s="52">
        <f>H558-I558</f>
        <v>0</v>
      </c>
      <c r="L558" s="49">
        <v>0</v>
      </c>
      <c r="M558" s="49">
        <f>I558+L558</f>
        <v>0</v>
      </c>
      <c r="N558" s="49">
        <f>M558-H558</f>
        <v>0</v>
      </c>
      <c r="O558" s="50" t="str">
        <f>IF(H558=0,"No plan at start",M558/H558)</f>
        <v>No plan at start</v>
      </c>
    </row>
    <row r="559" spans="2:15" hidden="1" outlineLevel="2" x14ac:dyDescent="0.2">
      <c r="B559" s="49" t="s">
        <v>64</v>
      </c>
      <c r="C559" s="49" t="s">
        <v>57</v>
      </c>
      <c r="D559" s="49">
        <v>0</v>
      </c>
      <c r="E559" s="49">
        <v>0</v>
      </c>
      <c r="F559" s="49">
        <f>E559-D559</f>
        <v>0</v>
      </c>
      <c r="G559" s="50">
        <f>IF(D559=0,0,ABS(F559/D559))</f>
        <v>0</v>
      </c>
      <c r="H559" s="49">
        <v>0</v>
      </c>
      <c r="I559" s="49">
        <v>0</v>
      </c>
      <c r="J559" s="51" t="str">
        <f>IF(H559=0,"No plan at start",I559/H559)</f>
        <v>No plan at start</v>
      </c>
      <c r="K559" s="52">
        <f>H559-I559</f>
        <v>0</v>
      </c>
      <c r="L559" s="49">
        <v>0</v>
      </c>
      <c r="M559" s="49">
        <f>I559+L559</f>
        <v>0</v>
      </c>
      <c r="N559" s="49">
        <f>M559-H559</f>
        <v>0</v>
      </c>
      <c r="O559" s="50" t="str">
        <f>IF(H559=0,"No plan at start",M559/H559)</f>
        <v>No plan at start</v>
      </c>
    </row>
    <row r="560" spans="2:15" hidden="1" outlineLevel="2" x14ac:dyDescent="0.2">
      <c r="B560" s="49" t="s">
        <v>64</v>
      </c>
      <c r="C560" s="49" t="s">
        <v>48</v>
      </c>
      <c r="D560" s="49">
        <v>0</v>
      </c>
      <c r="E560" s="49">
        <v>0</v>
      </c>
      <c r="F560" s="49">
        <f>E560-D560</f>
        <v>0</v>
      </c>
      <c r="G560" s="50">
        <f>IF(D560=0,0,ABS(F560/D560))</f>
        <v>0</v>
      </c>
      <c r="H560" s="49">
        <v>0</v>
      </c>
      <c r="I560" s="49">
        <v>0</v>
      </c>
      <c r="J560" s="51" t="str">
        <f>IF(H560=0,"No plan at start",I560/H560)</f>
        <v>No plan at start</v>
      </c>
      <c r="K560" s="52">
        <f>H560-I560</f>
        <v>0</v>
      </c>
      <c r="L560" s="49">
        <v>0</v>
      </c>
      <c r="M560" s="49">
        <f>I560+L560</f>
        <v>0</v>
      </c>
      <c r="N560" s="49">
        <f>M560-H560</f>
        <v>0</v>
      </c>
      <c r="O560" s="50" t="str">
        <f>IF(H560=0,"No plan at start",M560/H560)</f>
        <v>No plan at start</v>
      </c>
    </row>
    <row r="561" spans="2:15" hidden="1" outlineLevel="2" x14ac:dyDescent="0.2">
      <c r="B561" s="49" t="s">
        <v>64</v>
      </c>
      <c r="C561" s="49" t="s">
        <v>58</v>
      </c>
      <c r="D561" s="49">
        <v>0</v>
      </c>
      <c r="E561" s="49">
        <v>0</v>
      </c>
      <c r="F561" s="49">
        <f>E561-D561</f>
        <v>0</v>
      </c>
      <c r="G561" s="50">
        <f>IF(D561=0,0,ABS(F561/D561))</f>
        <v>0</v>
      </c>
      <c r="H561" s="49">
        <v>0</v>
      </c>
      <c r="I561" s="49">
        <v>0</v>
      </c>
      <c r="J561" s="51" t="str">
        <f>IF(H561=0,"No plan at start",I561/H561)</f>
        <v>No plan at start</v>
      </c>
      <c r="K561" s="52">
        <f>H561-I561</f>
        <v>0</v>
      </c>
      <c r="L561" s="49">
        <v>0</v>
      </c>
      <c r="M561" s="49">
        <f>I561+L561</f>
        <v>0</v>
      </c>
      <c r="N561" s="49">
        <f>M561-H561</f>
        <v>0</v>
      </c>
      <c r="O561" s="50" t="str">
        <f>IF(H561=0,"No plan at start",M561/H561)</f>
        <v>No plan at start</v>
      </c>
    </row>
    <row r="562" spans="2:15" hidden="1" outlineLevel="2" x14ac:dyDescent="0.2">
      <c r="B562" s="49" t="s">
        <v>64</v>
      </c>
      <c r="C562" s="49" t="s">
        <v>59</v>
      </c>
      <c r="D562" s="49">
        <v>0</v>
      </c>
      <c r="E562" s="49">
        <v>0</v>
      </c>
      <c r="F562" s="49">
        <f>E562-D562</f>
        <v>0</v>
      </c>
      <c r="G562" s="50">
        <f>IF(D562=0,0,ABS(F562/D562))</f>
        <v>0</v>
      </c>
      <c r="H562" s="49">
        <v>0</v>
      </c>
      <c r="I562" s="49">
        <v>0</v>
      </c>
      <c r="J562" s="51" t="str">
        <f>IF(H562=0,"No plan at start",I562/H562)</f>
        <v>No plan at start</v>
      </c>
      <c r="K562" s="52">
        <f>H562-I562</f>
        <v>0</v>
      </c>
      <c r="L562" s="49">
        <v>0</v>
      </c>
      <c r="M562" s="49">
        <f>I562+L562</f>
        <v>0</v>
      </c>
      <c r="N562" s="49">
        <f>M562-H562</f>
        <v>0</v>
      </c>
      <c r="O562" s="50" t="str">
        <f>IF(H562=0,"No plan at start",M562/H562)</f>
        <v>No plan at start</v>
      </c>
    </row>
    <row r="563" spans="2:15" hidden="1" outlineLevel="2" x14ac:dyDescent="0.2">
      <c r="B563" s="49" t="s">
        <v>64</v>
      </c>
      <c r="C563" s="49" t="s">
        <v>60</v>
      </c>
      <c r="D563" s="49">
        <v>0</v>
      </c>
      <c r="E563" s="49">
        <v>0</v>
      </c>
      <c r="F563" s="49">
        <f>E563-D563</f>
        <v>0</v>
      </c>
      <c r="G563" s="50">
        <f>IF(D563=0,0,ABS(F563/D563))</f>
        <v>0</v>
      </c>
      <c r="H563" s="49">
        <v>0</v>
      </c>
      <c r="I563" s="49">
        <v>0</v>
      </c>
      <c r="J563" s="51" t="str">
        <f>IF(H563=0,"No plan at start",I563/H563)</f>
        <v>No plan at start</v>
      </c>
      <c r="K563" s="52">
        <f>H563-I563</f>
        <v>0</v>
      </c>
      <c r="L563" s="49">
        <v>0</v>
      </c>
      <c r="M563" s="49">
        <f>I563+L563</f>
        <v>0</v>
      </c>
      <c r="N563" s="49">
        <f>M563-H563</f>
        <v>0</v>
      </c>
      <c r="O563" s="50" t="str">
        <f>IF(H563=0,"No plan at start",M563/H563)</f>
        <v>No plan at start</v>
      </c>
    </row>
    <row r="564" spans="2:15" hidden="1" outlineLevel="2" x14ac:dyDescent="0.2">
      <c r="B564" s="49" t="s">
        <v>64</v>
      </c>
      <c r="C564" s="49" t="s">
        <v>61</v>
      </c>
      <c r="D564" s="49">
        <v>0</v>
      </c>
      <c r="E564" s="49">
        <v>0</v>
      </c>
      <c r="F564" s="49">
        <f>E564-D564</f>
        <v>0</v>
      </c>
      <c r="G564" s="50">
        <f>IF(D564=0,0,ABS(F564/D564))</f>
        <v>0</v>
      </c>
      <c r="H564" s="49">
        <v>0</v>
      </c>
      <c r="I564" s="49">
        <v>0</v>
      </c>
      <c r="J564" s="51" t="str">
        <f>IF(H564=0,"No plan at start",I564/H564)</f>
        <v>No plan at start</v>
      </c>
      <c r="K564" s="52">
        <f>H564-I564</f>
        <v>0</v>
      </c>
      <c r="L564" s="49">
        <v>0</v>
      </c>
      <c r="M564" s="49">
        <f>I564+L564</f>
        <v>0</v>
      </c>
      <c r="N564" s="49">
        <f>M564-H564</f>
        <v>0</v>
      </c>
      <c r="O564" s="50" t="str">
        <f>IF(H564=0,"No plan at start",M564/H564)</f>
        <v>No plan at start</v>
      </c>
    </row>
    <row r="565" spans="2:15" hidden="1" outlineLevel="2" x14ac:dyDescent="0.2">
      <c r="B565" s="49" t="s">
        <v>64</v>
      </c>
      <c r="C565" s="49" t="s">
        <v>62</v>
      </c>
      <c r="D565" s="49">
        <v>0</v>
      </c>
      <c r="E565" s="49">
        <v>0</v>
      </c>
      <c r="F565" s="49">
        <f>E565-D565</f>
        <v>0</v>
      </c>
      <c r="G565" s="50">
        <f>IF(D565=0,0,ABS(F565/D565))</f>
        <v>0</v>
      </c>
      <c r="H565" s="49">
        <v>0</v>
      </c>
      <c r="I565" s="49">
        <v>0</v>
      </c>
      <c r="J565" s="51" t="str">
        <f>IF(H565=0,"No plan at start",I565/H565)</f>
        <v>No plan at start</v>
      </c>
      <c r="K565" s="52">
        <f>H565-I565</f>
        <v>0</v>
      </c>
      <c r="L565" s="49">
        <v>0</v>
      </c>
      <c r="M565" s="49">
        <f>I565+L565</f>
        <v>0</v>
      </c>
      <c r="N565" s="49">
        <f>M565-H565</f>
        <v>0</v>
      </c>
      <c r="O565" s="50" t="str">
        <f>IF(H565=0,"No plan at start",M565/H565)</f>
        <v>No plan at start</v>
      </c>
    </row>
    <row r="566" spans="2:15" outlineLevel="1" collapsed="1" x14ac:dyDescent="0.2">
      <c r="B566" s="56" t="s">
        <v>103</v>
      </c>
      <c r="C566" s="49"/>
      <c r="D566" s="49">
        <f>SUBTOTAL(9,D554:D565)</f>
        <v>0</v>
      </c>
      <c r="E566" s="49">
        <f>SUBTOTAL(9,E554:E565)</f>
        <v>0</v>
      </c>
      <c r="F566" s="49">
        <f>SUBTOTAL(9,F554:F565)</f>
        <v>0</v>
      </c>
      <c r="G566" s="50">
        <f>IF(D566=0,0,ABS(F566/D566))</f>
        <v>0</v>
      </c>
      <c r="H566" s="49">
        <f>SUBTOTAL(9,H554:H565)</f>
        <v>0</v>
      </c>
      <c r="I566" s="49">
        <f>SUBTOTAL(9,I554:I565)</f>
        <v>0</v>
      </c>
      <c r="J566" s="51" t="str">
        <f>IF(H566=0,"No plan at start",I566/H566)</f>
        <v>No plan at start</v>
      </c>
      <c r="K566" s="52">
        <f>SUBTOTAL(9,K554:K565)</f>
        <v>0</v>
      </c>
      <c r="L566" s="49">
        <f>SUBTOTAL(9,L554:L565)</f>
        <v>0</v>
      </c>
      <c r="M566" s="49">
        <f>SUBTOTAL(9,M554:M565)</f>
        <v>0</v>
      </c>
      <c r="N566" s="49">
        <f>SUBTOTAL(9,N554:N565)</f>
        <v>0</v>
      </c>
      <c r="O566" s="50" t="str">
        <f>IF(H566=0,"No plan at start",M566/H566)</f>
        <v>No plan at start</v>
      </c>
    </row>
    <row r="567" spans="2:15" hidden="1" outlineLevel="2" x14ac:dyDescent="0.2">
      <c r="B567" s="49" t="s">
        <v>65</v>
      </c>
      <c r="C567" s="49" t="s">
        <v>52</v>
      </c>
      <c r="D567" s="49">
        <v>0</v>
      </c>
      <c r="E567" s="49">
        <v>0</v>
      </c>
      <c r="F567" s="49">
        <f>E567-D567</f>
        <v>0</v>
      </c>
      <c r="G567" s="50">
        <f>IF(D567=0,0,ABS(F567/D567))</f>
        <v>0</v>
      </c>
      <c r="H567" s="49">
        <v>0</v>
      </c>
      <c r="I567" s="49">
        <v>0</v>
      </c>
      <c r="J567" s="51" t="str">
        <f>IF(H567=0,"No plan at start",I567/H567)</f>
        <v>No plan at start</v>
      </c>
      <c r="K567" s="52">
        <f>H567-I567</f>
        <v>0</v>
      </c>
      <c r="L567" s="49">
        <v>0</v>
      </c>
      <c r="M567" s="49">
        <f>I567+L567</f>
        <v>0</v>
      </c>
      <c r="N567" s="49">
        <f>M567-H567</f>
        <v>0</v>
      </c>
      <c r="O567" s="50" t="str">
        <f>IF(H567=0,"No plan at start",M567/H567)</f>
        <v>No plan at start</v>
      </c>
    </row>
    <row r="568" spans="2:15" hidden="1" outlineLevel="2" x14ac:dyDescent="0.2">
      <c r="B568" s="49" t="s">
        <v>65</v>
      </c>
      <c r="C568" s="49" t="s">
        <v>53</v>
      </c>
      <c r="D568" s="49">
        <v>0</v>
      </c>
      <c r="E568" s="49">
        <v>0</v>
      </c>
      <c r="F568" s="49">
        <f>E568-D568</f>
        <v>0</v>
      </c>
      <c r="G568" s="50">
        <f>IF(D568=0,0,ABS(F568/D568))</f>
        <v>0</v>
      </c>
      <c r="H568" s="49">
        <v>0</v>
      </c>
      <c r="I568" s="49">
        <v>52</v>
      </c>
      <c r="J568" s="51" t="str">
        <f>IF(H568=0,"No plan at start",I568/H568)</f>
        <v>No plan at start</v>
      </c>
      <c r="K568" s="52">
        <f>H568-I568</f>
        <v>-52</v>
      </c>
      <c r="L568" s="49">
        <v>0</v>
      </c>
      <c r="M568" s="49">
        <f>I568+L568</f>
        <v>52</v>
      </c>
      <c r="N568" s="49">
        <f>M568-H568</f>
        <v>52</v>
      </c>
      <c r="O568" s="50" t="str">
        <f>IF(H568=0,"No plan at start",M568/H568)</f>
        <v>No plan at start</v>
      </c>
    </row>
    <row r="569" spans="2:15" hidden="1" outlineLevel="2" x14ac:dyDescent="0.2">
      <c r="B569" s="49" t="s">
        <v>65</v>
      </c>
      <c r="C569" s="49" t="s">
        <v>54</v>
      </c>
      <c r="D569" s="49">
        <v>0</v>
      </c>
      <c r="E569" s="49">
        <v>0</v>
      </c>
      <c r="F569" s="49">
        <f>E569-D569</f>
        <v>0</v>
      </c>
      <c r="G569" s="50">
        <f>IF(D569=0,0,ABS(F569/D569))</f>
        <v>0</v>
      </c>
      <c r="H569" s="49">
        <v>0</v>
      </c>
      <c r="I569" s="49">
        <v>0</v>
      </c>
      <c r="J569" s="51" t="str">
        <f>IF(H569=0,"No plan at start",I569/H569)</f>
        <v>No plan at start</v>
      </c>
      <c r="K569" s="52">
        <f>H569-I569</f>
        <v>0</v>
      </c>
      <c r="L569" s="49">
        <v>0</v>
      </c>
      <c r="M569" s="49">
        <f>I569+L569</f>
        <v>0</v>
      </c>
      <c r="N569" s="49">
        <f>M569-H569</f>
        <v>0</v>
      </c>
      <c r="O569" s="50" t="str">
        <f>IF(H569=0,"No plan at start",M569/H569)</f>
        <v>No plan at start</v>
      </c>
    </row>
    <row r="570" spans="2:15" hidden="1" outlineLevel="2" x14ac:dyDescent="0.2">
      <c r="B570" s="49" t="s">
        <v>65</v>
      </c>
      <c r="C570" s="49" t="s">
        <v>55</v>
      </c>
      <c r="D570" s="49">
        <v>0</v>
      </c>
      <c r="E570" s="49">
        <v>0</v>
      </c>
      <c r="F570" s="49">
        <f>E570-D570</f>
        <v>0</v>
      </c>
      <c r="G570" s="50">
        <f>IF(D570=0,0,ABS(F570/D570))</f>
        <v>0</v>
      </c>
      <c r="H570" s="49">
        <v>0</v>
      </c>
      <c r="I570" s="49">
        <v>0</v>
      </c>
      <c r="J570" s="51" t="str">
        <f>IF(H570=0,"No plan at start",I570/H570)</f>
        <v>No plan at start</v>
      </c>
      <c r="K570" s="52">
        <f>H570-I570</f>
        <v>0</v>
      </c>
      <c r="L570" s="49">
        <v>0</v>
      </c>
      <c r="M570" s="49">
        <f>I570+L570</f>
        <v>0</v>
      </c>
      <c r="N570" s="49">
        <f>M570-H570</f>
        <v>0</v>
      </c>
      <c r="O570" s="50" t="str">
        <f>IF(H570=0,"No plan at start",M570/H570)</f>
        <v>No plan at start</v>
      </c>
    </row>
    <row r="571" spans="2:15" hidden="1" outlineLevel="2" x14ac:dyDescent="0.2">
      <c r="B571" s="49" t="s">
        <v>65</v>
      </c>
      <c r="C571" s="49" t="s">
        <v>56</v>
      </c>
      <c r="D571" s="49">
        <v>0</v>
      </c>
      <c r="E571" s="49">
        <v>0</v>
      </c>
      <c r="F571" s="49">
        <f>E571-D571</f>
        <v>0</v>
      </c>
      <c r="G571" s="50">
        <f>IF(D571=0,0,ABS(F571/D571))</f>
        <v>0</v>
      </c>
      <c r="H571" s="49">
        <v>0</v>
      </c>
      <c r="I571" s="49">
        <v>0</v>
      </c>
      <c r="J571" s="51" t="str">
        <f>IF(H571=0,"No plan at start",I571/H571)</f>
        <v>No plan at start</v>
      </c>
      <c r="K571" s="52">
        <f>H571-I571</f>
        <v>0</v>
      </c>
      <c r="L571" s="49">
        <v>0</v>
      </c>
      <c r="M571" s="49">
        <f>I571+L571</f>
        <v>0</v>
      </c>
      <c r="N571" s="49">
        <f>M571-H571</f>
        <v>0</v>
      </c>
      <c r="O571" s="50" t="str">
        <f>IF(H571=0,"No plan at start",M571/H571)</f>
        <v>No plan at start</v>
      </c>
    </row>
    <row r="572" spans="2:15" hidden="1" outlineLevel="2" x14ac:dyDescent="0.2">
      <c r="B572" s="49" t="s">
        <v>65</v>
      </c>
      <c r="C572" s="49" t="s">
        <v>57</v>
      </c>
      <c r="D572" s="49">
        <v>0</v>
      </c>
      <c r="E572" s="49">
        <v>0</v>
      </c>
      <c r="F572" s="49">
        <f>E572-D572</f>
        <v>0</v>
      </c>
      <c r="G572" s="50">
        <f>IF(D572=0,0,ABS(F572/D572))</f>
        <v>0</v>
      </c>
      <c r="H572" s="49">
        <v>0</v>
      </c>
      <c r="I572" s="49">
        <v>0</v>
      </c>
      <c r="J572" s="51" t="str">
        <f>IF(H572=0,"No plan at start",I572/H572)</f>
        <v>No plan at start</v>
      </c>
      <c r="K572" s="52">
        <f>H572-I572</f>
        <v>0</v>
      </c>
      <c r="L572" s="49">
        <v>0</v>
      </c>
      <c r="M572" s="49">
        <f>I572+L572</f>
        <v>0</v>
      </c>
      <c r="N572" s="49">
        <f>M572-H572</f>
        <v>0</v>
      </c>
      <c r="O572" s="50" t="str">
        <f>IF(H572=0,"No plan at start",M572/H572)</f>
        <v>No plan at start</v>
      </c>
    </row>
    <row r="573" spans="2:15" hidden="1" outlineLevel="2" x14ac:dyDescent="0.2">
      <c r="B573" s="49" t="s">
        <v>65</v>
      </c>
      <c r="C573" s="49" t="s">
        <v>48</v>
      </c>
      <c r="D573" s="49">
        <v>0</v>
      </c>
      <c r="E573" s="49">
        <v>0</v>
      </c>
      <c r="F573" s="49">
        <f>E573-D573</f>
        <v>0</v>
      </c>
      <c r="G573" s="50">
        <f>IF(D573=0,0,ABS(F573/D573))</f>
        <v>0</v>
      </c>
      <c r="H573" s="49">
        <v>0</v>
      </c>
      <c r="I573" s="49">
        <v>0</v>
      </c>
      <c r="J573" s="51" t="str">
        <f>IF(H573=0,"No plan at start",I573/H573)</f>
        <v>No plan at start</v>
      </c>
      <c r="K573" s="52">
        <f>H573-I573</f>
        <v>0</v>
      </c>
      <c r="L573" s="49">
        <v>0</v>
      </c>
      <c r="M573" s="49">
        <f>I573+L573</f>
        <v>0</v>
      </c>
      <c r="N573" s="49">
        <f>M573-H573</f>
        <v>0</v>
      </c>
      <c r="O573" s="50" t="str">
        <f>IF(H573=0,"No plan at start",M573/H573)</f>
        <v>No plan at start</v>
      </c>
    </row>
    <row r="574" spans="2:15" hidden="1" outlineLevel="2" x14ac:dyDescent="0.2">
      <c r="B574" s="49" t="s">
        <v>65</v>
      </c>
      <c r="C574" s="49" t="s">
        <v>58</v>
      </c>
      <c r="D574" s="49">
        <v>0</v>
      </c>
      <c r="E574" s="49">
        <v>0</v>
      </c>
      <c r="F574" s="49">
        <f>E574-D574</f>
        <v>0</v>
      </c>
      <c r="G574" s="50">
        <f>IF(D574=0,0,ABS(F574/D574))</f>
        <v>0</v>
      </c>
      <c r="H574" s="49">
        <v>0</v>
      </c>
      <c r="I574" s="49">
        <v>122.72</v>
      </c>
      <c r="J574" s="51" t="str">
        <f>IF(H574=0,"No plan at start",I574/H574)</f>
        <v>No plan at start</v>
      </c>
      <c r="K574" s="52">
        <f>H574-I574</f>
        <v>-122.72</v>
      </c>
      <c r="L574" s="49">
        <v>0</v>
      </c>
      <c r="M574" s="49">
        <f>I574+L574</f>
        <v>122.72</v>
      </c>
      <c r="N574" s="49">
        <f>M574-H574</f>
        <v>122.72</v>
      </c>
      <c r="O574" s="50" t="str">
        <f>IF(H574=0,"No plan at start",M574/H574)</f>
        <v>No plan at start</v>
      </c>
    </row>
    <row r="575" spans="2:15" hidden="1" outlineLevel="2" x14ac:dyDescent="0.2">
      <c r="B575" s="49" t="s">
        <v>65</v>
      </c>
      <c r="C575" s="49" t="s">
        <v>59</v>
      </c>
      <c r="D575" s="49">
        <v>0</v>
      </c>
      <c r="E575" s="49">
        <v>0</v>
      </c>
      <c r="F575" s="49">
        <f>E575-D575</f>
        <v>0</v>
      </c>
      <c r="G575" s="50">
        <f>IF(D575=0,0,ABS(F575/D575))</f>
        <v>0</v>
      </c>
      <c r="H575" s="49">
        <v>0</v>
      </c>
      <c r="I575" s="49">
        <v>0</v>
      </c>
      <c r="J575" s="51" t="str">
        <f>IF(H575=0,"No plan at start",I575/H575)</f>
        <v>No plan at start</v>
      </c>
      <c r="K575" s="52">
        <f>H575-I575</f>
        <v>0</v>
      </c>
      <c r="L575" s="49">
        <v>0</v>
      </c>
      <c r="M575" s="49">
        <f>I575+L575</f>
        <v>0</v>
      </c>
      <c r="N575" s="49">
        <f>M575-H575</f>
        <v>0</v>
      </c>
      <c r="O575" s="50" t="str">
        <f>IF(H575=0,"No plan at start",M575/H575)</f>
        <v>No plan at start</v>
      </c>
    </row>
    <row r="576" spans="2:15" hidden="1" outlineLevel="2" x14ac:dyDescent="0.2">
      <c r="B576" s="49" t="s">
        <v>65</v>
      </c>
      <c r="C576" s="49" t="s">
        <v>60</v>
      </c>
      <c r="D576" s="49">
        <v>0</v>
      </c>
      <c r="E576" s="49">
        <v>0</v>
      </c>
      <c r="F576" s="49">
        <f>E576-D576</f>
        <v>0</v>
      </c>
      <c r="G576" s="50">
        <f>IF(D576=0,0,ABS(F576/D576))</f>
        <v>0</v>
      </c>
      <c r="H576" s="49">
        <v>0</v>
      </c>
      <c r="I576" s="49">
        <v>0</v>
      </c>
      <c r="J576" s="51" t="str">
        <f>IF(H576=0,"No plan at start",I576/H576)</f>
        <v>No plan at start</v>
      </c>
      <c r="K576" s="52">
        <f>H576-I576</f>
        <v>0</v>
      </c>
      <c r="L576" s="49">
        <v>0</v>
      </c>
      <c r="M576" s="49">
        <f>I576+L576</f>
        <v>0</v>
      </c>
      <c r="N576" s="49">
        <f>M576-H576</f>
        <v>0</v>
      </c>
      <c r="O576" s="50" t="str">
        <f>IF(H576=0,"No plan at start",M576/H576)</f>
        <v>No plan at start</v>
      </c>
    </row>
    <row r="577" spans="2:15" hidden="1" outlineLevel="2" x14ac:dyDescent="0.2">
      <c r="B577" s="49" t="s">
        <v>65</v>
      </c>
      <c r="C577" s="49" t="s">
        <v>61</v>
      </c>
      <c r="D577" s="49">
        <v>0</v>
      </c>
      <c r="E577" s="49">
        <v>0</v>
      </c>
      <c r="F577" s="49">
        <f>E577-D577</f>
        <v>0</v>
      </c>
      <c r="G577" s="50">
        <f>IF(D577=0,0,ABS(F577/D577))</f>
        <v>0</v>
      </c>
      <c r="H577" s="49">
        <v>0</v>
      </c>
      <c r="I577" s="49">
        <v>0</v>
      </c>
      <c r="J577" s="51" t="str">
        <f>IF(H577=0,"No plan at start",I577/H577)</f>
        <v>No plan at start</v>
      </c>
      <c r="K577" s="52">
        <f>H577-I577</f>
        <v>0</v>
      </c>
      <c r="L577" s="49">
        <v>0</v>
      </c>
      <c r="M577" s="49">
        <f>I577+L577</f>
        <v>0</v>
      </c>
      <c r="N577" s="49">
        <f>M577-H577</f>
        <v>0</v>
      </c>
      <c r="O577" s="50" t="str">
        <f>IF(H577=0,"No plan at start",M577/H577)</f>
        <v>No plan at start</v>
      </c>
    </row>
    <row r="578" spans="2:15" hidden="1" outlineLevel="2" x14ac:dyDescent="0.2">
      <c r="B578" s="49" t="s">
        <v>65</v>
      </c>
      <c r="C578" s="49" t="s">
        <v>62</v>
      </c>
      <c r="D578" s="49">
        <v>0</v>
      </c>
      <c r="E578" s="49">
        <v>0</v>
      </c>
      <c r="F578" s="49">
        <f>E578-D578</f>
        <v>0</v>
      </c>
      <c r="G578" s="50">
        <f>IF(D578=0,0,ABS(F578/D578))</f>
        <v>0</v>
      </c>
      <c r="H578" s="49">
        <v>0</v>
      </c>
      <c r="I578" s="49">
        <v>0</v>
      </c>
      <c r="J578" s="51" t="str">
        <f>IF(H578=0,"No plan at start",I578/H578)</f>
        <v>No plan at start</v>
      </c>
      <c r="K578" s="52">
        <f>H578-I578</f>
        <v>0</v>
      </c>
      <c r="L578" s="49">
        <v>0</v>
      </c>
      <c r="M578" s="49">
        <f>I578+L578</f>
        <v>0</v>
      </c>
      <c r="N578" s="49">
        <f>M578-H578</f>
        <v>0</v>
      </c>
      <c r="O578" s="50" t="str">
        <f>IF(H578=0,"No plan at start",M578/H578)</f>
        <v>No plan at start</v>
      </c>
    </row>
    <row r="579" spans="2:15" outlineLevel="1" collapsed="1" x14ac:dyDescent="0.2">
      <c r="B579" s="56" t="s">
        <v>104</v>
      </c>
      <c r="C579" s="49"/>
      <c r="D579" s="49">
        <f>SUBTOTAL(9,D567:D578)</f>
        <v>0</v>
      </c>
      <c r="E579" s="49">
        <f>SUBTOTAL(9,E567:E578)</f>
        <v>0</v>
      </c>
      <c r="F579" s="49">
        <f>SUBTOTAL(9,F567:F578)</f>
        <v>0</v>
      </c>
      <c r="G579" s="50">
        <f>IF(D579=0,0,ABS(F579/D579))</f>
        <v>0</v>
      </c>
      <c r="H579" s="49">
        <f>SUBTOTAL(9,H567:H578)</f>
        <v>0</v>
      </c>
      <c r="I579" s="49">
        <f>SUBTOTAL(9,I567:I578)</f>
        <v>174.72</v>
      </c>
      <c r="J579" s="51" t="str">
        <f>IF(H579=0,"No plan at start",I579/H579)</f>
        <v>No plan at start</v>
      </c>
      <c r="K579" s="52">
        <f>SUBTOTAL(9,K567:K578)</f>
        <v>-174.72</v>
      </c>
      <c r="L579" s="49">
        <f>SUBTOTAL(9,L567:L578)</f>
        <v>0</v>
      </c>
      <c r="M579" s="49">
        <f>SUBTOTAL(9,M567:M578)</f>
        <v>174.72</v>
      </c>
      <c r="N579" s="49">
        <f>SUBTOTAL(9,N567:N578)</f>
        <v>174.72</v>
      </c>
      <c r="O579" s="50" t="str">
        <f>IF(H579=0,"No plan at start",M579/H579)</f>
        <v>No plan at start</v>
      </c>
    </row>
    <row r="580" spans="2:15" hidden="1" outlineLevel="2" x14ac:dyDescent="0.2">
      <c r="B580" s="49" t="s">
        <v>66</v>
      </c>
      <c r="C580" s="49" t="s">
        <v>52</v>
      </c>
      <c r="D580" s="49">
        <v>1248</v>
      </c>
      <c r="E580" s="49">
        <v>442</v>
      </c>
      <c r="F580" s="49">
        <f>E580-D580</f>
        <v>-806</v>
      </c>
      <c r="G580" s="50">
        <f>IF(D580=0,0,ABS(F580/D580))</f>
        <v>0.64583333333333337</v>
      </c>
      <c r="H580" s="49">
        <v>108056</v>
      </c>
      <c r="I580" s="49">
        <v>47365.5</v>
      </c>
      <c r="J580" s="51">
        <f>IF(H580=0,"No plan at start",I580/H580)</f>
        <v>0.43834215591915304</v>
      </c>
      <c r="K580" s="52">
        <f>H580-I580</f>
        <v>60690.5</v>
      </c>
      <c r="L580" s="49">
        <v>33471.1</v>
      </c>
      <c r="M580" s="49">
        <f>I580+L580</f>
        <v>80836.600000000006</v>
      </c>
      <c r="N580" s="49">
        <f>M580-H580</f>
        <v>-27219.399999999994</v>
      </c>
      <c r="O580" s="50">
        <f>IF(H580=0,"No plan at start",M580/H580)</f>
        <v>0.74809913378248316</v>
      </c>
    </row>
    <row r="581" spans="2:15" hidden="1" outlineLevel="2" x14ac:dyDescent="0.2">
      <c r="B581" s="49" t="s">
        <v>66</v>
      </c>
      <c r="C581" s="49" t="s">
        <v>53</v>
      </c>
      <c r="D581" s="49">
        <v>1456</v>
      </c>
      <c r="E581" s="49">
        <v>0</v>
      </c>
      <c r="F581" s="49">
        <f>E581-D581</f>
        <v>-1456</v>
      </c>
      <c r="G581" s="50">
        <f>IF(D581=0,0,ABS(F581/D581))</f>
        <v>1</v>
      </c>
      <c r="H581" s="49">
        <v>115980.79999999999</v>
      </c>
      <c r="I581" s="49">
        <v>5479.5</v>
      </c>
      <c r="J581" s="51">
        <f>IF(H581=0,"No plan at start",I581/H581)</f>
        <v>4.7244888809182213E-2</v>
      </c>
      <c r="K581" s="52">
        <f>H581-I581</f>
        <v>110501.29999999999</v>
      </c>
      <c r="L581" s="49">
        <v>0</v>
      </c>
      <c r="M581" s="49">
        <f>I581+L581</f>
        <v>5479.5</v>
      </c>
      <c r="N581" s="49">
        <f>M581-H581</f>
        <v>-110501.29999999999</v>
      </c>
      <c r="O581" s="50">
        <f>IF(H581=0,"No plan at start",M581/H581)</f>
        <v>4.7244888809182213E-2</v>
      </c>
    </row>
    <row r="582" spans="2:15" hidden="1" outlineLevel="2" x14ac:dyDescent="0.2">
      <c r="B582" s="49" t="s">
        <v>66</v>
      </c>
      <c r="C582" s="49" t="s">
        <v>54</v>
      </c>
      <c r="D582" s="49">
        <v>0</v>
      </c>
      <c r="E582" s="49">
        <v>0</v>
      </c>
      <c r="F582" s="49">
        <f>E582-D582</f>
        <v>0</v>
      </c>
      <c r="G582" s="50">
        <f>IF(D582=0,0,ABS(F582/D582))</f>
        <v>0</v>
      </c>
      <c r="H582" s="49">
        <v>0</v>
      </c>
      <c r="I582" s="49">
        <v>1833.5200000000002</v>
      </c>
      <c r="J582" s="51" t="str">
        <f>IF(H582=0,"No plan at start",I582/H582)</f>
        <v>No plan at start</v>
      </c>
      <c r="K582" s="52">
        <f>H582-I582</f>
        <v>-1833.5200000000002</v>
      </c>
      <c r="L582" s="49">
        <v>0</v>
      </c>
      <c r="M582" s="49">
        <f>I582+L582</f>
        <v>1833.5200000000002</v>
      </c>
      <c r="N582" s="49">
        <f>M582-H582</f>
        <v>1833.5200000000002</v>
      </c>
      <c r="O582" s="50" t="str">
        <f>IF(H582=0,"No plan at start",M582/H582)</f>
        <v>No plan at start</v>
      </c>
    </row>
    <row r="583" spans="2:15" hidden="1" outlineLevel="2" x14ac:dyDescent="0.2">
      <c r="B583" s="49" t="s">
        <v>66</v>
      </c>
      <c r="C583" s="49" t="s">
        <v>55</v>
      </c>
      <c r="D583" s="49">
        <v>1040</v>
      </c>
      <c r="E583" s="49">
        <v>52</v>
      </c>
      <c r="F583" s="49">
        <f>E583-D583</f>
        <v>-988</v>
      </c>
      <c r="G583" s="50">
        <f>IF(D583=0,0,ABS(F583/D583))</f>
        <v>0.95</v>
      </c>
      <c r="H583" s="49">
        <v>85176</v>
      </c>
      <c r="I583" s="49">
        <v>38727</v>
      </c>
      <c r="J583" s="51">
        <f>IF(H583=0,"No plan at start",I583/H583)</f>
        <v>0.45467032967032966</v>
      </c>
      <c r="K583" s="52">
        <f>H583-I583</f>
        <v>46449</v>
      </c>
      <c r="L583" s="49">
        <v>16824.86</v>
      </c>
      <c r="M583" s="49">
        <f>I583+L583</f>
        <v>55551.86</v>
      </c>
      <c r="N583" s="49">
        <f>M583-H583</f>
        <v>-29624.14</v>
      </c>
      <c r="O583" s="50">
        <f>IF(H583=0,"No plan at start",M583/H583)</f>
        <v>0.65220085470085476</v>
      </c>
    </row>
    <row r="584" spans="2:15" hidden="1" outlineLevel="2" x14ac:dyDescent="0.2">
      <c r="B584" s="49" t="s">
        <v>66</v>
      </c>
      <c r="C584" s="49" t="s">
        <v>56</v>
      </c>
      <c r="D584" s="49">
        <v>0</v>
      </c>
      <c r="E584" s="49">
        <v>2951.5199999999995</v>
      </c>
      <c r="F584" s="49">
        <f>E584-D584</f>
        <v>2951.5199999999995</v>
      </c>
      <c r="G584" s="50">
        <f>IF(D584=0,0,ABS(F584/D584))</f>
        <v>0</v>
      </c>
      <c r="H584" s="49">
        <v>0</v>
      </c>
      <c r="I584" s="49">
        <v>65749.58000000006</v>
      </c>
      <c r="J584" s="51" t="str">
        <f>IF(H584=0,"No plan at start",I584/H584)</f>
        <v>No plan at start</v>
      </c>
      <c r="K584" s="52">
        <f>H584-I584</f>
        <v>-65749.58000000006</v>
      </c>
      <c r="L584" s="49">
        <v>55778.808800000013</v>
      </c>
      <c r="M584" s="49">
        <f>I584+L584</f>
        <v>121528.38880000007</v>
      </c>
      <c r="N584" s="49">
        <f>M584-H584</f>
        <v>121528.38880000007</v>
      </c>
      <c r="O584" s="50" t="str">
        <f>IF(H584=0,"No plan at start",M584/H584)</f>
        <v>No plan at start</v>
      </c>
    </row>
    <row r="585" spans="2:15" hidden="1" outlineLevel="2" x14ac:dyDescent="0.2">
      <c r="B585" s="49" t="s">
        <v>66</v>
      </c>
      <c r="C585" s="49" t="s">
        <v>57</v>
      </c>
      <c r="D585" s="49">
        <v>0</v>
      </c>
      <c r="E585" s="49">
        <v>0</v>
      </c>
      <c r="F585" s="49">
        <f>E585-D585</f>
        <v>0</v>
      </c>
      <c r="G585" s="50">
        <f>IF(D585=0,0,ABS(F585/D585))</f>
        <v>0</v>
      </c>
      <c r="H585" s="49">
        <v>0</v>
      </c>
      <c r="I585" s="49">
        <v>1569.78</v>
      </c>
      <c r="J585" s="51" t="str">
        <f>IF(H585=0,"No plan at start",I585/H585)</f>
        <v>No plan at start</v>
      </c>
      <c r="K585" s="52">
        <f>H585-I585</f>
        <v>-1569.78</v>
      </c>
      <c r="L585" s="49">
        <v>0</v>
      </c>
      <c r="M585" s="49">
        <f>I585+L585</f>
        <v>1569.78</v>
      </c>
      <c r="N585" s="49">
        <f>M585-H585</f>
        <v>1569.78</v>
      </c>
      <c r="O585" s="50" t="str">
        <f>IF(H585=0,"No plan at start",M585/H585)</f>
        <v>No plan at start</v>
      </c>
    </row>
    <row r="586" spans="2:15" hidden="1" outlineLevel="2" x14ac:dyDescent="0.2">
      <c r="B586" s="49" t="s">
        <v>66</v>
      </c>
      <c r="C586" s="49" t="s">
        <v>48</v>
      </c>
      <c r="D586" s="49">
        <v>0</v>
      </c>
      <c r="E586" s="49">
        <v>0</v>
      </c>
      <c r="F586" s="49">
        <f>E586-D586</f>
        <v>0</v>
      </c>
      <c r="G586" s="50">
        <f>IF(D586=0,0,ABS(F586/D586))</f>
        <v>0</v>
      </c>
      <c r="H586" s="49">
        <v>0</v>
      </c>
      <c r="I586" s="49">
        <v>0</v>
      </c>
      <c r="J586" s="51" t="str">
        <f>IF(H586=0,"No plan at start",I586/H586)</f>
        <v>No plan at start</v>
      </c>
      <c r="K586" s="52">
        <f>H586-I586</f>
        <v>0</v>
      </c>
      <c r="L586" s="49">
        <v>0</v>
      </c>
      <c r="M586" s="49">
        <f>I586+L586</f>
        <v>0</v>
      </c>
      <c r="N586" s="49">
        <f>M586-H586</f>
        <v>0</v>
      </c>
      <c r="O586" s="50" t="str">
        <f>IF(H586=0,"No plan at start",M586/H586)</f>
        <v>No plan at start</v>
      </c>
    </row>
    <row r="587" spans="2:15" hidden="1" outlineLevel="2" x14ac:dyDescent="0.2">
      <c r="B587" s="49" t="s">
        <v>66</v>
      </c>
      <c r="C587" s="49" t="s">
        <v>58</v>
      </c>
      <c r="D587" s="49">
        <v>0</v>
      </c>
      <c r="E587" s="49">
        <v>0</v>
      </c>
      <c r="F587" s="49">
        <f>E587-D587</f>
        <v>0</v>
      </c>
      <c r="G587" s="50">
        <f>IF(D587=0,0,ABS(F587/D587))</f>
        <v>0</v>
      </c>
      <c r="H587" s="49">
        <v>0</v>
      </c>
      <c r="I587" s="49">
        <v>0</v>
      </c>
      <c r="J587" s="51" t="str">
        <f>IF(H587=0,"No plan at start",I587/H587)</f>
        <v>No plan at start</v>
      </c>
      <c r="K587" s="52">
        <f>H587-I587</f>
        <v>0</v>
      </c>
      <c r="L587" s="49">
        <v>0</v>
      </c>
      <c r="M587" s="49">
        <f>I587+L587</f>
        <v>0</v>
      </c>
      <c r="N587" s="49">
        <f>M587-H587</f>
        <v>0</v>
      </c>
      <c r="O587" s="50" t="str">
        <f>IF(H587=0,"No plan at start",M587/H587)</f>
        <v>No plan at start</v>
      </c>
    </row>
    <row r="588" spans="2:15" hidden="1" outlineLevel="2" x14ac:dyDescent="0.2">
      <c r="B588" s="49" t="s">
        <v>66</v>
      </c>
      <c r="C588" s="49" t="s">
        <v>59</v>
      </c>
      <c r="D588" s="49">
        <v>0</v>
      </c>
      <c r="E588" s="49">
        <v>0</v>
      </c>
      <c r="F588" s="49">
        <f>E588-D588</f>
        <v>0</v>
      </c>
      <c r="G588" s="50">
        <f>IF(D588=0,0,ABS(F588/D588))</f>
        <v>0</v>
      </c>
      <c r="H588" s="49">
        <v>0</v>
      </c>
      <c r="I588" s="49">
        <v>0</v>
      </c>
      <c r="J588" s="51" t="str">
        <f>IF(H588=0,"No plan at start",I588/H588)</f>
        <v>No plan at start</v>
      </c>
      <c r="K588" s="52">
        <f>H588-I588</f>
        <v>0</v>
      </c>
      <c r="L588" s="49">
        <v>0</v>
      </c>
      <c r="M588" s="49">
        <f>I588+L588</f>
        <v>0</v>
      </c>
      <c r="N588" s="49">
        <f>M588-H588</f>
        <v>0</v>
      </c>
      <c r="O588" s="50" t="str">
        <f>IF(H588=0,"No plan at start",M588/H588)</f>
        <v>No plan at start</v>
      </c>
    </row>
    <row r="589" spans="2:15" hidden="1" outlineLevel="2" x14ac:dyDescent="0.2">
      <c r="B589" s="49" t="s">
        <v>66</v>
      </c>
      <c r="C589" s="49" t="s">
        <v>60</v>
      </c>
      <c r="D589" s="49">
        <v>0</v>
      </c>
      <c r="E589" s="49">
        <v>0</v>
      </c>
      <c r="F589" s="49">
        <f>E589-D589</f>
        <v>0</v>
      </c>
      <c r="G589" s="50">
        <f>IF(D589=0,0,ABS(F589/D589))</f>
        <v>0</v>
      </c>
      <c r="H589" s="49">
        <v>0</v>
      </c>
      <c r="I589" s="49">
        <v>0</v>
      </c>
      <c r="J589" s="51" t="str">
        <f>IF(H589=0,"No plan at start",I589/H589)</f>
        <v>No plan at start</v>
      </c>
      <c r="K589" s="52">
        <f>H589-I589</f>
        <v>0</v>
      </c>
      <c r="L589" s="49">
        <v>0</v>
      </c>
      <c r="M589" s="49">
        <f>I589+L589</f>
        <v>0</v>
      </c>
      <c r="N589" s="49">
        <f>M589-H589</f>
        <v>0</v>
      </c>
      <c r="O589" s="50" t="str">
        <f>IF(H589=0,"No plan at start",M589/H589)</f>
        <v>No plan at start</v>
      </c>
    </row>
    <row r="590" spans="2:15" hidden="1" outlineLevel="2" x14ac:dyDescent="0.2">
      <c r="B590" s="49" t="s">
        <v>66</v>
      </c>
      <c r="C590" s="49" t="s">
        <v>61</v>
      </c>
      <c r="D590" s="49">
        <v>0</v>
      </c>
      <c r="E590" s="49">
        <v>0</v>
      </c>
      <c r="F590" s="49">
        <f>E590-D590</f>
        <v>0</v>
      </c>
      <c r="G590" s="50">
        <f>IF(D590=0,0,ABS(F590/D590))</f>
        <v>0</v>
      </c>
      <c r="H590" s="49">
        <v>0</v>
      </c>
      <c r="I590" s="49">
        <v>0</v>
      </c>
      <c r="J590" s="51" t="str">
        <f>IF(H590=0,"No plan at start",I590/H590)</f>
        <v>No plan at start</v>
      </c>
      <c r="K590" s="52">
        <f>H590-I590</f>
        <v>0</v>
      </c>
      <c r="L590" s="49">
        <v>0</v>
      </c>
      <c r="M590" s="49">
        <f>I590+L590</f>
        <v>0</v>
      </c>
      <c r="N590" s="49">
        <f>M590-H590</f>
        <v>0</v>
      </c>
      <c r="O590" s="50" t="str">
        <f>IF(H590=0,"No plan at start",M590/H590)</f>
        <v>No plan at start</v>
      </c>
    </row>
    <row r="591" spans="2:15" hidden="1" outlineLevel="2" x14ac:dyDescent="0.2">
      <c r="B591" s="49" t="s">
        <v>66</v>
      </c>
      <c r="C591" s="49" t="s">
        <v>62</v>
      </c>
      <c r="D591" s="49">
        <v>0</v>
      </c>
      <c r="E591" s="49">
        <v>0</v>
      </c>
      <c r="F591" s="49">
        <f>E591-D591</f>
        <v>0</v>
      </c>
      <c r="G591" s="50">
        <f>IF(D591=0,0,ABS(F591/D591))</f>
        <v>0</v>
      </c>
      <c r="H591" s="49">
        <v>0</v>
      </c>
      <c r="I591" s="49">
        <v>0</v>
      </c>
      <c r="J591" s="51" t="str">
        <f>IF(H591=0,"No plan at start",I591/H591)</f>
        <v>No plan at start</v>
      </c>
      <c r="K591" s="52">
        <f>H591-I591</f>
        <v>0</v>
      </c>
      <c r="L591" s="49">
        <v>0</v>
      </c>
      <c r="M591" s="49">
        <f>I591+L591</f>
        <v>0</v>
      </c>
      <c r="N591" s="49">
        <f>M591-H591</f>
        <v>0</v>
      </c>
      <c r="O591" s="50" t="str">
        <f>IF(H591=0,"No plan at start",M591/H591)</f>
        <v>No plan at start</v>
      </c>
    </row>
    <row r="592" spans="2:15" outlineLevel="1" collapsed="1" x14ac:dyDescent="0.2">
      <c r="B592" s="56" t="s">
        <v>105</v>
      </c>
      <c r="C592" s="49"/>
      <c r="D592" s="49">
        <f>SUBTOTAL(9,D580:D591)</f>
        <v>3744</v>
      </c>
      <c r="E592" s="49">
        <f>SUBTOTAL(9,E580:E591)</f>
        <v>3445.5199999999995</v>
      </c>
      <c r="F592" s="49">
        <f>SUBTOTAL(9,F580:F591)</f>
        <v>-298.48000000000047</v>
      </c>
      <c r="G592" s="50">
        <f>IF(D592=0,0,ABS(F592/D592))</f>
        <v>7.9722222222222347E-2</v>
      </c>
      <c r="H592" s="49">
        <f>SUBTOTAL(9,H580:H591)</f>
        <v>309212.79999999999</v>
      </c>
      <c r="I592" s="49">
        <f>SUBTOTAL(9,I580:I591)</f>
        <v>160724.88000000003</v>
      </c>
      <c r="J592" s="51">
        <f>IF(H592=0,"No plan at start",I592/H592)</f>
        <v>0.51978727918119827</v>
      </c>
      <c r="K592" s="52">
        <f>SUBTOTAL(9,K580:K591)</f>
        <v>148487.91999999995</v>
      </c>
      <c r="L592" s="49">
        <f>SUBTOTAL(9,L580:L591)</f>
        <v>106074.76880000002</v>
      </c>
      <c r="M592" s="49">
        <f>SUBTOTAL(9,M580:M591)</f>
        <v>266799.64880000008</v>
      </c>
      <c r="N592" s="49">
        <f>SUBTOTAL(9,N580:N591)</f>
        <v>-42413.151199999935</v>
      </c>
      <c r="O592" s="50">
        <f>IF(H592=0,"No plan at start",M592/H592)</f>
        <v>0.86283507280423088</v>
      </c>
    </row>
    <row r="593" spans="2:15" hidden="1" outlineLevel="2" x14ac:dyDescent="0.2">
      <c r="B593" s="49" t="s">
        <v>67</v>
      </c>
      <c r="C593" s="49" t="s">
        <v>52</v>
      </c>
      <c r="D593" s="49">
        <v>0</v>
      </c>
      <c r="E593" s="49">
        <v>0</v>
      </c>
      <c r="F593" s="49">
        <f>E593-D593</f>
        <v>0</v>
      </c>
      <c r="G593" s="50">
        <f>IF(D593=0,0,ABS(F593/D593))</f>
        <v>0</v>
      </c>
      <c r="H593" s="49">
        <v>0</v>
      </c>
      <c r="I593" s="49">
        <v>0</v>
      </c>
      <c r="J593" s="51" t="str">
        <f>IF(H593=0,"No plan at start",I593/H593)</f>
        <v>No plan at start</v>
      </c>
      <c r="K593" s="52">
        <f>H593-I593</f>
        <v>0</v>
      </c>
      <c r="L593" s="49">
        <v>0</v>
      </c>
      <c r="M593" s="49">
        <f>I593+L593</f>
        <v>0</v>
      </c>
      <c r="N593" s="49">
        <f>M593-H593</f>
        <v>0</v>
      </c>
      <c r="O593" s="50" t="str">
        <f>IF(H593=0,"No plan at start",M593/H593)</f>
        <v>No plan at start</v>
      </c>
    </row>
    <row r="594" spans="2:15" hidden="1" outlineLevel="2" x14ac:dyDescent="0.2">
      <c r="B594" s="49" t="s">
        <v>67</v>
      </c>
      <c r="C594" s="49" t="s">
        <v>53</v>
      </c>
      <c r="D594" s="49">
        <v>0</v>
      </c>
      <c r="E594" s="49">
        <v>0</v>
      </c>
      <c r="F594" s="49">
        <f>E594-D594</f>
        <v>0</v>
      </c>
      <c r="G594" s="50">
        <f>IF(D594=0,0,ABS(F594/D594))</f>
        <v>0</v>
      </c>
      <c r="H594" s="49">
        <v>0</v>
      </c>
      <c r="I594" s="49">
        <v>0</v>
      </c>
      <c r="J594" s="51" t="str">
        <f>IF(H594=0,"No plan at start",I594/H594)</f>
        <v>No plan at start</v>
      </c>
      <c r="K594" s="52">
        <f>H594-I594</f>
        <v>0</v>
      </c>
      <c r="L594" s="49">
        <v>0</v>
      </c>
      <c r="M594" s="49">
        <f>I594+L594</f>
        <v>0</v>
      </c>
      <c r="N594" s="49">
        <f>M594-H594</f>
        <v>0</v>
      </c>
      <c r="O594" s="50" t="str">
        <f>IF(H594=0,"No plan at start",M594/H594)</f>
        <v>No plan at start</v>
      </c>
    </row>
    <row r="595" spans="2:15" hidden="1" outlineLevel="2" x14ac:dyDescent="0.2">
      <c r="B595" s="49" t="s">
        <v>67</v>
      </c>
      <c r="C595" s="49" t="s">
        <v>54</v>
      </c>
      <c r="D595" s="49">
        <v>0</v>
      </c>
      <c r="E595" s="49">
        <v>0</v>
      </c>
      <c r="F595" s="49">
        <f>E595-D595</f>
        <v>0</v>
      </c>
      <c r="G595" s="50">
        <f>IF(D595=0,0,ABS(F595/D595))</f>
        <v>0</v>
      </c>
      <c r="H595" s="49">
        <v>0</v>
      </c>
      <c r="I595" s="49">
        <v>0</v>
      </c>
      <c r="J595" s="51" t="str">
        <f>IF(H595=0,"No plan at start",I595/H595)</f>
        <v>No plan at start</v>
      </c>
      <c r="K595" s="52">
        <f>H595-I595</f>
        <v>0</v>
      </c>
      <c r="L595" s="49">
        <v>0</v>
      </c>
      <c r="M595" s="49">
        <f>I595+L595</f>
        <v>0</v>
      </c>
      <c r="N595" s="49">
        <f>M595-H595</f>
        <v>0</v>
      </c>
      <c r="O595" s="50" t="str">
        <f>IF(H595=0,"No plan at start",M595/H595)</f>
        <v>No plan at start</v>
      </c>
    </row>
    <row r="596" spans="2:15" hidden="1" outlineLevel="2" x14ac:dyDescent="0.2">
      <c r="B596" s="49" t="s">
        <v>67</v>
      </c>
      <c r="C596" s="49" t="s">
        <v>55</v>
      </c>
      <c r="D596" s="49">
        <v>0</v>
      </c>
      <c r="E596" s="49">
        <v>0</v>
      </c>
      <c r="F596" s="49">
        <f>E596-D596</f>
        <v>0</v>
      </c>
      <c r="G596" s="50">
        <f>IF(D596=0,0,ABS(F596/D596))</f>
        <v>0</v>
      </c>
      <c r="H596" s="49">
        <v>0</v>
      </c>
      <c r="I596" s="49">
        <v>0</v>
      </c>
      <c r="J596" s="51" t="str">
        <f>IF(H596=0,"No plan at start",I596/H596)</f>
        <v>No plan at start</v>
      </c>
      <c r="K596" s="52">
        <f>H596-I596</f>
        <v>0</v>
      </c>
      <c r="L596" s="49">
        <v>0</v>
      </c>
      <c r="M596" s="49">
        <f>I596+L596</f>
        <v>0</v>
      </c>
      <c r="N596" s="49">
        <f>M596-H596</f>
        <v>0</v>
      </c>
      <c r="O596" s="50" t="str">
        <f>IF(H596=0,"No plan at start",M596/H596)</f>
        <v>No plan at start</v>
      </c>
    </row>
    <row r="597" spans="2:15" hidden="1" outlineLevel="2" x14ac:dyDescent="0.2">
      <c r="B597" s="49" t="s">
        <v>67</v>
      </c>
      <c r="C597" s="49" t="s">
        <v>56</v>
      </c>
      <c r="D597" s="49">
        <v>0</v>
      </c>
      <c r="E597" s="49">
        <v>0</v>
      </c>
      <c r="F597" s="49">
        <f>E597-D597</f>
        <v>0</v>
      </c>
      <c r="G597" s="50">
        <f>IF(D597=0,0,ABS(F597/D597))</f>
        <v>0</v>
      </c>
      <c r="H597" s="49">
        <v>0</v>
      </c>
      <c r="I597" s="49">
        <v>0</v>
      </c>
      <c r="J597" s="51" t="str">
        <f>IF(H597=0,"No plan at start",I597/H597)</f>
        <v>No plan at start</v>
      </c>
      <c r="K597" s="52">
        <f>H597-I597</f>
        <v>0</v>
      </c>
      <c r="L597" s="49">
        <v>0</v>
      </c>
      <c r="M597" s="49">
        <f>I597+L597</f>
        <v>0</v>
      </c>
      <c r="N597" s="49">
        <f>M597-H597</f>
        <v>0</v>
      </c>
      <c r="O597" s="50" t="str">
        <f>IF(H597=0,"No plan at start",M597/H597)</f>
        <v>No plan at start</v>
      </c>
    </row>
    <row r="598" spans="2:15" hidden="1" outlineLevel="2" x14ac:dyDescent="0.2">
      <c r="B598" s="49" t="s">
        <v>67</v>
      </c>
      <c r="C598" s="49" t="s">
        <v>57</v>
      </c>
      <c r="D598" s="49">
        <v>0</v>
      </c>
      <c r="E598" s="49">
        <v>0</v>
      </c>
      <c r="F598" s="49">
        <f>E598-D598</f>
        <v>0</v>
      </c>
      <c r="G598" s="50">
        <f>IF(D598=0,0,ABS(F598/D598))</f>
        <v>0</v>
      </c>
      <c r="H598" s="49">
        <v>0</v>
      </c>
      <c r="I598" s="49">
        <v>0</v>
      </c>
      <c r="J598" s="51" t="str">
        <f>IF(H598=0,"No plan at start",I598/H598)</f>
        <v>No plan at start</v>
      </c>
      <c r="K598" s="52">
        <f>H598-I598</f>
        <v>0</v>
      </c>
      <c r="L598" s="49">
        <v>0</v>
      </c>
      <c r="M598" s="49">
        <f>I598+L598</f>
        <v>0</v>
      </c>
      <c r="N598" s="49">
        <f>M598-H598</f>
        <v>0</v>
      </c>
      <c r="O598" s="50" t="str">
        <f>IF(H598=0,"No plan at start",M598/H598)</f>
        <v>No plan at start</v>
      </c>
    </row>
    <row r="599" spans="2:15" hidden="1" outlineLevel="2" x14ac:dyDescent="0.2">
      <c r="B599" s="49" t="s">
        <v>67</v>
      </c>
      <c r="C599" s="49" t="s">
        <v>48</v>
      </c>
      <c r="D599" s="49">
        <v>0</v>
      </c>
      <c r="E599" s="49">
        <v>0</v>
      </c>
      <c r="F599" s="49">
        <f>E599-D599</f>
        <v>0</v>
      </c>
      <c r="G599" s="50">
        <f>IF(D599=0,0,ABS(F599/D599))</f>
        <v>0</v>
      </c>
      <c r="H599" s="49">
        <v>0</v>
      </c>
      <c r="I599" s="49">
        <v>0</v>
      </c>
      <c r="J599" s="51" t="str">
        <f>IF(H599=0,"No plan at start",I599/H599)</f>
        <v>No plan at start</v>
      </c>
      <c r="K599" s="52">
        <f>H599-I599</f>
        <v>0</v>
      </c>
      <c r="L599" s="49">
        <v>0</v>
      </c>
      <c r="M599" s="49">
        <f>I599+L599</f>
        <v>0</v>
      </c>
      <c r="N599" s="49">
        <f>M599-H599</f>
        <v>0</v>
      </c>
      <c r="O599" s="50" t="str">
        <f>IF(H599=0,"No plan at start",M599/H599)</f>
        <v>No plan at start</v>
      </c>
    </row>
    <row r="600" spans="2:15" hidden="1" outlineLevel="2" x14ac:dyDescent="0.2">
      <c r="B600" s="49" t="s">
        <v>67</v>
      </c>
      <c r="C600" s="49" t="s">
        <v>58</v>
      </c>
      <c r="D600" s="49">
        <v>0</v>
      </c>
      <c r="E600" s="49">
        <v>0</v>
      </c>
      <c r="F600" s="49">
        <f>E600-D600</f>
        <v>0</v>
      </c>
      <c r="G600" s="50">
        <f>IF(D600=0,0,ABS(F600/D600))</f>
        <v>0</v>
      </c>
      <c r="H600" s="49">
        <v>0</v>
      </c>
      <c r="I600" s="49">
        <v>0</v>
      </c>
      <c r="J600" s="51" t="str">
        <f>IF(H600=0,"No plan at start",I600/H600)</f>
        <v>No plan at start</v>
      </c>
      <c r="K600" s="52">
        <f>H600-I600</f>
        <v>0</v>
      </c>
      <c r="L600" s="49">
        <v>0</v>
      </c>
      <c r="M600" s="49">
        <f>I600+L600</f>
        <v>0</v>
      </c>
      <c r="N600" s="49">
        <f>M600-H600</f>
        <v>0</v>
      </c>
      <c r="O600" s="50" t="str">
        <f>IF(H600=0,"No plan at start",M600/H600)</f>
        <v>No plan at start</v>
      </c>
    </row>
    <row r="601" spans="2:15" hidden="1" outlineLevel="2" x14ac:dyDescent="0.2">
      <c r="B601" s="49" t="s">
        <v>67</v>
      </c>
      <c r="C601" s="49" t="s">
        <v>59</v>
      </c>
      <c r="D601" s="49">
        <v>0</v>
      </c>
      <c r="E601" s="49">
        <v>0</v>
      </c>
      <c r="F601" s="49">
        <f>E601-D601</f>
        <v>0</v>
      </c>
      <c r="G601" s="50">
        <f>IF(D601=0,0,ABS(F601/D601))</f>
        <v>0</v>
      </c>
      <c r="H601" s="49">
        <v>0</v>
      </c>
      <c r="I601" s="49">
        <v>0</v>
      </c>
      <c r="J601" s="51" t="str">
        <f>IF(H601=0,"No plan at start",I601/H601)</f>
        <v>No plan at start</v>
      </c>
      <c r="K601" s="52">
        <f>H601-I601</f>
        <v>0</v>
      </c>
      <c r="L601" s="49">
        <v>0</v>
      </c>
      <c r="M601" s="49">
        <f>I601+L601</f>
        <v>0</v>
      </c>
      <c r="N601" s="49">
        <f>M601-H601</f>
        <v>0</v>
      </c>
      <c r="O601" s="50" t="str">
        <f>IF(H601=0,"No plan at start",M601/H601)</f>
        <v>No plan at start</v>
      </c>
    </row>
    <row r="602" spans="2:15" hidden="1" outlineLevel="2" x14ac:dyDescent="0.2">
      <c r="B602" s="49" t="s">
        <v>67</v>
      </c>
      <c r="C602" s="49" t="s">
        <v>60</v>
      </c>
      <c r="D602" s="49">
        <v>0</v>
      </c>
      <c r="E602" s="49">
        <v>0</v>
      </c>
      <c r="F602" s="49">
        <f>E602-D602</f>
        <v>0</v>
      </c>
      <c r="G602" s="50">
        <f>IF(D602=0,0,ABS(F602/D602))</f>
        <v>0</v>
      </c>
      <c r="H602" s="49">
        <v>0</v>
      </c>
      <c r="I602" s="49">
        <v>0</v>
      </c>
      <c r="J602" s="51" t="str">
        <f>IF(H602=0,"No plan at start",I602/H602)</f>
        <v>No plan at start</v>
      </c>
      <c r="K602" s="52">
        <f>H602-I602</f>
        <v>0</v>
      </c>
      <c r="L602" s="49">
        <v>0</v>
      </c>
      <c r="M602" s="49">
        <f>I602+L602</f>
        <v>0</v>
      </c>
      <c r="N602" s="49">
        <f>M602-H602</f>
        <v>0</v>
      </c>
      <c r="O602" s="50" t="str">
        <f>IF(H602=0,"No plan at start",M602/H602)</f>
        <v>No plan at start</v>
      </c>
    </row>
    <row r="603" spans="2:15" hidden="1" outlineLevel="2" x14ac:dyDescent="0.2">
      <c r="B603" s="49" t="s">
        <v>67</v>
      </c>
      <c r="C603" s="49" t="s">
        <v>61</v>
      </c>
      <c r="D603" s="49">
        <v>0</v>
      </c>
      <c r="E603" s="49">
        <v>0</v>
      </c>
      <c r="F603" s="49">
        <f>E603-D603</f>
        <v>0</v>
      </c>
      <c r="G603" s="50">
        <f>IF(D603=0,0,ABS(F603/D603))</f>
        <v>0</v>
      </c>
      <c r="H603" s="49">
        <v>0</v>
      </c>
      <c r="I603" s="49">
        <v>0</v>
      </c>
      <c r="J603" s="51" t="str">
        <f>IF(H603=0,"No plan at start",I603/H603)</f>
        <v>No plan at start</v>
      </c>
      <c r="K603" s="52">
        <f>H603-I603</f>
        <v>0</v>
      </c>
      <c r="L603" s="49">
        <v>0</v>
      </c>
      <c r="M603" s="49">
        <f>I603+L603</f>
        <v>0</v>
      </c>
      <c r="N603" s="49">
        <f>M603-H603</f>
        <v>0</v>
      </c>
      <c r="O603" s="50" t="str">
        <f>IF(H603=0,"No plan at start",M603/H603)</f>
        <v>No plan at start</v>
      </c>
    </row>
    <row r="604" spans="2:15" hidden="1" outlineLevel="2" x14ac:dyDescent="0.2">
      <c r="B604" s="49" t="s">
        <v>67</v>
      </c>
      <c r="C604" s="49" t="s">
        <v>62</v>
      </c>
      <c r="D604" s="49">
        <v>0</v>
      </c>
      <c r="E604" s="49">
        <v>0</v>
      </c>
      <c r="F604" s="49">
        <f>E604-D604</f>
        <v>0</v>
      </c>
      <c r="G604" s="50">
        <f>IF(D604=0,0,ABS(F604/D604))</f>
        <v>0</v>
      </c>
      <c r="H604" s="49">
        <v>0</v>
      </c>
      <c r="I604" s="49">
        <v>0</v>
      </c>
      <c r="J604" s="51" t="str">
        <f>IF(H604=0,"No plan at start",I604/H604)</f>
        <v>No plan at start</v>
      </c>
      <c r="K604" s="52">
        <f>H604-I604</f>
        <v>0</v>
      </c>
      <c r="L604" s="49">
        <v>0</v>
      </c>
      <c r="M604" s="49">
        <f>I604+L604</f>
        <v>0</v>
      </c>
      <c r="N604" s="49">
        <f>M604-H604</f>
        <v>0</v>
      </c>
      <c r="O604" s="50" t="str">
        <f>IF(H604=0,"No plan at start",M604/H604)</f>
        <v>No plan at start</v>
      </c>
    </row>
    <row r="605" spans="2:15" outlineLevel="1" collapsed="1" x14ac:dyDescent="0.2">
      <c r="B605" s="56" t="s">
        <v>106</v>
      </c>
      <c r="C605" s="49"/>
      <c r="D605" s="49">
        <f>SUBTOTAL(9,D593:D604)</f>
        <v>0</v>
      </c>
      <c r="E605" s="49">
        <f>SUBTOTAL(9,E593:E604)</f>
        <v>0</v>
      </c>
      <c r="F605" s="49">
        <f>SUBTOTAL(9,F593:F604)</f>
        <v>0</v>
      </c>
      <c r="G605" s="50">
        <f>IF(D605=0,0,ABS(F605/D605))</f>
        <v>0</v>
      </c>
      <c r="H605" s="49">
        <f>SUBTOTAL(9,H593:H604)</f>
        <v>0</v>
      </c>
      <c r="I605" s="49">
        <f>SUBTOTAL(9,I593:I604)</f>
        <v>0</v>
      </c>
      <c r="J605" s="51" t="str">
        <f>IF(H605=0,"No plan at start",I605/H605)</f>
        <v>No plan at start</v>
      </c>
      <c r="K605" s="52">
        <f>SUBTOTAL(9,K593:K604)</f>
        <v>0</v>
      </c>
      <c r="L605" s="49">
        <f>SUBTOTAL(9,L593:L604)</f>
        <v>0</v>
      </c>
      <c r="M605" s="49">
        <f>SUBTOTAL(9,M593:M604)</f>
        <v>0</v>
      </c>
      <c r="N605" s="49">
        <f>SUBTOTAL(9,N593:N604)</f>
        <v>0</v>
      </c>
      <c r="O605" s="50" t="str">
        <f>IF(H605=0,"No plan at start",M605/H605)</f>
        <v>No plan at start</v>
      </c>
    </row>
    <row r="606" spans="2:15" hidden="1" outlineLevel="2" x14ac:dyDescent="0.2">
      <c r="B606" s="49" t="s">
        <v>68</v>
      </c>
      <c r="C606" s="49" t="s">
        <v>52</v>
      </c>
      <c r="D606" s="49">
        <v>0</v>
      </c>
      <c r="E606" s="49">
        <v>0</v>
      </c>
      <c r="F606" s="49">
        <f>E606-D606</f>
        <v>0</v>
      </c>
      <c r="G606" s="50">
        <f>IF(D606=0,0,ABS(F606/D606))</f>
        <v>0</v>
      </c>
      <c r="H606" s="49">
        <v>0</v>
      </c>
      <c r="I606" s="49">
        <v>0</v>
      </c>
      <c r="J606" s="51" t="str">
        <f>IF(H606=0,"No plan at start",I606/H606)</f>
        <v>No plan at start</v>
      </c>
      <c r="K606" s="52">
        <f>H606-I606</f>
        <v>0</v>
      </c>
      <c r="L606" s="49">
        <v>0</v>
      </c>
      <c r="M606" s="49">
        <f>I606+L606</f>
        <v>0</v>
      </c>
      <c r="N606" s="49">
        <f>M606-H606</f>
        <v>0</v>
      </c>
      <c r="O606" s="50" t="str">
        <f>IF(H606=0,"No plan at start",M606/H606)</f>
        <v>No plan at start</v>
      </c>
    </row>
    <row r="607" spans="2:15" hidden="1" outlineLevel="2" x14ac:dyDescent="0.2">
      <c r="B607" s="49" t="s">
        <v>68</v>
      </c>
      <c r="C607" s="49" t="s">
        <v>53</v>
      </c>
      <c r="D607" s="49">
        <v>0</v>
      </c>
      <c r="E607" s="49">
        <v>0</v>
      </c>
      <c r="F607" s="49">
        <f>E607-D607</f>
        <v>0</v>
      </c>
      <c r="G607" s="50">
        <f>IF(D607=0,0,ABS(F607/D607))</f>
        <v>0</v>
      </c>
      <c r="H607" s="49">
        <v>0</v>
      </c>
      <c r="I607" s="49">
        <v>0</v>
      </c>
      <c r="J607" s="51" t="str">
        <f>IF(H607=0,"No plan at start",I607/H607)</f>
        <v>No plan at start</v>
      </c>
      <c r="K607" s="52">
        <f>H607-I607</f>
        <v>0</v>
      </c>
      <c r="L607" s="49">
        <v>0</v>
      </c>
      <c r="M607" s="49">
        <f>I607+L607</f>
        <v>0</v>
      </c>
      <c r="N607" s="49">
        <f>M607-H607</f>
        <v>0</v>
      </c>
      <c r="O607" s="50" t="str">
        <f>IF(H607=0,"No plan at start",M607/H607)</f>
        <v>No plan at start</v>
      </c>
    </row>
    <row r="608" spans="2:15" hidden="1" outlineLevel="2" x14ac:dyDescent="0.2">
      <c r="B608" s="49" t="s">
        <v>68</v>
      </c>
      <c r="C608" s="49" t="s">
        <v>54</v>
      </c>
      <c r="D608" s="49">
        <v>0</v>
      </c>
      <c r="E608" s="49">
        <v>0</v>
      </c>
      <c r="F608" s="49">
        <f>E608-D608</f>
        <v>0</v>
      </c>
      <c r="G608" s="50">
        <f>IF(D608=0,0,ABS(F608/D608))</f>
        <v>0</v>
      </c>
      <c r="H608" s="49">
        <v>0</v>
      </c>
      <c r="I608" s="49">
        <v>0</v>
      </c>
      <c r="J608" s="51" t="str">
        <f>IF(H608=0,"No plan at start",I608/H608)</f>
        <v>No plan at start</v>
      </c>
      <c r="K608" s="52">
        <f>H608-I608</f>
        <v>0</v>
      </c>
      <c r="L608" s="49">
        <v>0</v>
      </c>
      <c r="M608" s="49">
        <f>I608+L608</f>
        <v>0</v>
      </c>
      <c r="N608" s="49">
        <f>M608-H608</f>
        <v>0</v>
      </c>
      <c r="O608" s="50" t="str">
        <f>IF(H608=0,"No plan at start",M608/H608)</f>
        <v>No plan at start</v>
      </c>
    </row>
    <row r="609" spans="2:15" hidden="1" outlineLevel="2" x14ac:dyDescent="0.2">
      <c r="B609" s="49" t="s">
        <v>68</v>
      </c>
      <c r="C609" s="49" t="s">
        <v>55</v>
      </c>
      <c r="D609" s="49">
        <v>0</v>
      </c>
      <c r="E609" s="49">
        <v>0</v>
      </c>
      <c r="F609" s="49">
        <f>E609-D609</f>
        <v>0</v>
      </c>
      <c r="G609" s="50">
        <f>IF(D609=0,0,ABS(F609/D609))</f>
        <v>0</v>
      </c>
      <c r="H609" s="49">
        <v>0</v>
      </c>
      <c r="I609" s="49">
        <v>0</v>
      </c>
      <c r="J609" s="51" t="str">
        <f>IF(H609=0,"No plan at start",I609/H609)</f>
        <v>No plan at start</v>
      </c>
      <c r="K609" s="52">
        <f>H609-I609</f>
        <v>0</v>
      </c>
      <c r="L609" s="49">
        <v>0</v>
      </c>
      <c r="M609" s="49">
        <f>I609+L609</f>
        <v>0</v>
      </c>
      <c r="N609" s="49">
        <f>M609-H609</f>
        <v>0</v>
      </c>
      <c r="O609" s="50" t="str">
        <f>IF(H609=0,"No plan at start",M609/H609)</f>
        <v>No plan at start</v>
      </c>
    </row>
    <row r="610" spans="2:15" hidden="1" outlineLevel="2" x14ac:dyDescent="0.2">
      <c r="B610" s="49" t="s">
        <v>68</v>
      </c>
      <c r="C610" s="49" t="s">
        <v>56</v>
      </c>
      <c r="D610" s="49">
        <v>0</v>
      </c>
      <c r="E610" s="49">
        <v>0</v>
      </c>
      <c r="F610" s="49">
        <f>E610-D610</f>
        <v>0</v>
      </c>
      <c r="G610" s="50">
        <f>IF(D610=0,0,ABS(F610/D610))</f>
        <v>0</v>
      </c>
      <c r="H610" s="49">
        <v>0</v>
      </c>
      <c r="I610" s="49">
        <v>0</v>
      </c>
      <c r="J610" s="51" t="str">
        <f>IF(H610=0,"No plan at start",I610/H610)</f>
        <v>No plan at start</v>
      </c>
      <c r="K610" s="52">
        <f>H610-I610</f>
        <v>0</v>
      </c>
      <c r="L610" s="49">
        <v>0</v>
      </c>
      <c r="M610" s="49">
        <f>I610+L610</f>
        <v>0</v>
      </c>
      <c r="N610" s="49">
        <f>M610-H610</f>
        <v>0</v>
      </c>
      <c r="O610" s="50" t="str">
        <f>IF(H610=0,"No plan at start",M610/H610)</f>
        <v>No plan at start</v>
      </c>
    </row>
    <row r="611" spans="2:15" hidden="1" outlineLevel="2" x14ac:dyDescent="0.2">
      <c r="B611" s="49" t="s">
        <v>68</v>
      </c>
      <c r="C611" s="49" t="s">
        <v>57</v>
      </c>
      <c r="D611" s="49">
        <v>0</v>
      </c>
      <c r="E611" s="49">
        <v>0</v>
      </c>
      <c r="F611" s="49">
        <f>E611-D611</f>
        <v>0</v>
      </c>
      <c r="G611" s="50">
        <f>IF(D611=0,0,ABS(F611/D611))</f>
        <v>0</v>
      </c>
      <c r="H611" s="49">
        <v>0</v>
      </c>
      <c r="I611" s="49">
        <v>0</v>
      </c>
      <c r="J611" s="51" t="str">
        <f>IF(H611=0,"No plan at start",I611/H611)</f>
        <v>No plan at start</v>
      </c>
      <c r="K611" s="52">
        <f>H611-I611</f>
        <v>0</v>
      </c>
      <c r="L611" s="49">
        <v>0</v>
      </c>
      <c r="M611" s="49">
        <f>I611+L611</f>
        <v>0</v>
      </c>
      <c r="N611" s="49">
        <f>M611-H611</f>
        <v>0</v>
      </c>
      <c r="O611" s="50" t="str">
        <f>IF(H611=0,"No plan at start",M611/H611)</f>
        <v>No plan at start</v>
      </c>
    </row>
    <row r="612" spans="2:15" hidden="1" outlineLevel="2" x14ac:dyDescent="0.2">
      <c r="B612" s="49" t="s">
        <v>68</v>
      </c>
      <c r="C612" s="49" t="s">
        <v>48</v>
      </c>
      <c r="D612" s="49">
        <v>0</v>
      </c>
      <c r="E612" s="49">
        <v>0</v>
      </c>
      <c r="F612" s="49">
        <f>E612-D612</f>
        <v>0</v>
      </c>
      <c r="G612" s="50">
        <f>IF(D612=0,0,ABS(F612/D612))</f>
        <v>0</v>
      </c>
      <c r="H612" s="49">
        <v>0</v>
      </c>
      <c r="I612" s="49">
        <v>0</v>
      </c>
      <c r="J612" s="51" t="str">
        <f>IF(H612=0,"No plan at start",I612/H612)</f>
        <v>No plan at start</v>
      </c>
      <c r="K612" s="52">
        <f>H612-I612</f>
        <v>0</v>
      </c>
      <c r="L612" s="49">
        <v>0</v>
      </c>
      <c r="M612" s="49">
        <f>I612+L612</f>
        <v>0</v>
      </c>
      <c r="N612" s="49">
        <f>M612-H612</f>
        <v>0</v>
      </c>
      <c r="O612" s="50" t="str">
        <f>IF(H612=0,"No plan at start",M612/H612)</f>
        <v>No plan at start</v>
      </c>
    </row>
    <row r="613" spans="2:15" hidden="1" outlineLevel="2" x14ac:dyDescent="0.2">
      <c r="B613" s="49" t="s">
        <v>68</v>
      </c>
      <c r="C613" s="49" t="s">
        <v>58</v>
      </c>
      <c r="D613" s="49">
        <v>3840</v>
      </c>
      <c r="E613" s="49">
        <v>0</v>
      </c>
      <c r="F613" s="49">
        <f>E613-D613</f>
        <v>-3840</v>
      </c>
      <c r="G613" s="50">
        <f>IF(D613=0,0,ABS(F613/D613))</f>
        <v>1</v>
      </c>
      <c r="H613" s="49">
        <v>98035.199999999983</v>
      </c>
      <c r="I613" s="49">
        <v>905.06</v>
      </c>
      <c r="J613" s="51">
        <f>IF(H613=0,"No plan at start",I613/H613)</f>
        <v>9.2319901423162307E-3</v>
      </c>
      <c r="K613" s="52">
        <f>H613-I613</f>
        <v>97130.139999999985</v>
      </c>
      <c r="L613" s="49">
        <v>0</v>
      </c>
      <c r="M613" s="49">
        <f>I613+L613</f>
        <v>905.06</v>
      </c>
      <c r="N613" s="49">
        <f>M613-H613</f>
        <v>-97130.139999999985</v>
      </c>
      <c r="O613" s="50">
        <f>IF(H613=0,"No plan at start",M613/H613)</f>
        <v>9.2319901423162307E-3</v>
      </c>
    </row>
    <row r="614" spans="2:15" hidden="1" outlineLevel="2" x14ac:dyDescent="0.2">
      <c r="B614" s="49" t="s">
        <v>68</v>
      </c>
      <c r="C614" s="49" t="s">
        <v>59</v>
      </c>
      <c r="D614" s="49">
        <v>0</v>
      </c>
      <c r="E614" s="49">
        <v>0</v>
      </c>
      <c r="F614" s="49">
        <f>E614-D614</f>
        <v>0</v>
      </c>
      <c r="G614" s="50">
        <f>IF(D614=0,0,ABS(F614/D614))</f>
        <v>0</v>
      </c>
      <c r="H614" s="49">
        <v>0</v>
      </c>
      <c r="I614" s="49">
        <v>0</v>
      </c>
      <c r="J614" s="51" t="str">
        <f>IF(H614=0,"No plan at start",I614/H614)</f>
        <v>No plan at start</v>
      </c>
      <c r="K614" s="52">
        <f>H614-I614</f>
        <v>0</v>
      </c>
      <c r="L614" s="49">
        <v>0</v>
      </c>
      <c r="M614" s="49">
        <f>I614+L614</f>
        <v>0</v>
      </c>
      <c r="N614" s="49">
        <f>M614-H614</f>
        <v>0</v>
      </c>
      <c r="O614" s="50" t="str">
        <f>IF(H614=0,"No plan at start",M614/H614)</f>
        <v>No plan at start</v>
      </c>
    </row>
    <row r="615" spans="2:15" hidden="1" outlineLevel="2" x14ac:dyDescent="0.2">
      <c r="B615" s="49" t="s">
        <v>68</v>
      </c>
      <c r="C615" s="49" t="s">
        <v>60</v>
      </c>
      <c r="D615" s="49">
        <v>0</v>
      </c>
      <c r="E615" s="49">
        <v>0</v>
      </c>
      <c r="F615" s="49">
        <f>E615-D615</f>
        <v>0</v>
      </c>
      <c r="G615" s="50">
        <f>IF(D615=0,0,ABS(F615/D615))</f>
        <v>0</v>
      </c>
      <c r="H615" s="49">
        <v>0</v>
      </c>
      <c r="I615" s="49">
        <v>0</v>
      </c>
      <c r="J615" s="51" t="str">
        <f>IF(H615=0,"No plan at start",I615/H615)</f>
        <v>No plan at start</v>
      </c>
      <c r="K615" s="52">
        <f>H615-I615</f>
        <v>0</v>
      </c>
      <c r="L615" s="49">
        <v>0</v>
      </c>
      <c r="M615" s="49">
        <f>I615+L615</f>
        <v>0</v>
      </c>
      <c r="N615" s="49">
        <f>M615-H615</f>
        <v>0</v>
      </c>
      <c r="O615" s="50" t="str">
        <f>IF(H615=0,"No plan at start",M615/H615)</f>
        <v>No plan at start</v>
      </c>
    </row>
    <row r="616" spans="2:15" hidden="1" outlineLevel="2" x14ac:dyDescent="0.2">
      <c r="B616" s="49" t="s">
        <v>68</v>
      </c>
      <c r="C616" s="49" t="s">
        <v>61</v>
      </c>
      <c r="D616" s="49">
        <v>0</v>
      </c>
      <c r="E616" s="49">
        <v>0</v>
      </c>
      <c r="F616" s="49">
        <f>E616-D616</f>
        <v>0</v>
      </c>
      <c r="G616" s="50">
        <f>IF(D616=0,0,ABS(F616/D616))</f>
        <v>0</v>
      </c>
      <c r="H616" s="49">
        <v>0</v>
      </c>
      <c r="I616" s="49">
        <v>0</v>
      </c>
      <c r="J616" s="51" t="str">
        <f>IF(H616=0,"No plan at start",I616/H616)</f>
        <v>No plan at start</v>
      </c>
      <c r="K616" s="52">
        <f>H616-I616</f>
        <v>0</v>
      </c>
      <c r="L616" s="49">
        <v>0</v>
      </c>
      <c r="M616" s="49">
        <f>I616+L616</f>
        <v>0</v>
      </c>
      <c r="N616" s="49">
        <f>M616-H616</f>
        <v>0</v>
      </c>
      <c r="O616" s="50" t="str">
        <f>IF(H616=0,"No plan at start",M616/H616)</f>
        <v>No plan at start</v>
      </c>
    </row>
    <row r="617" spans="2:15" hidden="1" outlineLevel="2" x14ac:dyDescent="0.2">
      <c r="B617" s="49" t="s">
        <v>68</v>
      </c>
      <c r="C617" s="49" t="s">
        <v>62</v>
      </c>
      <c r="D617" s="49">
        <v>0</v>
      </c>
      <c r="E617" s="49">
        <v>0</v>
      </c>
      <c r="F617" s="49">
        <f>E617-D617</f>
        <v>0</v>
      </c>
      <c r="G617" s="50">
        <f>IF(D617=0,0,ABS(F617/D617))</f>
        <v>0</v>
      </c>
      <c r="H617" s="49">
        <v>0</v>
      </c>
      <c r="I617" s="49">
        <v>0</v>
      </c>
      <c r="J617" s="51" t="str">
        <f>IF(H617=0,"No plan at start",I617/H617)</f>
        <v>No plan at start</v>
      </c>
      <c r="K617" s="52">
        <f>H617-I617</f>
        <v>0</v>
      </c>
      <c r="L617" s="49">
        <v>0</v>
      </c>
      <c r="M617" s="49">
        <f>I617+L617</f>
        <v>0</v>
      </c>
      <c r="N617" s="49">
        <f>M617-H617</f>
        <v>0</v>
      </c>
      <c r="O617" s="50" t="str">
        <f>IF(H617=0,"No plan at start",M617/H617)</f>
        <v>No plan at start</v>
      </c>
    </row>
    <row r="618" spans="2:15" outlineLevel="1" collapsed="1" x14ac:dyDescent="0.2">
      <c r="B618" s="56" t="s">
        <v>107</v>
      </c>
      <c r="C618" s="49"/>
      <c r="D618" s="49">
        <f>SUBTOTAL(9,D606:D617)</f>
        <v>3840</v>
      </c>
      <c r="E618" s="49">
        <f>SUBTOTAL(9,E606:E617)</f>
        <v>0</v>
      </c>
      <c r="F618" s="49">
        <f>SUBTOTAL(9,F606:F617)</f>
        <v>-3840</v>
      </c>
      <c r="G618" s="50">
        <f>IF(D618=0,0,ABS(F618/D618))</f>
        <v>1</v>
      </c>
      <c r="H618" s="49">
        <f>SUBTOTAL(9,H606:H617)</f>
        <v>98035.199999999983</v>
      </c>
      <c r="I618" s="49">
        <f>SUBTOTAL(9,I606:I617)</f>
        <v>905.06</v>
      </c>
      <c r="J618" s="51">
        <f>IF(H618=0,"No plan at start",I618/H618)</f>
        <v>9.2319901423162307E-3</v>
      </c>
      <c r="K618" s="52">
        <f>SUBTOTAL(9,K606:K617)</f>
        <v>97130.139999999985</v>
      </c>
      <c r="L618" s="49">
        <f>SUBTOTAL(9,L606:L617)</f>
        <v>0</v>
      </c>
      <c r="M618" s="49">
        <f>SUBTOTAL(9,M606:M617)</f>
        <v>905.06</v>
      </c>
      <c r="N618" s="49">
        <f>SUBTOTAL(9,N606:N617)</f>
        <v>-97130.139999999985</v>
      </c>
      <c r="O618" s="50">
        <f>IF(H618=0,"No plan at start",M618/H618)</f>
        <v>9.2319901423162307E-3</v>
      </c>
    </row>
    <row r="619" spans="2:15" hidden="1" outlineLevel="2" x14ac:dyDescent="0.2">
      <c r="B619" s="49" t="s">
        <v>69</v>
      </c>
      <c r="C619" s="49" t="s">
        <v>52</v>
      </c>
      <c r="D619" s="49">
        <v>0</v>
      </c>
      <c r="E619" s="49">
        <v>0</v>
      </c>
      <c r="F619" s="49">
        <f>E619-D619</f>
        <v>0</v>
      </c>
      <c r="G619" s="50">
        <f>IF(D619=0,0,ABS(F619/D619))</f>
        <v>0</v>
      </c>
      <c r="H619" s="49">
        <v>0</v>
      </c>
      <c r="I619" s="49">
        <v>1820</v>
      </c>
      <c r="J619" s="51" t="str">
        <f>IF(H619=0,"No plan at start",I619/H619)</f>
        <v>No plan at start</v>
      </c>
      <c r="K619" s="52">
        <f>H619-I619</f>
        <v>-1820</v>
      </c>
      <c r="L619" s="49">
        <v>0</v>
      </c>
      <c r="M619" s="49">
        <f>I619+L619</f>
        <v>1820</v>
      </c>
      <c r="N619" s="49">
        <f>M619-H619</f>
        <v>1820</v>
      </c>
      <c r="O619" s="50" t="str">
        <f>IF(H619=0,"No plan at start",M619/H619)</f>
        <v>No plan at start</v>
      </c>
    </row>
    <row r="620" spans="2:15" hidden="1" outlineLevel="2" x14ac:dyDescent="0.2">
      <c r="B620" s="49" t="s">
        <v>69</v>
      </c>
      <c r="C620" s="49" t="s">
        <v>53</v>
      </c>
      <c r="D620" s="49">
        <v>0</v>
      </c>
      <c r="E620" s="49">
        <v>0</v>
      </c>
      <c r="F620" s="49">
        <f>E620-D620</f>
        <v>0</v>
      </c>
      <c r="G620" s="50">
        <f>IF(D620=0,0,ABS(F620/D620))</f>
        <v>0</v>
      </c>
      <c r="H620" s="49">
        <v>0</v>
      </c>
      <c r="I620" s="49">
        <v>1040</v>
      </c>
      <c r="J620" s="51" t="str">
        <f>IF(H620=0,"No plan at start",I620/H620)</f>
        <v>No plan at start</v>
      </c>
      <c r="K620" s="52">
        <f>H620-I620</f>
        <v>-1040</v>
      </c>
      <c r="L620" s="49">
        <v>0</v>
      </c>
      <c r="M620" s="49">
        <f>I620+L620</f>
        <v>1040</v>
      </c>
      <c r="N620" s="49">
        <f>M620-H620</f>
        <v>1040</v>
      </c>
      <c r="O620" s="50" t="str">
        <f>IF(H620=0,"No plan at start",M620/H620)</f>
        <v>No plan at start</v>
      </c>
    </row>
    <row r="621" spans="2:15" hidden="1" outlineLevel="2" x14ac:dyDescent="0.2">
      <c r="B621" s="49" t="s">
        <v>69</v>
      </c>
      <c r="C621" s="49" t="s">
        <v>54</v>
      </c>
      <c r="D621" s="49">
        <v>0</v>
      </c>
      <c r="E621" s="49">
        <v>0</v>
      </c>
      <c r="F621" s="49">
        <f>E621-D621</f>
        <v>0</v>
      </c>
      <c r="G621" s="50">
        <f>IF(D621=0,0,ABS(F621/D621))</f>
        <v>0</v>
      </c>
      <c r="H621" s="49">
        <v>0</v>
      </c>
      <c r="I621" s="49">
        <v>0</v>
      </c>
      <c r="J621" s="51" t="str">
        <f>IF(H621=0,"No plan at start",I621/H621)</f>
        <v>No plan at start</v>
      </c>
      <c r="K621" s="52">
        <f>H621-I621</f>
        <v>0</v>
      </c>
      <c r="L621" s="49">
        <v>0</v>
      </c>
      <c r="M621" s="49">
        <f>I621+L621</f>
        <v>0</v>
      </c>
      <c r="N621" s="49">
        <f>M621-H621</f>
        <v>0</v>
      </c>
      <c r="O621" s="50" t="str">
        <f>IF(H621=0,"No plan at start",M621/H621)</f>
        <v>No plan at start</v>
      </c>
    </row>
    <row r="622" spans="2:15" hidden="1" outlineLevel="2" x14ac:dyDescent="0.2">
      <c r="B622" s="49" t="s">
        <v>69</v>
      </c>
      <c r="C622" s="49" t="s">
        <v>55</v>
      </c>
      <c r="D622" s="49">
        <v>0</v>
      </c>
      <c r="E622" s="49">
        <v>0</v>
      </c>
      <c r="F622" s="49">
        <f>E622-D622</f>
        <v>0</v>
      </c>
      <c r="G622" s="50">
        <f>IF(D622=0,0,ABS(F622/D622))</f>
        <v>0</v>
      </c>
      <c r="H622" s="49">
        <v>0</v>
      </c>
      <c r="I622" s="49">
        <v>0</v>
      </c>
      <c r="J622" s="51" t="str">
        <f>IF(H622=0,"No plan at start",I622/H622)</f>
        <v>No plan at start</v>
      </c>
      <c r="K622" s="52">
        <f>H622-I622</f>
        <v>0</v>
      </c>
      <c r="L622" s="49">
        <v>0</v>
      </c>
      <c r="M622" s="49">
        <f>I622+L622</f>
        <v>0</v>
      </c>
      <c r="N622" s="49">
        <f>M622-H622</f>
        <v>0</v>
      </c>
      <c r="O622" s="50" t="str">
        <f>IF(H622=0,"No plan at start",M622/H622)</f>
        <v>No plan at start</v>
      </c>
    </row>
    <row r="623" spans="2:15" hidden="1" outlineLevel="2" x14ac:dyDescent="0.2">
      <c r="B623" s="49" t="s">
        <v>69</v>
      </c>
      <c r="C623" s="49" t="s">
        <v>56</v>
      </c>
      <c r="D623" s="49">
        <v>0</v>
      </c>
      <c r="E623" s="49">
        <v>0</v>
      </c>
      <c r="F623" s="49">
        <f>E623-D623</f>
        <v>0</v>
      </c>
      <c r="G623" s="50">
        <f>IF(D623=0,0,ABS(F623/D623))</f>
        <v>0</v>
      </c>
      <c r="H623" s="49">
        <v>0</v>
      </c>
      <c r="I623" s="49">
        <v>0</v>
      </c>
      <c r="J623" s="51" t="str">
        <f>IF(H623=0,"No plan at start",I623/H623)</f>
        <v>No plan at start</v>
      </c>
      <c r="K623" s="52">
        <f>H623-I623</f>
        <v>0</v>
      </c>
      <c r="L623" s="49">
        <v>0</v>
      </c>
      <c r="M623" s="49">
        <f>I623+L623</f>
        <v>0</v>
      </c>
      <c r="N623" s="49">
        <f>M623-H623</f>
        <v>0</v>
      </c>
      <c r="O623" s="50" t="str">
        <f>IF(H623=0,"No plan at start",M623/H623)</f>
        <v>No plan at start</v>
      </c>
    </row>
    <row r="624" spans="2:15" hidden="1" outlineLevel="2" x14ac:dyDescent="0.2">
      <c r="B624" s="49" t="s">
        <v>69</v>
      </c>
      <c r="C624" s="49" t="s">
        <v>57</v>
      </c>
      <c r="D624" s="49">
        <v>0</v>
      </c>
      <c r="E624" s="49">
        <v>0</v>
      </c>
      <c r="F624" s="49">
        <f>E624-D624</f>
        <v>0</v>
      </c>
      <c r="G624" s="50">
        <f>IF(D624=0,0,ABS(F624/D624))</f>
        <v>0</v>
      </c>
      <c r="H624" s="49">
        <v>0</v>
      </c>
      <c r="I624" s="49">
        <v>0</v>
      </c>
      <c r="J624" s="51" t="str">
        <f>IF(H624=0,"No plan at start",I624/H624)</f>
        <v>No plan at start</v>
      </c>
      <c r="K624" s="52">
        <f>H624-I624</f>
        <v>0</v>
      </c>
      <c r="L624" s="49">
        <v>0</v>
      </c>
      <c r="M624" s="49">
        <f>I624+L624</f>
        <v>0</v>
      </c>
      <c r="N624" s="49">
        <f>M624-H624</f>
        <v>0</v>
      </c>
      <c r="O624" s="50" t="str">
        <f>IF(H624=0,"No plan at start",M624/H624)</f>
        <v>No plan at start</v>
      </c>
    </row>
    <row r="625" spans="2:15" hidden="1" outlineLevel="2" x14ac:dyDescent="0.2">
      <c r="B625" s="49" t="s">
        <v>69</v>
      </c>
      <c r="C625" s="49" t="s">
        <v>48</v>
      </c>
      <c r="D625" s="49">
        <v>0</v>
      </c>
      <c r="E625" s="49">
        <v>0</v>
      </c>
      <c r="F625" s="49">
        <f>E625-D625</f>
        <v>0</v>
      </c>
      <c r="G625" s="50">
        <f>IF(D625=0,0,ABS(F625/D625))</f>
        <v>0</v>
      </c>
      <c r="H625" s="49">
        <v>0</v>
      </c>
      <c r="I625" s="49">
        <v>0</v>
      </c>
      <c r="J625" s="51" t="str">
        <f>IF(H625=0,"No plan at start",I625/H625)</f>
        <v>No plan at start</v>
      </c>
      <c r="K625" s="52">
        <f>H625-I625</f>
        <v>0</v>
      </c>
      <c r="L625" s="49">
        <v>0</v>
      </c>
      <c r="M625" s="49">
        <f>I625+L625</f>
        <v>0</v>
      </c>
      <c r="N625" s="49">
        <f>M625-H625</f>
        <v>0</v>
      </c>
      <c r="O625" s="50" t="str">
        <f>IF(H625=0,"No plan at start",M625/H625)</f>
        <v>No plan at start</v>
      </c>
    </row>
    <row r="626" spans="2:15" hidden="1" outlineLevel="2" x14ac:dyDescent="0.2">
      <c r="B626" s="49" t="s">
        <v>69</v>
      </c>
      <c r="C626" s="49" t="s">
        <v>58</v>
      </c>
      <c r="D626" s="49">
        <v>0</v>
      </c>
      <c r="E626" s="49">
        <v>0</v>
      </c>
      <c r="F626" s="49">
        <f>E626-D626</f>
        <v>0</v>
      </c>
      <c r="G626" s="50">
        <f>IF(D626=0,0,ABS(F626/D626))</f>
        <v>0</v>
      </c>
      <c r="H626" s="49">
        <v>0</v>
      </c>
      <c r="I626" s="49">
        <v>0</v>
      </c>
      <c r="J626" s="51" t="str">
        <f>IF(H626=0,"No plan at start",I626/H626)</f>
        <v>No plan at start</v>
      </c>
      <c r="K626" s="52">
        <f>H626-I626</f>
        <v>0</v>
      </c>
      <c r="L626" s="49">
        <v>0</v>
      </c>
      <c r="M626" s="49">
        <f>I626+L626</f>
        <v>0</v>
      </c>
      <c r="N626" s="49">
        <f>M626-H626</f>
        <v>0</v>
      </c>
      <c r="O626" s="50" t="str">
        <f>IF(H626=0,"No plan at start",M626/H626)</f>
        <v>No plan at start</v>
      </c>
    </row>
    <row r="627" spans="2:15" hidden="1" outlineLevel="2" x14ac:dyDescent="0.2">
      <c r="B627" s="49" t="s">
        <v>69</v>
      </c>
      <c r="C627" s="49" t="s">
        <v>59</v>
      </c>
      <c r="D627" s="49">
        <v>0</v>
      </c>
      <c r="E627" s="49">
        <v>0</v>
      </c>
      <c r="F627" s="49">
        <f>E627-D627</f>
        <v>0</v>
      </c>
      <c r="G627" s="50">
        <f>IF(D627=0,0,ABS(F627/D627))</f>
        <v>0</v>
      </c>
      <c r="H627" s="49">
        <v>0</v>
      </c>
      <c r="I627" s="49">
        <v>0</v>
      </c>
      <c r="J627" s="51" t="str">
        <f>IF(H627=0,"No plan at start",I627/H627)</f>
        <v>No plan at start</v>
      </c>
      <c r="K627" s="52">
        <f>H627-I627</f>
        <v>0</v>
      </c>
      <c r="L627" s="49">
        <v>0</v>
      </c>
      <c r="M627" s="49">
        <f>I627+L627</f>
        <v>0</v>
      </c>
      <c r="N627" s="49">
        <f>M627-H627</f>
        <v>0</v>
      </c>
      <c r="O627" s="50" t="str">
        <f>IF(H627=0,"No plan at start",M627/H627)</f>
        <v>No plan at start</v>
      </c>
    </row>
    <row r="628" spans="2:15" hidden="1" outlineLevel="2" x14ac:dyDescent="0.2">
      <c r="B628" s="49" t="s">
        <v>69</v>
      </c>
      <c r="C628" s="49" t="s">
        <v>60</v>
      </c>
      <c r="D628" s="49">
        <v>0</v>
      </c>
      <c r="E628" s="49">
        <v>0</v>
      </c>
      <c r="F628" s="49">
        <f>E628-D628</f>
        <v>0</v>
      </c>
      <c r="G628" s="50">
        <f>IF(D628=0,0,ABS(F628/D628))</f>
        <v>0</v>
      </c>
      <c r="H628" s="49">
        <v>0</v>
      </c>
      <c r="I628" s="49">
        <v>0</v>
      </c>
      <c r="J628" s="51" t="str">
        <f>IF(H628=0,"No plan at start",I628/H628)</f>
        <v>No plan at start</v>
      </c>
      <c r="K628" s="52">
        <f>H628-I628</f>
        <v>0</v>
      </c>
      <c r="L628" s="49">
        <v>0</v>
      </c>
      <c r="M628" s="49">
        <f>I628+L628</f>
        <v>0</v>
      </c>
      <c r="N628" s="49">
        <f>M628-H628</f>
        <v>0</v>
      </c>
      <c r="O628" s="50" t="str">
        <f>IF(H628=0,"No plan at start",M628/H628)</f>
        <v>No plan at start</v>
      </c>
    </row>
    <row r="629" spans="2:15" hidden="1" outlineLevel="2" x14ac:dyDescent="0.2">
      <c r="B629" s="49" t="s">
        <v>69</v>
      </c>
      <c r="C629" s="49" t="s">
        <v>61</v>
      </c>
      <c r="D629" s="49">
        <v>0</v>
      </c>
      <c r="E629" s="49">
        <v>0</v>
      </c>
      <c r="F629" s="49">
        <f>E629-D629</f>
        <v>0</v>
      </c>
      <c r="G629" s="50">
        <f>IF(D629=0,0,ABS(F629/D629))</f>
        <v>0</v>
      </c>
      <c r="H629" s="49">
        <v>0</v>
      </c>
      <c r="I629" s="49">
        <v>0</v>
      </c>
      <c r="J629" s="51" t="str">
        <f>IF(H629=0,"No plan at start",I629/H629)</f>
        <v>No plan at start</v>
      </c>
      <c r="K629" s="52">
        <f>H629-I629</f>
        <v>0</v>
      </c>
      <c r="L629" s="49">
        <v>0</v>
      </c>
      <c r="M629" s="49">
        <f>I629+L629</f>
        <v>0</v>
      </c>
      <c r="N629" s="49">
        <f>M629-H629</f>
        <v>0</v>
      </c>
      <c r="O629" s="50" t="str">
        <f>IF(H629=0,"No plan at start",M629/H629)</f>
        <v>No plan at start</v>
      </c>
    </row>
    <row r="630" spans="2:15" hidden="1" outlineLevel="2" x14ac:dyDescent="0.2">
      <c r="B630" s="49" t="s">
        <v>69</v>
      </c>
      <c r="C630" s="49" t="s">
        <v>62</v>
      </c>
      <c r="D630" s="49">
        <v>0</v>
      </c>
      <c r="E630" s="49">
        <v>0</v>
      </c>
      <c r="F630" s="49">
        <f>E630-D630</f>
        <v>0</v>
      </c>
      <c r="G630" s="50">
        <f>IF(D630=0,0,ABS(F630/D630))</f>
        <v>0</v>
      </c>
      <c r="H630" s="49">
        <v>0</v>
      </c>
      <c r="I630" s="49">
        <v>0</v>
      </c>
      <c r="J630" s="51" t="str">
        <f>IF(H630=0,"No plan at start",I630/H630)</f>
        <v>No plan at start</v>
      </c>
      <c r="K630" s="52">
        <f>H630-I630</f>
        <v>0</v>
      </c>
      <c r="L630" s="49">
        <v>0</v>
      </c>
      <c r="M630" s="49">
        <f>I630+L630</f>
        <v>0</v>
      </c>
      <c r="N630" s="49">
        <f>M630-H630</f>
        <v>0</v>
      </c>
      <c r="O630" s="50" t="str">
        <f>IF(H630=0,"No plan at start",M630/H630)</f>
        <v>No plan at start</v>
      </c>
    </row>
    <row r="631" spans="2:15" outlineLevel="1" collapsed="1" x14ac:dyDescent="0.2">
      <c r="B631" s="56" t="s">
        <v>108</v>
      </c>
      <c r="C631" s="49"/>
      <c r="D631" s="49">
        <f>SUBTOTAL(9,D619:D630)</f>
        <v>0</v>
      </c>
      <c r="E631" s="49">
        <f>SUBTOTAL(9,E619:E630)</f>
        <v>0</v>
      </c>
      <c r="F631" s="49">
        <f>SUBTOTAL(9,F619:F630)</f>
        <v>0</v>
      </c>
      <c r="G631" s="50">
        <f>IF(D631=0,0,ABS(F631/D631))</f>
        <v>0</v>
      </c>
      <c r="H631" s="49">
        <f>SUBTOTAL(9,H619:H630)</f>
        <v>0</v>
      </c>
      <c r="I631" s="49">
        <f>SUBTOTAL(9,I619:I630)</f>
        <v>2860</v>
      </c>
      <c r="J631" s="51" t="str">
        <f>IF(H631=0,"No plan at start",I631/H631)</f>
        <v>No plan at start</v>
      </c>
      <c r="K631" s="52">
        <f>SUBTOTAL(9,K619:K630)</f>
        <v>-2860</v>
      </c>
      <c r="L631" s="49">
        <f>SUBTOTAL(9,L619:L630)</f>
        <v>0</v>
      </c>
      <c r="M631" s="49">
        <f>SUBTOTAL(9,M619:M630)</f>
        <v>2860</v>
      </c>
      <c r="N631" s="49">
        <f>SUBTOTAL(9,N619:N630)</f>
        <v>2860</v>
      </c>
      <c r="O631" s="50" t="str">
        <f>IF(H631=0,"No plan at start",M631/H631)</f>
        <v>No plan at start</v>
      </c>
    </row>
    <row r="632" spans="2:15" hidden="1" outlineLevel="2" x14ac:dyDescent="0.2">
      <c r="B632" s="49" t="s">
        <v>70</v>
      </c>
      <c r="C632" s="49" t="s">
        <v>52</v>
      </c>
      <c r="D632" s="49">
        <v>0</v>
      </c>
      <c r="E632" s="49">
        <v>0</v>
      </c>
      <c r="F632" s="49">
        <f>E632-D632</f>
        <v>0</v>
      </c>
      <c r="G632" s="50">
        <f>IF(D632=0,0,ABS(F632/D632))</f>
        <v>0</v>
      </c>
      <c r="H632" s="49">
        <v>9464</v>
      </c>
      <c r="I632" s="49">
        <v>0</v>
      </c>
      <c r="J632" s="51">
        <f>IF(H632=0,"No plan at start",I632/H632)</f>
        <v>0</v>
      </c>
      <c r="K632" s="52">
        <f>H632-I632</f>
        <v>9464</v>
      </c>
      <c r="L632" s="49">
        <v>0</v>
      </c>
      <c r="M632" s="49">
        <f>I632+L632</f>
        <v>0</v>
      </c>
      <c r="N632" s="49">
        <f>M632-H632</f>
        <v>-9464</v>
      </c>
      <c r="O632" s="50">
        <f>IF(H632=0,"No plan at start",M632/H632)</f>
        <v>0</v>
      </c>
    </row>
    <row r="633" spans="2:15" hidden="1" outlineLevel="2" x14ac:dyDescent="0.2">
      <c r="B633" s="49" t="s">
        <v>70</v>
      </c>
      <c r="C633" s="49" t="s">
        <v>53</v>
      </c>
      <c r="D633" s="49">
        <v>0</v>
      </c>
      <c r="E633" s="49">
        <v>949</v>
      </c>
      <c r="F633" s="49">
        <f>E633-D633</f>
        <v>949</v>
      </c>
      <c r="G633" s="50">
        <f>IF(D633=0,0,ABS(F633/D633))</f>
        <v>0</v>
      </c>
      <c r="H633" s="49">
        <v>0</v>
      </c>
      <c r="I633" s="49">
        <v>77239.5</v>
      </c>
      <c r="J633" s="51" t="str">
        <f>IF(H633=0,"No plan at start",I633/H633)</f>
        <v>No plan at start</v>
      </c>
      <c r="K633" s="52">
        <f>H633-I633</f>
        <v>-77239.5</v>
      </c>
      <c r="L633" s="49">
        <v>8923.2000000000007</v>
      </c>
      <c r="M633" s="49">
        <f>I633+L633</f>
        <v>86162.7</v>
      </c>
      <c r="N633" s="49">
        <f>M633-H633</f>
        <v>86162.7</v>
      </c>
      <c r="O633" s="50" t="str">
        <f>IF(H633=0,"No plan at start",M633/H633)</f>
        <v>No plan at start</v>
      </c>
    </row>
    <row r="634" spans="2:15" hidden="1" outlineLevel="2" x14ac:dyDescent="0.2">
      <c r="B634" s="49" t="s">
        <v>70</v>
      </c>
      <c r="C634" s="49" t="s">
        <v>54</v>
      </c>
      <c r="D634" s="49">
        <v>0</v>
      </c>
      <c r="E634" s="49">
        <v>3667.04</v>
      </c>
      <c r="F634" s="49">
        <f>E634-D634</f>
        <v>3667.04</v>
      </c>
      <c r="G634" s="50">
        <f>IF(D634=0,0,ABS(F634/D634))</f>
        <v>0</v>
      </c>
      <c r="H634" s="49">
        <v>45972.160000000003</v>
      </c>
      <c r="I634" s="49">
        <v>179841.48</v>
      </c>
      <c r="J634" s="51">
        <f>IF(H634=0,"No plan at start",I634/H634)</f>
        <v>3.911964980544747</v>
      </c>
      <c r="K634" s="52">
        <f>H634-I634</f>
        <v>-133869.32</v>
      </c>
      <c r="L634" s="49">
        <v>55846.335999999996</v>
      </c>
      <c r="M634" s="49">
        <f>I634+L634</f>
        <v>235687.81599999999</v>
      </c>
      <c r="N634" s="49">
        <f>M634-H634</f>
        <v>189715.65599999999</v>
      </c>
      <c r="O634" s="50">
        <f>IF(H634=0,"No plan at start",M634/H634)</f>
        <v>5.126750972762645</v>
      </c>
    </row>
    <row r="635" spans="2:15" hidden="1" outlineLevel="2" x14ac:dyDescent="0.2">
      <c r="B635" s="49" t="s">
        <v>70</v>
      </c>
      <c r="C635" s="49" t="s">
        <v>55</v>
      </c>
      <c r="D635" s="49">
        <v>0</v>
      </c>
      <c r="E635" s="49">
        <v>0</v>
      </c>
      <c r="F635" s="49">
        <f>E635-D635</f>
        <v>0</v>
      </c>
      <c r="G635" s="50">
        <f>IF(D635=0,0,ABS(F635/D635))</f>
        <v>0</v>
      </c>
      <c r="H635" s="49">
        <v>0</v>
      </c>
      <c r="I635" s="49">
        <v>0</v>
      </c>
      <c r="J635" s="51" t="str">
        <f>IF(H635=0,"No plan at start",I635/H635)</f>
        <v>No plan at start</v>
      </c>
      <c r="K635" s="52">
        <f>H635-I635</f>
        <v>0</v>
      </c>
      <c r="L635" s="49">
        <v>0</v>
      </c>
      <c r="M635" s="49">
        <f>I635+L635</f>
        <v>0</v>
      </c>
      <c r="N635" s="49">
        <f>M635-H635</f>
        <v>0</v>
      </c>
      <c r="O635" s="50" t="str">
        <f>IF(H635=0,"No plan at start",M635/H635)</f>
        <v>No plan at start</v>
      </c>
    </row>
    <row r="636" spans="2:15" hidden="1" outlineLevel="2" x14ac:dyDescent="0.2">
      <c r="B636" s="49" t="s">
        <v>70</v>
      </c>
      <c r="C636" s="49" t="s">
        <v>56</v>
      </c>
      <c r="D636" s="49">
        <v>0</v>
      </c>
      <c r="E636" s="49">
        <v>0</v>
      </c>
      <c r="F636" s="49">
        <f>E636-D636</f>
        <v>0</v>
      </c>
      <c r="G636" s="50">
        <f>IF(D636=0,0,ABS(F636/D636))</f>
        <v>0</v>
      </c>
      <c r="H636" s="49">
        <v>0</v>
      </c>
      <c r="I636" s="49">
        <v>0</v>
      </c>
      <c r="J636" s="51" t="str">
        <f>IF(H636=0,"No plan at start",I636/H636)</f>
        <v>No plan at start</v>
      </c>
      <c r="K636" s="52">
        <f>H636-I636</f>
        <v>0</v>
      </c>
      <c r="L636" s="49">
        <v>0</v>
      </c>
      <c r="M636" s="49">
        <f>I636+L636</f>
        <v>0</v>
      </c>
      <c r="N636" s="49">
        <f>M636-H636</f>
        <v>0</v>
      </c>
      <c r="O636" s="50" t="str">
        <f>IF(H636=0,"No plan at start",M636/H636)</f>
        <v>No plan at start</v>
      </c>
    </row>
    <row r="637" spans="2:15" hidden="1" outlineLevel="2" x14ac:dyDescent="0.2">
      <c r="B637" s="49" t="s">
        <v>70</v>
      </c>
      <c r="C637" s="49" t="s">
        <v>57</v>
      </c>
      <c r="D637" s="49">
        <v>0</v>
      </c>
      <c r="E637" s="49">
        <v>0</v>
      </c>
      <c r="F637" s="49">
        <f>E637-D637</f>
        <v>0</v>
      </c>
      <c r="G637" s="50">
        <f>IF(D637=0,0,ABS(F637/D637))</f>
        <v>0</v>
      </c>
      <c r="H637" s="49">
        <v>0</v>
      </c>
      <c r="I637" s="49">
        <v>0</v>
      </c>
      <c r="J637" s="51" t="str">
        <f>IF(H637=0,"No plan at start",I637/H637)</f>
        <v>No plan at start</v>
      </c>
      <c r="K637" s="52">
        <f>H637-I637</f>
        <v>0</v>
      </c>
      <c r="L637" s="49">
        <v>0</v>
      </c>
      <c r="M637" s="49">
        <f>I637+L637</f>
        <v>0</v>
      </c>
      <c r="N637" s="49">
        <f>M637-H637</f>
        <v>0</v>
      </c>
      <c r="O637" s="50" t="str">
        <f>IF(H637=0,"No plan at start",M637/H637)</f>
        <v>No plan at start</v>
      </c>
    </row>
    <row r="638" spans="2:15" hidden="1" outlineLevel="2" x14ac:dyDescent="0.2">
      <c r="B638" s="49" t="s">
        <v>70</v>
      </c>
      <c r="C638" s="49" t="s">
        <v>48</v>
      </c>
      <c r="D638" s="49">
        <v>0</v>
      </c>
      <c r="E638" s="49">
        <v>0</v>
      </c>
      <c r="F638" s="49">
        <f>E638-D638</f>
        <v>0</v>
      </c>
      <c r="G638" s="50">
        <f>IF(D638=0,0,ABS(F638/D638))</f>
        <v>0</v>
      </c>
      <c r="H638" s="49">
        <v>0</v>
      </c>
      <c r="I638" s="49">
        <v>0</v>
      </c>
      <c r="J638" s="51" t="str">
        <f>IF(H638=0,"No plan at start",I638/H638)</f>
        <v>No plan at start</v>
      </c>
      <c r="K638" s="52">
        <f>H638-I638</f>
        <v>0</v>
      </c>
      <c r="L638" s="49">
        <v>0</v>
      </c>
      <c r="M638" s="49">
        <f>I638+L638</f>
        <v>0</v>
      </c>
      <c r="N638" s="49">
        <f>M638-H638</f>
        <v>0</v>
      </c>
      <c r="O638" s="50" t="str">
        <f>IF(H638=0,"No plan at start",M638/H638)</f>
        <v>No plan at start</v>
      </c>
    </row>
    <row r="639" spans="2:15" hidden="1" outlineLevel="2" x14ac:dyDescent="0.2">
      <c r="B639" s="49" t="s">
        <v>70</v>
      </c>
      <c r="C639" s="49" t="s">
        <v>58</v>
      </c>
      <c r="D639" s="49">
        <v>0</v>
      </c>
      <c r="E639" s="49">
        <v>0</v>
      </c>
      <c r="F639" s="49">
        <f>E639-D639</f>
        <v>0</v>
      </c>
      <c r="G639" s="50">
        <f>IF(D639=0,0,ABS(F639/D639))</f>
        <v>0</v>
      </c>
      <c r="H639" s="49">
        <v>0</v>
      </c>
      <c r="I639" s="49">
        <v>0</v>
      </c>
      <c r="J639" s="51" t="str">
        <f>IF(H639=0,"No plan at start",I639/H639)</f>
        <v>No plan at start</v>
      </c>
      <c r="K639" s="52">
        <f>H639-I639</f>
        <v>0</v>
      </c>
      <c r="L639" s="49">
        <v>0</v>
      </c>
      <c r="M639" s="49">
        <f>I639+L639</f>
        <v>0</v>
      </c>
      <c r="N639" s="49">
        <f>M639-H639</f>
        <v>0</v>
      </c>
      <c r="O639" s="50" t="str">
        <f>IF(H639=0,"No plan at start",M639/H639)</f>
        <v>No plan at start</v>
      </c>
    </row>
    <row r="640" spans="2:15" hidden="1" outlineLevel="2" x14ac:dyDescent="0.2">
      <c r="B640" s="49" t="s">
        <v>70</v>
      </c>
      <c r="C640" s="49" t="s">
        <v>59</v>
      </c>
      <c r="D640" s="49">
        <v>0</v>
      </c>
      <c r="E640" s="49">
        <v>0</v>
      </c>
      <c r="F640" s="49">
        <f>E640-D640</f>
        <v>0</v>
      </c>
      <c r="G640" s="50">
        <f>IF(D640=0,0,ABS(F640/D640))</f>
        <v>0</v>
      </c>
      <c r="H640" s="49">
        <v>0</v>
      </c>
      <c r="I640" s="49">
        <v>0</v>
      </c>
      <c r="J640" s="51" t="str">
        <f>IF(H640=0,"No plan at start",I640/H640)</f>
        <v>No plan at start</v>
      </c>
      <c r="K640" s="52">
        <f>H640-I640</f>
        <v>0</v>
      </c>
      <c r="L640" s="49">
        <v>0</v>
      </c>
      <c r="M640" s="49">
        <f>I640+L640</f>
        <v>0</v>
      </c>
      <c r="N640" s="49">
        <f>M640-H640</f>
        <v>0</v>
      </c>
      <c r="O640" s="50" t="str">
        <f>IF(H640=0,"No plan at start",M640/H640)</f>
        <v>No plan at start</v>
      </c>
    </row>
    <row r="641" spans="2:15" hidden="1" outlineLevel="2" x14ac:dyDescent="0.2">
      <c r="B641" s="49" t="s">
        <v>70</v>
      </c>
      <c r="C641" s="49" t="s">
        <v>60</v>
      </c>
      <c r="D641" s="49">
        <v>0</v>
      </c>
      <c r="E641" s="49">
        <v>0</v>
      </c>
      <c r="F641" s="49">
        <f>E641-D641</f>
        <v>0</v>
      </c>
      <c r="G641" s="50">
        <f>IF(D641=0,0,ABS(F641/D641))</f>
        <v>0</v>
      </c>
      <c r="H641" s="49">
        <v>0</v>
      </c>
      <c r="I641" s="49">
        <v>0</v>
      </c>
      <c r="J641" s="51" t="str">
        <f>IF(H641=0,"No plan at start",I641/H641)</f>
        <v>No plan at start</v>
      </c>
      <c r="K641" s="52">
        <f>H641-I641</f>
        <v>0</v>
      </c>
      <c r="L641" s="49">
        <v>0</v>
      </c>
      <c r="M641" s="49">
        <f>I641+L641</f>
        <v>0</v>
      </c>
      <c r="N641" s="49">
        <f>M641-H641</f>
        <v>0</v>
      </c>
      <c r="O641" s="50" t="str">
        <f>IF(H641=0,"No plan at start",M641/H641)</f>
        <v>No plan at start</v>
      </c>
    </row>
    <row r="642" spans="2:15" hidden="1" outlineLevel="2" x14ac:dyDescent="0.2">
      <c r="B642" s="49" t="s">
        <v>70</v>
      </c>
      <c r="C642" s="49" t="s">
        <v>61</v>
      </c>
      <c r="D642" s="49">
        <v>0</v>
      </c>
      <c r="E642" s="49">
        <v>0</v>
      </c>
      <c r="F642" s="49">
        <f>E642-D642</f>
        <v>0</v>
      </c>
      <c r="G642" s="50">
        <f>IF(D642=0,0,ABS(F642/D642))</f>
        <v>0</v>
      </c>
      <c r="H642" s="49">
        <v>0</v>
      </c>
      <c r="I642" s="49">
        <v>0</v>
      </c>
      <c r="J642" s="51" t="str">
        <f>IF(H642=0,"No plan at start",I642/H642)</f>
        <v>No plan at start</v>
      </c>
      <c r="K642" s="52">
        <f>H642-I642</f>
        <v>0</v>
      </c>
      <c r="L642" s="49">
        <v>0</v>
      </c>
      <c r="M642" s="49">
        <f>I642+L642</f>
        <v>0</v>
      </c>
      <c r="N642" s="49">
        <f>M642-H642</f>
        <v>0</v>
      </c>
      <c r="O642" s="50" t="str">
        <f>IF(H642=0,"No plan at start",M642/H642)</f>
        <v>No plan at start</v>
      </c>
    </row>
    <row r="643" spans="2:15" hidden="1" outlineLevel="2" x14ac:dyDescent="0.2">
      <c r="B643" s="49" t="s">
        <v>70</v>
      </c>
      <c r="C643" s="49" t="s">
        <v>62</v>
      </c>
      <c r="D643" s="49">
        <v>0</v>
      </c>
      <c r="E643" s="49">
        <v>0</v>
      </c>
      <c r="F643" s="49">
        <f>E643-D643</f>
        <v>0</v>
      </c>
      <c r="G643" s="50">
        <f>IF(D643=0,0,ABS(F643/D643))</f>
        <v>0</v>
      </c>
      <c r="H643" s="49">
        <v>0</v>
      </c>
      <c r="I643" s="49">
        <v>31.200000000000003</v>
      </c>
      <c r="J643" s="51" t="str">
        <f>IF(H643=0,"No plan at start",I643/H643)</f>
        <v>No plan at start</v>
      </c>
      <c r="K643" s="52">
        <f>H643-I643</f>
        <v>-31.200000000000003</v>
      </c>
      <c r="L643" s="49">
        <v>0</v>
      </c>
      <c r="M643" s="49">
        <f>I643+L643</f>
        <v>31.200000000000003</v>
      </c>
      <c r="N643" s="49">
        <f>M643-H643</f>
        <v>31.200000000000003</v>
      </c>
      <c r="O643" s="50" t="str">
        <f>IF(H643=0,"No plan at start",M643/H643)</f>
        <v>No plan at start</v>
      </c>
    </row>
    <row r="644" spans="2:15" outlineLevel="1" collapsed="1" x14ac:dyDescent="0.2">
      <c r="B644" s="56" t="s">
        <v>109</v>
      </c>
      <c r="C644" s="49"/>
      <c r="D644" s="49">
        <f>SUBTOTAL(9,D632:D643)</f>
        <v>0</v>
      </c>
      <c r="E644" s="49">
        <f>SUBTOTAL(9,E632:E643)</f>
        <v>4616.04</v>
      </c>
      <c r="F644" s="49">
        <f>SUBTOTAL(9,F632:F643)</f>
        <v>4616.04</v>
      </c>
      <c r="G644" s="50">
        <f>IF(D644=0,0,ABS(F644/D644))</f>
        <v>0</v>
      </c>
      <c r="H644" s="49">
        <f>SUBTOTAL(9,H632:H643)</f>
        <v>55436.160000000003</v>
      </c>
      <c r="I644" s="49">
        <f>SUBTOTAL(9,I632:I643)</f>
        <v>257112.18000000002</v>
      </c>
      <c r="J644" s="51">
        <f>IF(H644=0,"No plan at start",I644/H644)</f>
        <v>4.6379868302566409</v>
      </c>
      <c r="K644" s="52">
        <f>SUBTOTAL(9,K632:K643)</f>
        <v>-201676.02000000002</v>
      </c>
      <c r="L644" s="49">
        <f>SUBTOTAL(9,L632:L643)</f>
        <v>64769.535999999993</v>
      </c>
      <c r="M644" s="49">
        <f>SUBTOTAL(9,M632:M643)</f>
        <v>321881.71600000001</v>
      </c>
      <c r="N644" s="49">
        <f>SUBTOTAL(9,N632:N643)</f>
        <v>266445.55599999998</v>
      </c>
      <c r="O644" s="50">
        <f>IF(H644=0,"No plan at start",M644/H644)</f>
        <v>5.8063494296863274</v>
      </c>
    </row>
    <row r="645" spans="2:15" hidden="1" outlineLevel="2" x14ac:dyDescent="0.2">
      <c r="B645" s="49" t="s">
        <v>71</v>
      </c>
      <c r="C645" s="49" t="s">
        <v>52</v>
      </c>
      <c r="D645" s="49">
        <v>0</v>
      </c>
      <c r="E645" s="49">
        <v>0</v>
      </c>
      <c r="F645" s="49">
        <f>E645-D645</f>
        <v>0</v>
      </c>
      <c r="G645" s="50">
        <f>IF(D645=0,0,ABS(F645/D645))</f>
        <v>0</v>
      </c>
      <c r="H645" s="49">
        <v>12513.6</v>
      </c>
      <c r="I645" s="49">
        <v>9724</v>
      </c>
      <c r="J645" s="51">
        <f>IF(H645=0,"No plan at start",I645/H645)</f>
        <v>0.77707454289732769</v>
      </c>
      <c r="K645" s="52">
        <f>H645-I645</f>
        <v>2789.6000000000004</v>
      </c>
      <c r="L645" s="49">
        <v>0</v>
      </c>
      <c r="M645" s="49">
        <f>I645+L645</f>
        <v>9724</v>
      </c>
      <c r="N645" s="49">
        <f>M645-H645</f>
        <v>-2789.6000000000004</v>
      </c>
      <c r="O645" s="50">
        <f>IF(H645=0,"No plan at start",M645/H645)</f>
        <v>0.77707454289732769</v>
      </c>
    </row>
    <row r="646" spans="2:15" hidden="1" outlineLevel="2" x14ac:dyDescent="0.2">
      <c r="B646" s="49" t="s">
        <v>71</v>
      </c>
      <c r="C646" s="49" t="s">
        <v>53</v>
      </c>
      <c r="D646" s="49">
        <v>0</v>
      </c>
      <c r="E646" s="49">
        <v>0</v>
      </c>
      <c r="F646" s="49">
        <f>E646-D646</f>
        <v>0</v>
      </c>
      <c r="G646" s="50">
        <f>IF(D646=0,0,ABS(F646/D646))</f>
        <v>0</v>
      </c>
      <c r="H646" s="49">
        <v>0</v>
      </c>
      <c r="I646" s="49">
        <v>5434</v>
      </c>
      <c r="J646" s="51" t="str">
        <f>IF(H646=0,"No plan at start",I646/H646)</f>
        <v>No plan at start</v>
      </c>
      <c r="K646" s="52">
        <f>H646-I646</f>
        <v>-5434</v>
      </c>
      <c r="L646" s="49">
        <v>0</v>
      </c>
      <c r="M646" s="49">
        <f>I646+L646</f>
        <v>5434</v>
      </c>
      <c r="N646" s="49">
        <f>M646-H646</f>
        <v>5434</v>
      </c>
      <c r="O646" s="50" t="str">
        <f>IF(H646=0,"No plan at start",M646/H646)</f>
        <v>No plan at start</v>
      </c>
    </row>
    <row r="647" spans="2:15" hidden="1" outlineLevel="2" x14ac:dyDescent="0.2">
      <c r="B647" s="49" t="s">
        <v>71</v>
      </c>
      <c r="C647" s="49" t="s">
        <v>54</v>
      </c>
      <c r="D647" s="49">
        <v>0</v>
      </c>
      <c r="E647" s="49">
        <v>0</v>
      </c>
      <c r="F647" s="49">
        <f>E647-D647</f>
        <v>0</v>
      </c>
      <c r="G647" s="50">
        <f>IF(D647=0,0,ABS(F647/D647))</f>
        <v>0</v>
      </c>
      <c r="H647" s="49">
        <v>0</v>
      </c>
      <c r="I647" s="49">
        <v>0</v>
      </c>
      <c r="J647" s="51" t="str">
        <f>IF(H647=0,"No plan at start",I647/H647)</f>
        <v>No plan at start</v>
      </c>
      <c r="K647" s="52">
        <f>H647-I647</f>
        <v>0</v>
      </c>
      <c r="L647" s="49">
        <v>0</v>
      </c>
      <c r="M647" s="49">
        <f>I647+L647</f>
        <v>0</v>
      </c>
      <c r="N647" s="49">
        <f>M647-H647</f>
        <v>0</v>
      </c>
      <c r="O647" s="50" t="str">
        <f>IF(H647=0,"No plan at start",M647/H647)</f>
        <v>No plan at start</v>
      </c>
    </row>
    <row r="648" spans="2:15" hidden="1" outlineLevel="2" x14ac:dyDescent="0.2">
      <c r="B648" s="49" t="s">
        <v>71</v>
      </c>
      <c r="C648" s="49" t="s">
        <v>55</v>
      </c>
      <c r="D648" s="49">
        <v>0</v>
      </c>
      <c r="E648" s="49">
        <v>0</v>
      </c>
      <c r="F648" s="49">
        <f>E648-D648</f>
        <v>0</v>
      </c>
      <c r="G648" s="50">
        <f>IF(D648=0,0,ABS(F648/D648))</f>
        <v>0</v>
      </c>
      <c r="H648" s="49">
        <v>0</v>
      </c>
      <c r="I648" s="49">
        <v>0</v>
      </c>
      <c r="J648" s="51" t="str">
        <f>IF(H648=0,"No plan at start",I648/H648)</f>
        <v>No plan at start</v>
      </c>
      <c r="K648" s="52">
        <f>H648-I648</f>
        <v>0</v>
      </c>
      <c r="L648" s="49">
        <v>0</v>
      </c>
      <c r="M648" s="49">
        <f>I648+L648</f>
        <v>0</v>
      </c>
      <c r="N648" s="49">
        <f>M648-H648</f>
        <v>0</v>
      </c>
      <c r="O648" s="50" t="str">
        <f>IF(H648=0,"No plan at start",M648/H648)</f>
        <v>No plan at start</v>
      </c>
    </row>
    <row r="649" spans="2:15" hidden="1" outlineLevel="2" x14ac:dyDescent="0.2">
      <c r="B649" s="49" t="s">
        <v>71</v>
      </c>
      <c r="C649" s="49" t="s">
        <v>56</v>
      </c>
      <c r="D649" s="49">
        <v>0</v>
      </c>
      <c r="E649" s="49">
        <v>0</v>
      </c>
      <c r="F649" s="49">
        <f>E649-D649</f>
        <v>0</v>
      </c>
      <c r="G649" s="50">
        <f>IF(D649=0,0,ABS(F649/D649))</f>
        <v>0</v>
      </c>
      <c r="H649" s="49">
        <v>0</v>
      </c>
      <c r="I649" s="49">
        <v>0</v>
      </c>
      <c r="J649" s="51" t="str">
        <f>IF(H649=0,"No plan at start",I649/H649)</f>
        <v>No plan at start</v>
      </c>
      <c r="K649" s="52">
        <f>H649-I649</f>
        <v>0</v>
      </c>
      <c r="L649" s="49">
        <v>0</v>
      </c>
      <c r="M649" s="49">
        <f>I649+L649</f>
        <v>0</v>
      </c>
      <c r="N649" s="49">
        <f>M649-H649</f>
        <v>0</v>
      </c>
      <c r="O649" s="50" t="str">
        <f>IF(H649=0,"No plan at start",M649/H649)</f>
        <v>No plan at start</v>
      </c>
    </row>
    <row r="650" spans="2:15" hidden="1" outlineLevel="2" x14ac:dyDescent="0.2">
      <c r="B650" s="49" t="s">
        <v>71</v>
      </c>
      <c r="C650" s="49" t="s">
        <v>57</v>
      </c>
      <c r="D650" s="49">
        <v>0</v>
      </c>
      <c r="E650" s="49">
        <v>0</v>
      </c>
      <c r="F650" s="49">
        <f>E650-D650</f>
        <v>0</v>
      </c>
      <c r="G650" s="50">
        <f>IF(D650=0,0,ABS(F650/D650))</f>
        <v>0</v>
      </c>
      <c r="H650" s="49">
        <v>0</v>
      </c>
      <c r="I650" s="49">
        <v>0</v>
      </c>
      <c r="J650" s="51" t="str">
        <f>IF(H650=0,"No plan at start",I650/H650)</f>
        <v>No plan at start</v>
      </c>
      <c r="K650" s="52">
        <f>H650-I650</f>
        <v>0</v>
      </c>
      <c r="L650" s="49">
        <v>0</v>
      </c>
      <c r="M650" s="49">
        <f>I650+L650</f>
        <v>0</v>
      </c>
      <c r="N650" s="49">
        <f>M650-H650</f>
        <v>0</v>
      </c>
      <c r="O650" s="50" t="str">
        <f>IF(H650=0,"No plan at start",M650/H650)</f>
        <v>No plan at start</v>
      </c>
    </row>
    <row r="651" spans="2:15" hidden="1" outlineLevel="2" x14ac:dyDescent="0.2">
      <c r="B651" s="49" t="s">
        <v>71</v>
      </c>
      <c r="C651" s="49" t="s">
        <v>48</v>
      </c>
      <c r="D651" s="49">
        <v>0</v>
      </c>
      <c r="E651" s="49">
        <v>0</v>
      </c>
      <c r="F651" s="49">
        <f>E651-D651</f>
        <v>0</v>
      </c>
      <c r="G651" s="50">
        <f>IF(D651=0,0,ABS(F651/D651))</f>
        <v>0</v>
      </c>
      <c r="H651" s="49">
        <v>0</v>
      </c>
      <c r="I651" s="49">
        <v>0</v>
      </c>
      <c r="J651" s="51" t="str">
        <f>IF(H651=0,"No plan at start",I651/H651)</f>
        <v>No plan at start</v>
      </c>
      <c r="K651" s="52">
        <f>H651-I651</f>
        <v>0</v>
      </c>
      <c r="L651" s="49">
        <v>0</v>
      </c>
      <c r="M651" s="49">
        <f>I651+L651</f>
        <v>0</v>
      </c>
      <c r="N651" s="49">
        <f>M651-H651</f>
        <v>0</v>
      </c>
      <c r="O651" s="50" t="str">
        <f>IF(H651=0,"No plan at start",M651/H651)</f>
        <v>No plan at start</v>
      </c>
    </row>
    <row r="652" spans="2:15" hidden="1" outlineLevel="2" x14ac:dyDescent="0.2">
      <c r="B652" s="49" t="s">
        <v>71</v>
      </c>
      <c r="C652" s="49" t="s">
        <v>58</v>
      </c>
      <c r="D652" s="49">
        <v>0</v>
      </c>
      <c r="E652" s="49">
        <v>0</v>
      </c>
      <c r="F652" s="49">
        <f>E652-D652</f>
        <v>0</v>
      </c>
      <c r="G652" s="50">
        <f>IF(D652=0,0,ABS(F652/D652))</f>
        <v>0</v>
      </c>
      <c r="H652" s="49">
        <v>0</v>
      </c>
      <c r="I652" s="49">
        <v>0</v>
      </c>
      <c r="J652" s="51" t="str">
        <f>IF(H652=0,"No plan at start",I652/H652)</f>
        <v>No plan at start</v>
      </c>
      <c r="K652" s="52">
        <f>H652-I652</f>
        <v>0</v>
      </c>
      <c r="L652" s="49">
        <v>0</v>
      </c>
      <c r="M652" s="49">
        <f>I652+L652</f>
        <v>0</v>
      </c>
      <c r="N652" s="49">
        <f>M652-H652</f>
        <v>0</v>
      </c>
      <c r="O652" s="50" t="str">
        <f>IF(H652=0,"No plan at start",M652/H652)</f>
        <v>No plan at start</v>
      </c>
    </row>
    <row r="653" spans="2:15" hidden="1" outlineLevel="2" x14ac:dyDescent="0.2">
      <c r="B653" s="49" t="s">
        <v>71</v>
      </c>
      <c r="C653" s="49" t="s">
        <v>59</v>
      </c>
      <c r="D653" s="49">
        <v>0</v>
      </c>
      <c r="E653" s="49">
        <v>0</v>
      </c>
      <c r="F653" s="49">
        <f>E653-D653</f>
        <v>0</v>
      </c>
      <c r="G653" s="50">
        <f>IF(D653=0,0,ABS(F653/D653))</f>
        <v>0</v>
      </c>
      <c r="H653" s="49">
        <v>0</v>
      </c>
      <c r="I653" s="49">
        <v>0</v>
      </c>
      <c r="J653" s="51" t="str">
        <f>IF(H653=0,"No plan at start",I653/H653)</f>
        <v>No plan at start</v>
      </c>
      <c r="K653" s="52">
        <f>H653-I653</f>
        <v>0</v>
      </c>
      <c r="L653" s="49">
        <v>0</v>
      </c>
      <c r="M653" s="49">
        <f>I653+L653</f>
        <v>0</v>
      </c>
      <c r="N653" s="49">
        <f>M653-H653</f>
        <v>0</v>
      </c>
      <c r="O653" s="50" t="str">
        <f>IF(H653=0,"No plan at start",M653/H653)</f>
        <v>No plan at start</v>
      </c>
    </row>
    <row r="654" spans="2:15" hidden="1" outlineLevel="2" x14ac:dyDescent="0.2">
      <c r="B654" s="49" t="s">
        <v>71</v>
      </c>
      <c r="C654" s="49" t="s">
        <v>60</v>
      </c>
      <c r="D654" s="49">
        <v>0</v>
      </c>
      <c r="E654" s="49">
        <v>0</v>
      </c>
      <c r="F654" s="49">
        <f>E654-D654</f>
        <v>0</v>
      </c>
      <c r="G654" s="50">
        <f>IF(D654=0,0,ABS(F654/D654))</f>
        <v>0</v>
      </c>
      <c r="H654" s="49">
        <v>0</v>
      </c>
      <c r="I654" s="49">
        <v>0</v>
      </c>
      <c r="J654" s="51" t="str">
        <f>IF(H654=0,"No plan at start",I654/H654)</f>
        <v>No plan at start</v>
      </c>
      <c r="K654" s="52">
        <f>H654-I654</f>
        <v>0</v>
      </c>
      <c r="L654" s="49">
        <v>0</v>
      </c>
      <c r="M654" s="49">
        <f>I654+L654</f>
        <v>0</v>
      </c>
      <c r="N654" s="49">
        <f>M654-H654</f>
        <v>0</v>
      </c>
      <c r="O654" s="50" t="str">
        <f>IF(H654=0,"No plan at start",M654/H654)</f>
        <v>No plan at start</v>
      </c>
    </row>
    <row r="655" spans="2:15" hidden="1" outlineLevel="2" x14ac:dyDescent="0.2">
      <c r="B655" s="49" t="s">
        <v>71</v>
      </c>
      <c r="C655" s="49" t="s">
        <v>61</v>
      </c>
      <c r="D655" s="49">
        <v>0</v>
      </c>
      <c r="E655" s="49">
        <v>0</v>
      </c>
      <c r="F655" s="49">
        <f>E655-D655</f>
        <v>0</v>
      </c>
      <c r="G655" s="50">
        <f>IF(D655=0,0,ABS(F655/D655))</f>
        <v>0</v>
      </c>
      <c r="H655" s="49">
        <v>0</v>
      </c>
      <c r="I655" s="49">
        <v>0</v>
      </c>
      <c r="J655" s="51" t="str">
        <f>IF(H655=0,"No plan at start",I655/H655)</f>
        <v>No plan at start</v>
      </c>
      <c r="K655" s="52">
        <f>H655-I655</f>
        <v>0</v>
      </c>
      <c r="L655" s="49">
        <v>0</v>
      </c>
      <c r="M655" s="49">
        <f>I655+L655</f>
        <v>0</v>
      </c>
      <c r="N655" s="49">
        <f>M655-H655</f>
        <v>0</v>
      </c>
      <c r="O655" s="50" t="str">
        <f>IF(H655=0,"No plan at start",M655/H655)</f>
        <v>No plan at start</v>
      </c>
    </row>
    <row r="656" spans="2:15" hidden="1" outlineLevel="2" x14ac:dyDescent="0.2">
      <c r="B656" s="49" t="s">
        <v>71</v>
      </c>
      <c r="C656" s="49" t="s">
        <v>62</v>
      </c>
      <c r="D656" s="49">
        <v>0</v>
      </c>
      <c r="E656" s="49">
        <v>0</v>
      </c>
      <c r="F656" s="49">
        <f>E656-D656</f>
        <v>0</v>
      </c>
      <c r="G656" s="50">
        <f>IF(D656=0,0,ABS(F656/D656))</f>
        <v>0</v>
      </c>
      <c r="H656" s="49">
        <v>0</v>
      </c>
      <c r="I656" s="49">
        <v>0</v>
      </c>
      <c r="J656" s="51" t="str">
        <f>IF(H656=0,"No plan at start",I656/H656)</f>
        <v>No plan at start</v>
      </c>
      <c r="K656" s="52">
        <f>H656-I656</f>
        <v>0</v>
      </c>
      <c r="L656" s="49">
        <v>0</v>
      </c>
      <c r="M656" s="49">
        <f>I656+L656</f>
        <v>0</v>
      </c>
      <c r="N656" s="49">
        <f>M656-H656</f>
        <v>0</v>
      </c>
      <c r="O656" s="50" t="str">
        <f>IF(H656=0,"No plan at start",M656/H656)</f>
        <v>No plan at start</v>
      </c>
    </row>
    <row r="657" spans="2:15" outlineLevel="1" collapsed="1" x14ac:dyDescent="0.2">
      <c r="B657" s="56" t="s">
        <v>110</v>
      </c>
      <c r="C657" s="49"/>
      <c r="D657" s="49">
        <f>SUBTOTAL(9,D645:D656)</f>
        <v>0</v>
      </c>
      <c r="E657" s="49">
        <f>SUBTOTAL(9,E645:E656)</f>
        <v>0</v>
      </c>
      <c r="F657" s="49">
        <f>SUBTOTAL(9,F645:F656)</f>
        <v>0</v>
      </c>
      <c r="G657" s="50">
        <f>IF(D657=0,0,ABS(F657/D657))</f>
        <v>0</v>
      </c>
      <c r="H657" s="49">
        <f>SUBTOTAL(9,H645:H656)</f>
        <v>12513.6</v>
      </c>
      <c r="I657" s="49">
        <f>SUBTOTAL(9,I645:I656)</f>
        <v>15158</v>
      </c>
      <c r="J657" s="51">
        <f>IF(H657=0,"No plan at start",I657/H657)</f>
        <v>1.2113220815752461</v>
      </c>
      <c r="K657" s="52">
        <f>SUBTOTAL(9,K645:K656)</f>
        <v>-2644.3999999999996</v>
      </c>
      <c r="L657" s="49">
        <f>SUBTOTAL(9,L645:L656)</f>
        <v>0</v>
      </c>
      <c r="M657" s="49">
        <f>SUBTOTAL(9,M645:M656)</f>
        <v>15158</v>
      </c>
      <c r="N657" s="49">
        <f>SUBTOTAL(9,N645:N656)</f>
        <v>2644.3999999999996</v>
      </c>
      <c r="O657" s="50">
        <f>IF(H657=0,"No plan at start",M657/H657)</f>
        <v>1.2113220815752461</v>
      </c>
    </row>
    <row r="658" spans="2:15" hidden="1" outlineLevel="2" x14ac:dyDescent="0.2">
      <c r="B658" s="49" t="s">
        <v>72</v>
      </c>
      <c r="C658" s="49" t="s">
        <v>52</v>
      </c>
      <c r="D658" s="49">
        <v>0</v>
      </c>
      <c r="E658" s="49">
        <v>0</v>
      </c>
      <c r="F658" s="49">
        <f>E658-D658</f>
        <v>0</v>
      </c>
      <c r="G658" s="50">
        <f>IF(D658=0,0,ABS(F658/D658))</f>
        <v>0</v>
      </c>
      <c r="H658" s="49">
        <v>0</v>
      </c>
      <c r="I658" s="49">
        <v>0</v>
      </c>
      <c r="J658" s="51" t="str">
        <f>IF(H658=0,"No plan at start",I658/H658)</f>
        <v>No plan at start</v>
      </c>
      <c r="K658" s="52">
        <f>H658-I658</f>
        <v>0</v>
      </c>
      <c r="L658" s="49">
        <v>0</v>
      </c>
      <c r="M658" s="49">
        <f>I658+L658</f>
        <v>0</v>
      </c>
      <c r="N658" s="49">
        <f>M658-H658</f>
        <v>0</v>
      </c>
      <c r="O658" s="50" t="str">
        <f>IF(H658=0,"No plan at start",M658/H658)</f>
        <v>No plan at start</v>
      </c>
    </row>
    <row r="659" spans="2:15" hidden="1" outlineLevel="2" x14ac:dyDescent="0.2">
      <c r="B659" s="49" t="s">
        <v>72</v>
      </c>
      <c r="C659" s="49" t="s">
        <v>53</v>
      </c>
      <c r="D659" s="49">
        <v>0</v>
      </c>
      <c r="E659" s="49">
        <v>0</v>
      </c>
      <c r="F659" s="49">
        <f>E659-D659</f>
        <v>0</v>
      </c>
      <c r="G659" s="50">
        <f>IF(D659=0,0,ABS(F659/D659))</f>
        <v>0</v>
      </c>
      <c r="H659" s="49">
        <v>0</v>
      </c>
      <c r="I659" s="49">
        <v>0</v>
      </c>
      <c r="J659" s="51" t="str">
        <f>IF(H659=0,"No plan at start",I659/H659)</f>
        <v>No plan at start</v>
      </c>
      <c r="K659" s="52">
        <f>H659-I659</f>
        <v>0</v>
      </c>
      <c r="L659" s="49">
        <v>0</v>
      </c>
      <c r="M659" s="49">
        <f>I659+L659</f>
        <v>0</v>
      </c>
      <c r="N659" s="49">
        <f>M659-H659</f>
        <v>0</v>
      </c>
      <c r="O659" s="50" t="str">
        <f>IF(H659=0,"No plan at start",M659/H659)</f>
        <v>No plan at start</v>
      </c>
    </row>
    <row r="660" spans="2:15" hidden="1" outlineLevel="2" x14ac:dyDescent="0.2">
      <c r="B660" s="49" t="s">
        <v>72</v>
      </c>
      <c r="C660" s="49" t="s">
        <v>54</v>
      </c>
      <c r="D660" s="49">
        <v>0</v>
      </c>
      <c r="E660" s="49">
        <v>0</v>
      </c>
      <c r="F660" s="49">
        <f>E660-D660</f>
        <v>0</v>
      </c>
      <c r="G660" s="50">
        <f>IF(D660=0,0,ABS(F660/D660))</f>
        <v>0</v>
      </c>
      <c r="H660" s="49">
        <v>0</v>
      </c>
      <c r="I660" s="49">
        <v>0</v>
      </c>
      <c r="J660" s="51" t="str">
        <f>IF(H660=0,"No plan at start",I660/H660)</f>
        <v>No plan at start</v>
      </c>
      <c r="K660" s="52">
        <f>H660-I660</f>
        <v>0</v>
      </c>
      <c r="L660" s="49">
        <v>0</v>
      </c>
      <c r="M660" s="49">
        <f>I660+L660</f>
        <v>0</v>
      </c>
      <c r="N660" s="49">
        <f>M660-H660</f>
        <v>0</v>
      </c>
      <c r="O660" s="50" t="str">
        <f>IF(H660=0,"No plan at start",M660/H660)</f>
        <v>No plan at start</v>
      </c>
    </row>
    <row r="661" spans="2:15" hidden="1" outlineLevel="2" x14ac:dyDescent="0.2">
      <c r="B661" s="49" t="s">
        <v>72</v>
      </c>
      <c r="C661" s="49" t="s">
        <v>55</v>
      </c>
      <c r="D661" s="49">
        <v>0</v>
      </c>
      <c r="E661" s="49">
        <v>0</v>
      </c>
      <c r="F661" s="49">
        <f>E661-D661</f>
        <v>0</v>
      </c>
      <c r="G661" s="50">
        <f>IF(D661=0,0,ABS(F661/D661))</f>
        <v>0</v>
      </c>
      <c r="H661" s="49">
        <v>0</v>
      </c>
      <c r="I661" s="49">
        <v>0</v>
      </c>
      <c r="J661" s="51" t="str">
        <f>IF(H661=0,"No plan at start",I661/H661)</f>
        <v>No plan at start</v>
      </c>
      <c r="K661" s="52">
        <f>H661-I661</f>
        <v>0</v>
      </c>
      <c r="L661" s="49">
        <v>0</v>
      </c>
      <c r="M661" s="49">
        <f>I661+L661</f>
        <v>0</v>
      </c>
      <c r="N661" s="49">
        <f>M661-H661</f>
        <v>0</v>
      </c>
      <c r="O661" s="50" t="str">
        <f>IF(H661=0,"No plan at start",M661/H661)</f>
        <v>No plan at start</v>
      </c>
    </row>
    <row r="662" spans="2:15" hidden="1" outlineLevel="2" x14ac:dyDescent="0.2">
      <c r="B662" s="49" t="s">
        <v>72</v>
      </c>
      <c r="C662" s="49" t="s">
        <v>56</v>
      </c>
      <c r="D662" s="49">
        <v>0</v>
      </c>
      <c r="E662" s="49">
        <v>0</v>
      </c>
      <c r="F662" s="49">
        <f>E662-D662</f>
        <v>0</v>
      </c>
      <c r="G662" s="50">
        <f>IF(D662=0,0,ABS(F662/D662))</f>
        <v>0</v>
      </c>
      <c r="H662" s="49">
        <v>0</v>
      </c>
      <c r="I662" s="49">
        <v>0</v>
      </c>
      <c r="J662" s="51" t="str">
        <f>IF(H662=0,"No plan at start",I662/H662)</f>
        <v>No plan at start</v>
      </c>
      <c r="K662" s="52">
        <f>H662-I662</f>
        <v>0</v>
      </c>
      <c r="L662" s="49">
        <v>0</v>
      </c>
      <c r="M662" s="49">
        <f>I662+L662</f>
        <v>0</v>
      </c>
      <c r="N662" s="49">
        <f>M662-H662</f>
        <v>0</v>
      </c>
      <c r="O662" s="50" t="str">
        <f>IF(H662=0,"No plan at start",M662/H662)</f>
        <v>No plan at start</v>
      </c>
    </row>
    <row r="663" spans="2:15" hidden="1" outlineLevel="2" x14ac:dyDescent="0.2">
      <c r="B663" s="49" t="s">
        <v>72</v>
      </c>
      <c r="C663" s="49" t="s">
        <v>57</v>
      </c>
      <c r="D663" s="49">
        <v>0</v>
      </c>
      <c r="E663" s="49">
        <v>0</v>
      </c>
      <c r="F663" s="49">
        <f>E663-D663</f>
        <v>0</v>
      </c>
      <c r="G663" s="50">
        <f>IF(D663=0,0,ABS(F663/D663))</f>
        <v>0</v>
      </c>
      <c r="H663" s="49">
        <v>0</v>
      </c>
      <c r="I663" s="49">
        <v>0</v>
      </c>
      <c r="J663" s="51" t="str">
        <f>IF(H663=0,"No plan at start",I663/H663)</f>
        <v>No plan at start</v>
      </c>
      <c r="K663" s="52">
        <f>H663-I663</f>
        <v>0</v>
      </c>
      <c r="L663" s="49">
        <v>0</v>
      </c>
      <c r="M663" s="49">
        <f>I663+L663</f>
        <v>0</v>
      </c>
      <c r="N663" s="49">
        <f>M663-H663</f>
        <v>0</v>
      </c>
      <c r="O663" s="50" t="str">
        <f>IF(H663=0,"No plan at start",M663/H663)</f>
        <v>No plan at start</v>
      </c>
    </row>
    <row r="664" spans="2:15" hidden="1" outlineLevel="2" x14ac:dyDescent="0.2">
      <c r="B664" s="49" t="s">
        <v>72</v>
      </c>
      <c r="C664" s="49" t="s">
        <v>48</v>
      </c>
      <c r="D664" s="49">
        <v>0</v>
      </c>
      <c r="E664" s="49">
        <v>0</v>
      </c>
      <c r="F664" s="49">
        <f>E664-D664</f>
        <v>0</v>
      </c>
      <c r="G664" s="50">
        <f>IF(D664=0,0,ABS(F664/D664))</f>
        <v>0</v>
      </c>
      <c r="H664" s="49">
        <v>0</v>
      </c>
      <c r="I664" s="49">
        <v>0</v>
      </c>
      <c r="J664" s="51" t="str">
        <f>IF(H664=0,"No plan at start",I664/H664)</f>
        <v>No plan at start</v>
      </c>
      <c r="K664" s="52">
        <f>H664-I664</f>
        <v>0</v>
      </c>
      <c r="L664" s="49">
        <v>0</v>
      </c>
      <c r="M664" s="49">
        <f>I664+L664</f>
        <v>0</v>
      </c>
      <c r="N664" s="49">
        <f>M664-H664</f>
        <v>0</v>
      </c>
      <c r="O664" s="50" t="str">
        <f>IF(H664=0,"No plan at start",M664/H664)</f>
        <v>No plan at start</v>
      </c>
    </row>
    <row r="665" spans="2:15" hidden="1" outlineLevel="2" x14ac:dyDescent="0.2">
      <c r="B665" s="49" t="s">
        <v>72</v>
      </c>
      <c r="C665" s="49" t="s">
        <v>58</v>
      </c>
      <c r="D665" s="49">
        <v>0</v>
      </c>
      <c r="E665" s="49">
        <v>0</v>
      </c>
      <c r="F665" s="49">
        <f>E665-D665</f>
        <v>0</v>
      </c>
      <c r="G665" s="50">
        <f>IF(D665=0,0,ABS(F665/D665))</f>
        <v>0</v>
      </c>
      <c r="H665" s="49">
        <v>0</v>
      </c>
      <c r="I665" s="49">
        <v>0</v>
      </c>
      <c r="J665" s="51" t="str">
        <f>IF(H665=0,"No plan at start",I665/H665)</f>
        <v>No plan at start</v>
      </c>
      <c r="K665" s="52">
        <f>H665-I665</f>
        <v>0</v>
      </c>
      <c r="L665" s="49">
        <v>0</v>
      </c>
      <c r="M665" s="49">
        <f>I665+L665</f>
        <v>0</v>
      </c>
      <c r="N665" s="49">
        <f>M665-H665</f>
        <v>0</v>
      </c>
      <c r="O665" s="50" t="str">
        <f>IF(H665=0,"No plan at start",M665/H665)</f>
        <v>No plan at start</v>
      </c>
    </row>
    <row r="666" spans="2:15" hidden="1" outlineLevel="2" x14ac:dyDescent="0.2">
      <c r="B666" s="49" t="s">
        <v>72</v>
      </c>
      <c r="C666" s="49" t="s">
        <v>59</v>
      </c>
      <c r="D666" s="49">
        <v>0</v>
      </c>
      <c r="E666" s="49">
        <v>0</v>
      </c>
      <c r="F666" s="49">
        <f>E666-D666</f>
        <v>0</v>
      </c>
      <c r="G666" s="50">
        <f>IF(D666=0,0,ABS(F666/D666))</f>
        <v>0</v>
      </c>
      <c r="H666" s="49">
        <v>0</v>
      </c>
      <c r="I666" s="49">
        <v>0</v>
      </c>
      <c r="J666" s="51" t="str">
        <f>IF(H666=0,"No plan at start",I666/H666)</f>
        <v>No plan at start</v>
      </c>
      <c r="K666" s="52">
        <f>H666-I666</f>
        <v>0</v>
      </c>
      <c r="L666" s="49">
        <v>0</v>
      </c>
      <c r="M666" s="49">
        <f>I666+L666</f>
        <v>0</v>
      </c>
      <c r="N666" s="49">
        <f>M666-H666</f>
        <v>0</v>
      </c>
      <c r="O666" s="50" t="str">
        <f>IF(H666=0,"No plan at start",M666/H666)</f>
        <v>No plan at start</v>
      </c>
    </row>
    <row r="667" spans="2:15" hidden="1" outlineLevel="2" x14ac:dyDescent="0.2">
      <c r="B667" s="49" t="s">
        <v>72</v>
      </c>
      <c r="C667" s="49" t="s">
        <v>60</v>
      </c>
      <c r="D667" s="49">
        <v>0</v>
      </c>
      <c r="E667" s="49">
        <v>0</v>
      </c>
      <c r="F667" s="49">
        <f>E667-D667</f>
        <v>0</v>
      </c>
      <c r="G667" s="50">
        <f>IF(D667=0,0,ABS(F667/D667))</f>
        <v>0</v>
      </c>
      <c r="H667" s="49">
        <v>0</v>
      </c>
      <c r="I667" s="49">
        <v>0</v>
      </c>
      <c r="J667" s="51" t="str">
        <f>IF(H667=0,"No plan at start",I667/H667)</f>
        <v>No plan at start</v>
      </c>
      <c r="K667" s="52">
        <f>H667-I667</f>
        <v>0</v>
      </c>
      <c r="L667" s="49">
        <v>0</v>
      </c>
      <c r="M667" s="49">
        <f>I667+L667</f>
        <v>0</v>
      </c>
      <c r="N667" s="49">
        <f>M667-H667</f>
        <v>0</v>
      </c>
      <c r="O667" s="50" t="str">
        <f>IF(H667=0,"No plan at start",M667/H667)</f>
        <v>No plan at start</v>
      </c>
    </row>
    <row r="668" spans="2:15" hidden="1" outlineLevel="2" x14ac:dyDescent="0.2">
      <c r="B668" s="49" t="s">
        <v>72</v>
      </c>
      <c r="C668" s="49" t="s">
        <v>61</v>
      </c>
      <c r="D668" s="49">
        <v>0</v>
      </c>
      <c r="E668" s="49">
        <v>0</v>
      </c>
      <c r="F668" s="49">
        <f>E668-D668</f>
        <v>0</v>
      </c>
      <c r="G668" s="50">
        <f>IF(D668=0,0,ABS(F668/D668))</f>
        <v>0</v>
      </c>
      <c r="H668" s="49">
        <v>0</v>
      </c>
      <c r="I668" s="49">
        <v>0</v>
      </c>
      <c r="J668" s="51" t="str">
        <f>IF(H668=0,"No plan at start",I668/H668)</f>
        <v>No plan at start</v>
      </c>
      <c r="K668" s="52">
        <f>H668-I668</f>
        <v>0</v>
      </c>
      <c r="L668" s="49">
        <v>0</v>
      </c>
      <c r="M668" s="49">
        <f>I668+L668</f>
        <v>0</v>
      </c>
      <c r="N668" s="49">
        <f>M668-H668</f>
        <v>0</v>
      </c>
      <c r="O668" s="50" t="str">
        <f>IF(H668=0,"No plan at start",M668/H668)</f>
        <v>No plan at start</v>
      </c>
    </row>
    <row r="669" spans="2:15" hidden="1" outlineLevel="2" x14ac:dyDescent="0.2">
      <c r="B669" s="49" t="s">
        <v>72</v>
      </c>
      <c r="C669" s="49" t="s">
        <v>62</v>
      </c>
      <c r="D669" s="49">
        <v>0</v>
      </c>
      <c r="E669" s="49">
        <v>0</v>
      </c>
      <c r="F669" s="49">
        <f>E669-D669</f>
        <v>0</v>
      </c>
      <c r="G669" s="50">
        <f>IF(D669=0,0,ABS(F669/D669))</f>
        <v>0</v>
      </c>
      <c r="H669" s="49">
        <v>0</v>
      </c>
      <c r="I669" s="49">
        <v>0</v>
      </c>
      <c r="J669" s="51" t="str">
        <f>IF(H669=0,"No plan at start",I669/H669)</f>
        <v>No plan at start</v>
      </c>
      <c r="K669" s="52">
        <f>H669-I669</f>
        <v>0</v>
      </c>
      <c r="L669" s="49">
        <v>0</v>
      </c>
      <c r="M669" s="49">
        <f>I669+L669</f>
        <v>0</v>
      </c>
      <c r="N669" s="49">
        <f>M669-H669</f>
        <v>0</v>
      </c>
      <c r="O669" s="50" t="str">
        <f>IF(H669=0,"No plan at start",M669/H669)</f>
        <v>No plan at start</v>
      </c>
    </row>
    <row r="670" spans="2:15" outlineLevel="1" collapsed="1" x14ac:dyDescent="0.2">
      <c r="B670" s="56" t="s">
        <v>111</v>
      </c>
      <c r="C670" s="49"/>
      <c r="D670" s="49">
        <f>SUBTOTAL(9,D658:D669)</f>
        <v>0</v>
      </c>
      <c r="E670" s="49">
        <f>SUBTOTAL(9,E658:E669)</f>
        <v>0</v>
      </c>
      <c r="F670" s="49">
        <f>SUBTOTAL(9,F658:F669)</f>
        <v>0</v>
      </c>
      <c r="G670" s="50">
        <f>IF(D670=0,0,ABS(F670/D670))</f>
        <v>0</v>
      </c>
      <c r="H670" s="49">
        <f>SUBTOTAL(9,H658:H669)</f>
        <v>0</v>
      </c>
      <c r="I670" s="49">
        <f>SUBTOTAL(9,I658:I669)</f>
        <v>0</v>
      </c>
      <c r="J670" s="51" t="str">
        <f>IF(H670=0,"No plan at start",I670/H670)</f>
        <v>No plan at start</v>
      </c>
      <c r="K670" s="52">
        <f>SUBTOTAL(9,K658:K669)</f>
        <v>0</v>
      </c>
      <c r="L670" s="49">
        <f>SUBTOTAL(9,L658:L669)</f>
        <v>0</v>
      </c>
      <c r="M670" s="49">
        <f>SUBTOTAL(9,M658:M669)</f>
        <v>0</v>
      </c>
      <c r="N670" s="49">
        <f>SUBTOTAL(9,N658:N669)</f>
        <v>0</v>
      </c>
      <c r="O670" s="50" t="str">
        <f>IF(H670=0,"No plan at start",M670/H670)</f>
        <v>No plan at start</v>
      </c>
    </row>
    <row r="671" spans="2:15" hidden="1" outlineLevel="2" x14ac:dyDescent="0.2">
      <c r="B671" s="49" t="s">
        <v>73</v>
      </c>
      <c r="C671" s="49" t="s">
        <v>52</v>
      </c>
      <c r="D671" s="49">
        <v>0</v>
      </c>
      <c r="E671" s="49">
        <v>0</v>
      </c>
      <c r="F671" s="49">
        <f>E671-D671</f>
        <v>0</v>
      </c>
      <c r="G671" s="50">
        <f>IF(D671=0,0,ABS(F671/D671))</f>
        <v>0</v>
      </c>
      <c r="H671" s="49">
        <v>31161.600000000006</v>
      </c>
      <c r="I671" s="49">
        <v>2554.5</v>
      </c>
      <c r="J671" s="51">
        <f>IF(H671=0,"No plan at start",I671/H671)</f>
        <v>8.1975893407270475E-2</v>
      </c>
      <c r="K671" s="52">
        <f>H671-I671</f>
        <v>28607.100000000006</v>
      </c>
      <c r="L671" s="49">
        <v>0</v>
      </c>
      <c r="M671" s="49">
        <f>I671+L671</f>
        <v>2554.5</v>
      </c>
      <c r="N671" s="49">
        <f>M671-H671</f>
        <v>-28607.100000000006</v>
      </c>
      <c r="O671" s="50">
        <f>IF(H671=0,"No plan at start",M671/H671)</f>
        <v>8.1975893407270475E-2</v>
      </c>
    </row>
    <row r="672" spans="2:15" hidden="1" outlineLevel="2" x14ac:dyDescent="0.2">
      <c r="B672" s="49" t="s">
        <v>73</v>
      </c>
      <c r="C672" s="49" t="s">
        <v>53</v>
      </c>
      <c r="D672" s="49">
        <v>0</v>
      </c>
      <c r="E672" s="49">
        <v>0</v>
      </c>
      <c r="F672" s="49">
        <f>E672-D672</f>
        <v>0</v>
      </c>
      <c r="G672" s="50">
        <f>IF(D672=0,0,ABS(F672/D672))</f>
        <v>0</v>
      </c>
      <c r="H672" s="49">
        <v>0</v>
      </c>
      <c r="I672" s="49">
        <v>52</v>
      </c>
      <c r="J672" s="51" t="str">
        <f>IF(H672=0,"No plan at start",I672/H672)</f>
        <v>No plan at start</v>
      </c>
      <c r="K672" s="52">
        <f>H672-I672</f>
        <v>-52</v>
      </c>
      <c r="L672" s="49">
        <v>0</v>
      </c>
      <c r="M672" s="49">
        <f>I672+L672</f>
        <v>52</v>
      </c>
      <c r="N672" s="49">
        <f>M672-H672</f>
        <v>52</v>
      </c>
      <c r="O672" s="50" t="str">
        <f>IF(H672=0,"No plan at start",M672/H672)</f>
        <v>No plan at start</v>
      </c>
    </row>
    <row r="673" spans="2:15" hidden="1" outlineLevel="2" x14ac:dyDescent="0.2">
      <c r="B673" s="49" t="s">
        <v>73</v>
      </c>
      <c r="C673" s="49" t="s">
        <v>54</v>
      </c>
      <c r="D673" s="49">
        <v>0</v>
      </c>
      <c r="E673" s="49">
        <v>0</v>
      </c>
      <c r="F673" s="49">
        <f>E673-D673</f>
        <v>0</v>
      </c>
      <c r="G673" s="50">
        <f>IF(D673=0,0,ABS(F673/D673))</f>
        <v>0</v>
      </c>
      <c r="H673" s="49">
        <v>0</v>
      </c>
      <c r="I673" s="49">
        <v>0</v>
      </c>
      <c r="J673" s="51" t="str">
        <f>IF(H673=0,"No plan at start",I673/H673)</f>
        <v>No plan at start</v>
      </c>
      <c r="K673" s="52">
        <f>H673-I673</f>
        <v>0</v>
      </c>
      <c r="L673" s="49">
        <v>0</v>
      </c>
      <c r="M673" s="49">
        <f>I673+L673</f>
        <v>0</v>
      </c>
      <c r="N673" s="49">
        <f>M673-H673</f>
        <v>0</v>
      </c>
      <c r="O673" s="50" t="str">
        <f>IF(H673=0,"No plan at start",M673/H673)</f>
        <v>No plan at start</v>
      </c>
    </row>
    <row r="674" spans="2:15" hidden="1" outlineLevel="2" x14ac:dyDescent="0.2">
      <c r="B674" s="49" t="s">
        <v>73</v>
      </c>
      <c r="C674" s="49" t="s">
        <v>55</v>
      </c>
      <c r="D674" s="49">
        <v>0</v>
      </c>
      <c r="E674" s="49">
        <v>0</v>
      </c>
      <c r="F674" s="49">
        <f>E674-D674</f>
        <v>0</v>
      </c>
      <c r="G674" s="50">
        <f>IF(D674=0,0,ABS(F674/D674))</f>
        <v>0</v>
      </c>
      <c r="H674" s="49">
        <v>0</v>
      </c>
      <c r="I674" s="49">
        <v>0</v>
      </c>
      <c r="J674" s="51" t="str">
        <f>IF(H674=0,"No plan at start",I674/H674)</f>
        <v>No plan at start</v>
      </c>
      <c r="K674" s="52">
        <f>H674-I674</f>
        <v>0</v>
      </c>
      <c r="L674" s="49">
        <v>0</v>
      </c>
      <c r="M674" s="49">
        <f>I674+L674</f>
        <v>0</v>
      </c>
      <c r="N674" s="49">
        <f>M674-H674</f>
        <v>0</v>
      </c>
      <c r="O674" s="50" t="str">
        <f>IF(H674=0,"No plan at start",M674/H674)</f>
        <v>No plan at start</v>
      </c>
    </row>
    <row r="675" spans="2:15" hidden="1" outlineLevel="2" x14ac:dyDescent="0.2">
      <c r="B675" s="49" t="s">
        <v>73</v>
      </c>
      <c r="C675" s="49" t="s">
        <v>56</v>
      </c>
      <c r="D675" s="49">
        <v>0</v>
      </c>
      <c r="E675" s="49">
        <v>0</v>
      </c>
      <c r="F675" s="49">
        <f>E675-D675</f>
        <v>0</v>
      </c>
      <c r="G675" s="50">
        <f>IF(D675=0,0,ABS(F675/D675))</f>
        <v>0</v>
      </c>
      <c r="H675" s="49">
        <v>0</v>
      </c>
      <c r="I675" s="49">
        <v>0</v>
      </c>
      <c r="J675" s="51" t="str">
        <f>IF(H675=0,"No plan at start",I675/H675)</f>
        <v>No plan at start</v>
      </c>
      <c r="K675" s="52">
        <f>H675-I675</f>
        <v>0</v>
      </c>
      <c r="L675" s="49">
        <v>0</v>
      </c>
      <c r="M675" s="49">
        <f>I675+L675</f>
        <v>0</v>
      </c>
      <c r="N675" s="49">
        <f>M675-H675</f>
        <v>0</v>
      </c>
      <c r="O675" s="50" t="str">
        <f>IF(H675=0,"No plan at start",M675/H675)</f>
        <v>No plan at start</v>
      </c>
    </row>
    <row r="676" spans="2:15" hidden="1" outlineLevel="2" x14ac:dyDescent="0.2">
      <c r="B676" s="49" t="s">
        <v>73</v>
      </c>
      <c r="C676" s="49" t="s">
        <v>57</v>
      </c>
      <c r="D676" s="49">
        <v>0</v>
      </c>
      <c r="E676" s="49">
        <v>0</v>
      </c>
      <c r="F676" s="49">
        <f>E676-D676</f>
        <v>0</v>
      </c>
      <c r="G676" s="50">
        <f>IF(D676=0,0,ABS(F676/D676))</f>
        <v>0</v>
      </c>
      <c r="H676" s="49">
        <v>0</v>
      </c>
      <c r="I676" s="49">
        <v>0</v>
      </c>
      <c r="J676" s="51" t="str">
        <f>IF(H676=0,"No plan at start",I676/H676)</f>
        <v>No plan at start</v>
      </c>
      <c r="K676" s="52">
        <f>H676-I676</f>
        <v>0</v>
      </c>
      <c r="L676" s="49">
        <v>0</v>
      </c>
      <c r="M676" s="49">
        <f>I676+L676</f>
        <v>0</v>
      </c>
      <c r="N676" s="49">
        <f>M676-H676</f>
        <v>0</v>
      </c>
      <c r="O676" s="50" t="str">
        <f>IF(H676=0,"No plan at start",M676/H676)</f>
        <v>No plan at start</v>
      </c>
    </row>
    <row r="677" spans="2:15" hidden="1" outlineLevel="2" x14ac:dyDescent="0.2">
      <c r="B677" s="49" t="s">
        <v>73</v>
      </c>
      <c r="C677" s="49" t="s">
        <v>48</v>
      </c>
      <c r="D677" s="49">
        <v>0</v>
      </c>
      <c r="E677" s="49">
        <v>0</v>
      </c>
      <c r="F677" s="49">
        <f>E677-D677</f>
        <v>0</v>
      </c>
      <c r="G677" s="50">
        <f>IF(D677=0,0,ABS(F677/D677))</f>
        <v>0</v>
      </c>
      <c r="H677" s="49">
        <v>0</v>
      </c>
      <c r="I677" s="49">
        <v>0</v>
      </c>
      <c r="J677" s="51" t="str">
        <f>IF(H677=0,"No plan at start",I677/H677)</f>
        <v>No plan at start</v>
      </c>
      <c r="K677" s="52">
        <f>H677-I677</f>
        <v>0</v>
      </c>
      <c r="L677" s="49">
        <v>0</v>
      </c>
      <c r="M677" s="49">
        <f>I677+L677</f>
        <v>0</v>
      </c>
      <c r="N677" s="49">
        <f>M677-H677</f>
        <v>0</v>
      </c>
      <c r="O677" s="50" t="str">
        <f>IF(H677=0,"No plan at start",M677/H677)</f>
        <v>No plan at start</v>
      </c>
    </row>
    <row r="678" spans="2:15" hidden="1" outlineLevel="2" x14ac:dyDescent="0.2">
      <c r="B678" s="49" t="s">
        <v>73</v>
      </c>
      <c r="C678" s="49" t="s">
        <v>58</v>
      </c>
      <c r="D678" s="49">
        <v>0</v>
      </c>
      <c r="E678" s="49">
        <v>0</v>
      </c>
      <c r="F678" s="49">
        <f>E678-D678</f>
        <v>0</v>
      </c>
      <c r="G678" s="50">
        <f>IF(D678=0,0,ABS(F678/D678))</f>
        <v>0</v>
      </c>
      <c r="H678" s="49">
        <v>0</v>
      </c>
      <c r="I678" s="49">
        <v>0</v>
      </c>
      <c r="J678" s="51" t="str">
        <f>IF(H678=0,"No plan at start",I678/H678)</f>
        <v>No plan at start</v>
      </c>
      <c r="K678" s="52">
        <f>H678-I678</f>
        <v>0</v>
      </c>
      <c r="L678" s="49">
        <v>0</v>
      </c>
      <c r="M678" s="49">
        <f>I678+L678</f>
        <v>0</v>
      </c>
      <c r="N678" s="49">
        <f>M678-H678</f>
        <v>0</v>
      </c>
      <c r="O678" s="50" t="str">
        <f>IF(H678=0,"No plan at start",M678/H678)</f>
        <v>No plan at start</v>
      </c>
    </row>
    <row r="679" spans="2:15" hidden="1" outlineLevel="2" x14ac:dyDescent="0.2">
      <c r="B679" s="49" t="s">
        <v>73</v>
      </c>
      <c r="C679" s="49" t="s">
        <v>59</v>
      </c>
      <c r="D679" s="49">
        <v>0</v>
      </c>
      <c r="E679" s="49">
        <v>0</v>
      </c>
      <c r="F679" s="49">
        <f>E679-D679</f>
        <v>0</v>
      </c>
      <c r="G679" s="50">
        <f>IF(D679=0,0,ABS(F679/D679))</f>
        <v>0</v>
      </c>
      <c r="H679" s="49">
        <v>0</v>
      </c>
      <c r="I679" s="49">
        <v>0</v>
      </c>
      <c r="J679" s="51" t="str">
        <f>IF(H679=0,"No plan at start",I679/H679)</f>
        <v>No plan at start</v>
      </c>
      <c r="K679" s="52">
        <f>H679-I679</f>
        <v>0</v>
      </c>
      <c r="L679" s="49">
        <v>0</v>
      </c>
      <c r="M679" s="49">
        <f>I679+L679</f>
        <v>0</v>
      </c>
      <c r="N679" s="49">
        <f>M679-H679</f>
        <v>0</v>
      </c>
      <c r="O679" s="50" t="str">
        <f>IF(H679=0,"No plan at start",M679/H679)</f>
        <v>No plan at start</v>
      </c>
    </row>
    <row r="680" spans="2:15" hidden="1" outlineLevel="2" x14ac:dyDescent="0.2">
      <c r="B680" s="49" t="s">
        <v>73</v>
      </c>
      <c r="C680" s="49" t="s">
        <v>60</v>
      </c>
      <c r="D680" s="49">
        <v>0</v>
      </c>
      <c r="E680" s="49">
        <v>0</v>
      </c>
      <c r="F680" s="49">
        <f>E680-D680</f>
        <v>0</v>
      </c>
      <c r="G680" s="50">
        <f>IF(D680=0,0,ABS(F680/D680))</f>
        <v>0</v>
      </c>
      <c r="H680" s="49">
        <v>0</v>
      </c>
      <c r="I680" s="49">
        <v>0</v>
      </c>
      <c r="J680" s="51" t="str">
        <f>IF(H680=0,"No plan at start",I680/H680)</f>
        <v>No plan at start</v>
      </c>
      <c r="K680" s="52">
        <f>H680-I680</f>
        <v>0</v>
      </c>
      <c r="L680" s="49">
        <v>0</v>
      </c>
      <c r="M680" s="49">
        <f>I680+L680</f>
        <v>0</v>
      </c>
      <c r="N680" s="49">
        <f>M680-H680</f>
        <v>0</v>
      </c>
      <c r="O680" s="50" t="str">
        <f>IF(H680=0,"No plan at start",M680/H680)</f>
        <v>No plan at start</v>
      </c>
    </row>
    <row r="681" spans="2:15" hidden="1" outlineLevel="2" x14ac:dyDescent="0.2">
      <c r="B681" s="49" t="s">
        <v>73</v>
      </c>
      <c r="C681" s="49" t="s">
        <v>61</v>
      </c>
      <c r="D681" s="49">
        <v>0</v>
      </c>
      <c r="E681" s="49">
        <v>0</v>
      </c>
      <c r="F681" s="49">
        <f>E681-D681</f>
        <v>0</v>
      </c>
      <c r="G681" s="50">
        <f>IF(D681=0,0,ABS(F681/D681))</f>
        <v>0</v>
      </c>
      <c r="H681" s="49">
        <v>0</v>
      </c>
      <c r="I681" s="49">
        <v>0</v>
      </c>
      <c r="J681" s="51" t="str">
        <f>IF(H681=0,"No plan at start",I681/H681)</f>
        <v>No plan at start</v>
      </c>
      <c r="K681" s="52">
        <f>H681-I681</f>
        <v>0</v>
      </c>
      <c r="L681" s="49">
        <v>0</v>
      </c>
      <c r="M681" s="49">
        <f>I681+L681</f>
        <v>0</v>
      </c>
      <c r="N681" s="49">
        <f>M681-H681</f>
        <v>0</v>
      </c>
      <c r="O681" s="50" t="str">
        <f>IF(H681=0,"No plan at start",M681/H681)</f>
        <v>No plan at start</v>
      </c>
    </row>
    <row r="682" spans="2:15" hidden="1" outlineLevel="2" x14ac:dyDescent="0.2">
      <c r="B682" s="49" t="s">
        <v>73</v>
      </c>
      <c r="C682" s="49" t="s">
        <v>62</v>
      </c>
      <c r="D682" s="49">
        <v>0</v>
      </c>
      <c r="E682" s="49">
        <v>0</v>
      </c>
      <c r="F682" s="49">
        <f>E682-D682</f>
        <v>0</v>
      </c>
      <c r="G682" s="50">
        <f>IF(D682=0,0,ABS(F682/D682))</f>
        <v>0</v>
      </c>
      <c r="H682" s="49">
        <v>0</v>
      </c>
      <c r="I682" s="49">
        <v>0</v>
      </c>
      <c r="J682" s="51" t="str">
        <f>IF(H682=0,"No plan at start",I682/H682)</f>
        <v>No plan at start</v>
      </c>
      <c r="K682" s="52">
        <f>H682-I682</f>
        <v>0</v>
      </c>
      <c r="L682" s="49">
        <v>0</v>
      </c>
      <c r="M682" s="49">
        <f>I682+L682</f>
        <v>0</v>
      </c>
      <c r="N682" s="49">
        <f>M682-H682</f>
        <v>0</v>
      </c>
      <c r="O682" s="50" t="str">
        <f>IF(H682=0,"No plan at start",M682/H682)</f>
        <v>No plan at start</v>
      </c>
    </row>
    <row r="683" spans="2:15" outlineLevel="1" collapsed="1" x14ac:dyDescent="0.2">
      <c r="B683" s="56" t="s">
        <v>112</v>
      </c>
      <c r="C683" s="49"/>
      <c r="D683" s="49">
        <f>SUBTOTAL(9,D671:D682)</f>
        <v>0</v>
      </c>
      <c r="E683" s="49">
        <f>SUBTOTAL(9,E671:E682)</f>
        <v>0</v>
      </c>
      <c r="F683" s="49">
        <f>SUBTOTAL(9,F671:F682)</f>
        <v>0</v>
      </c>
      <c r="G683" s="50">
        <f>IF(D683=0,0,ABS(F683/D683))</f>
        <v>0</v>
      </c>
      <c r="H683" s="49">
        <f>SUBTOTAL(9,H671:H682)</f>
        <v>31161.600000000006</v>
      </c>
      <c r="I683" s="49">
        <f>SUBTOTAL(9,I671:I682)</f>
        <v>2606.5</v>
      </c>
      <c r="J683" s="51">
        <f>IF(H683=0,"No plan at start",I683/H683)</f>
        <v>8.3644613883754354E-2</v>
      </c>
      <c r="K683" s="52">
        <f>SUBTOTAL(9,K671:K682)</f>
        <v>28555.100000000006</v>
      </c>
      <c r="L683" s="49">
        <f>SUBTOTAL(9,L671:L682)</f>
        <v>0</v>
      </c>
      <c r="M683" s="49">
        <f>SUBTOTAL(9,M671:M682)</f>
        <v>2606.5</v>
      </c>
      <c r="N683" s="49">
        <f>SUBTOTAL(9,N671:N682)</f>
        <v>-28555.100000000006</v>
      </c>
      <c r="O683" s="50">
        <f>IF(H683=0,"No plan at start",M683/H683)</f>
        <v>8.3644613883754354E-2</v>
      </c>
    </row>
    <row r="684" spans="2:15" hidden="1" outlineLevel="2" x14ac:dyDescent="0.2">
      <c r="B684" s="49" t="s">
        <v>74</v>
      </c>
      <c r="C684" s="49" t="s">
        <v>52</v>
      </c>
      <c r="D684" s="49">
        <v>0</v>
      </c>
      <c r="E684" s="49">
        <v>0</v>
      </c>
      <c r="F684" s="49">
        <f>E684-D684</f>
        <v>0</v>
      </c>
      <c r="G684" s="50">
        <f>IF(D684=0,0,ABS(F684/D684))</f>
        <v>0</v>
      </c>
      <c r="H684" s="49">
        <v>0</v>
      </c>
      <c r="I684" s="49">
        <v>0</v>
      </c>
      <c r="J684" s="51" t="str">
        <f>IF(H684=0,"No plan at start",I684/H684)</f>
        <v>No plan at start</v>
      </c>
      <c r="K684" s="52">
        <f>H684-I684</f>
        <v>0</v>
      </c>
      <c r="L684" s="49">
        <v>0</v>
      </c>
      <c r="M684" s="49">
        <f>I684+L684</f>
        <v>0</v>
      </c>
      <c r="N684" s="49">
        <f>M684-H684</f>
        <v>0</v>
      </c>
      <c r="O684" s="50" t="str">
        <f>IF(H684=0,"No plan at start",M684/H684)</f>
        <v>No plan at start</v>
      </c>
    </row>
    <row r="685" spans="2:15" hidden="1" outlineLevel="2" x14ac:dyDescent="0.2">
      <c r="B685" s="49" t="s">
        <v>74</v>
      </c>
      <c r="C685" s="49" t="s">
        <v>53</v>
      </c>
      <c r="D685" s="49">
        <v>0</v>
      </c>
      <c r="E685" s="49">
        <v>0</v>
      </c>
      <c r="F685" s="49">
        <f>E685-D685</f>
        <v>0</v>
      </c>
      <c r="G685" s="50">
        <f>IF(D685=0,0,ABS(F685/D685))</f>
        <v>0</v>
      </c>
      <c r="H685" s="49">
        <v>0</v>
      </c>
      <c r="I685" s="49">
        <v>0</v>
      </c>
      <c r="J685" s="51" t="str">
        <f>IF(H685=0,"No plan at start",I685/H685)</f>
        <v>No plan at start</v>
      </c>
      <c r="K685" s="52">
        <f>H685-I685</f>
        <v>0</v>
      </c>
      <c r="L685" s="49">
        <v>0</v>
      </c>
      <c r="M685" s="49">
        <f>I685+L685</f>
        <v>0</v>
      </c>
      <c r="N685" s="49">
        <f>M685-H685</f>
        <v>0</v>
      </c>
      <c r="O685" s="50" t="str">
        <f>IF(H685=0,"No plan at start",M685/H685)</f>
        <v>No plan at start</v>
      </c>
    </row>
    <row r="686" spans="2:15" hidden="1" outlineLevel="2" x14ac:dyDescent="0.2">
      <c r="B686" s="49" t="s">
        <v>74</v>
      </c>
      <c r="C686" s="49" t="s">
        <v>54</v>
      </c>
      <c r="D686" s="49">
        <v>0</v>
      </c>
      <c r="E686" s="49">
        <v>0</v>
      </c>
      <c r="F686" s="49">
        <f>E686-D686</f>
        <v>0</v>
      </c>
      <c r="G686" s="50">
        <f>IF(D686=0,0,ABS(F686/D686))</f>
        <v>0</v>
      </c>
      <c r="H686" s="49">
        <v>0</v>
      </c>
      <c r="I686" s="49">
        <v>0</v>
      </c>
      <c r="J686" s="51" t="str">
        <f>IF(H686=0,"No plan at start",I686/H686)</f>
        <v>No plan at start</v>
      </c>
      <c r="K686" s="52">
        <f>H686-I686</f>
        <v>0</v>
      </c>
      <c r="L686" s="49">
        <v>0</v>
      </c>
      <c r="M686" s="49">
        <f>I686+L686</f>
        <v>0</v>
      </c>
      <c r="N686" s="49">
        <f>M686-H686</f>
        <v>0</v>
      </c>
      <c r="O686" s="50" t="str">
        <f>IF(H686=0,"No plan at start",M686/H686)</f>
        <v>No plan at start</v>
      </c>
    </row>
    <row r="687" spans="2:15" hidden="1" outlineLevel="2" x14ac:dyDescent="0.2">
      <c r="B687" s="49" t="s">
        <v>74</v>
      </c>
      <c r="C687" s="49" t="s">
        <v>55</v>
      </c>
      <c r="D687" s="49">
        <v>0</v>
      </c>
      <c r="E687" s="49">
        <v>0</v>
      </c>
      <c r="F687" s="49">
        <f>E687-D687</f>
        <v>0</v>
      </c>
      <c r="G687" s="50">
        <f>IF(D687=0,0,ABS(F687/D687))</f>
        <v>0</v>
      </c>
      <c r="H687" s="49">
        <v>0</v>
      </c>
      <c r="I687" s="49">
        <v>0</v>
      </c>
      <c r="J687" s="51" t="str">
        <f>IF(H687=0,"No plan at start",I687/H687)</f>
        <v>No plan at start</v>
      </c>
      <c r="K687" s="52">
        <f>H687-I687</f>
        <v>0</v>
      </c>
      <c r="L687" s="49">
        <v>0</v>
      </c>
      <c r="M687" s="49">
        <f>I687+L687</f>
        <v>0</v>
      </c>
      <c r="N687" s="49">
        <f>M687-H687</f>
        <v>0</v>
      </c>
      <c r="O687" s="50" t="str">
        <f>IF(H687=0,"No plan at start",M687/H687)</f>
        <v>No plan at start</v>
      </c>
    </row>
    <row r="688" spans="2:15" hidden="1" outlineLevel="2" x14ac:dyDescent="0.2">
      <c r="B688" s="49" t="s">
        <v>74</v>
      </c>
      <c r="C688" s="49" t="s">
        <v>56</v>
      </c>
      <c r="D688" s="49">
        <v>0</v>
      </c>
      <c r="E688" s="49">
        <v>0</v>
      </c>
      <c r="F688" s="49">
        <f>E688-D688</f>
        <v>0</v>
      </c>
      <c r="G688" s="50">
        <f>IF(D688=0,0,ABS(F688/D688))</f>
        <v>0</v>
      </c>
      <c r="H688" s="49">
        <v>0</v>
      </c>
      <c r="I688" s="49">
        <v>0</v>
      </c>
      <c r="J688" s="51" t="str">
        <f>IF(H688=0,"No plan at start",I688/H688)</f>
        <v>No plan at start</v>
      </c>
      <c r="K688" s="52">
        <f>H688-I688</f>
        <v>0</v>
      </c>
      <c r="L688" s="49">
        <v>0</v>
      </c>
      <c r="M688" s="49">
        <f>I688+L688</f>
        <v>0</v>
      </c>
      <c r="N688" s="49">
        <f>M688-H688</f>
        <v>0</v>
      </c>
      <c r="O688" s="50" t="str">
        <f>IF(H688=0,"No plan at start",M688/H688)</f>
        <v>No plan at start</v>
      </c>
    </row>
    <row r="689" spans="2:15" hidden="1" outlineLevel="2" x14ac:dyDescent="0.2">
      <c r="B689" s="49" t="s">
        <v>74</v>
      </c>
      <c r="C689" s="49" t="s">
        <v>57</v>
      </c>
      <c r="D689" s="49">
        <v>0</v>
      </c>
      <c r="E689" s="49">
        <v>0</v>
      </c>
      <c r="F689" s="49">
        <f>E689-D689</f>
        <v>0</v>
      </c>
      <c r="G689" s="50">
        <f>IF(D689=0,0,ABS(F689/D689))</f>
        <v>0</v>
      </c>
      <c r="H689" s="49">
        <v>0</v>
      </c>
      <c r="I689" s="49">
        <v>0</v>
      </c>
      <c r="J689" s="51" t="str">
        <f>IF(H689=0,"No plan at start",I689/H689)</f>
        <v>No plan at start</v>
      </c>
      <c r="K689" s="52">
        <f>H689-I689</f>
        <v>0</v>
      </c>
      <c r="L689" s="49">
        <v>0</v>
      </c>
      <c r="M689" s="49">
        <f>I689+L689</f>
        <v>0</v>
      </c>
      <c r="N689" s="49">
        <f>M689-H689</f>
        <v>0</v>
      </c>
      <c r="O689" s="50" t="str">
        <f>IF(H689=0,"No plan at start",M689/H689)</f>
        <v>No plan at start</v>
      </c>
    </row>
    <row r="690" spans="2:15" hidden="1" outlineLevel="2" x14ac:dyDescent="0.2">
      <c r="B690" s="49" t="s">
        <v>74</v>
      </c>
      <c r="C690" s="49" t="s">
        <v>48</v>
      </c>
      <c r="D690" s="49">
        <v>0</v>
      </c>
      <c r="E690" s="49">
        <v>0</v>
      </c>
      <c r="F690" s="49">
        <f>E690-D690</f>
        <v>0</v>
      </c>
      <c r="G690" s="50">
        <f>IF(D690=0,0,ABS(F690/D690))</f>
        <v>0</v>
      </c>
      <c r="H690" s="49">
        <v>0</v>
      </c>
      <c r="I690" s="49">
        <v>0</v>
      </c>
      <c r="J690" s="51" t="str">
        <f>IF(H690=0,"No plan at start",I690/H690)</f>
        <v>No plan at start</v>
      </c>
      <c r="K690" s="52">
        <f>H690-I690</f>
        <v>0</v>
      </c>
      <c r="L690" s="49">
        <v>0</v>
      </c>
      <c r="M690" s="49">
        <f>I690+L690</f>
        <v>0</v>
      </c>
      <c r="N690" s="49">
        <f>M690-H690</f>
        <v>0</v>
      </c>
      <c r="O690" s="50" t="str">
        <f>IF(H690=0,"No plan at start",M690/H690)</f>
        <v>No plan at start</v>
      </c>
    </row>
    <row r="691" spans="2:15" hidden="1" outlineLevel="2" x14ac:dyDescent="0.2">
      <c r="B691" s="49" t="s">
        <v>74</v>
      </c>
      <c r="C691" s="49" t="s">
        <v>58</v>
      </c>
      <c r="D691" s="49">
        <v>0</v>
      </c>
      <c r="E691" s="49">
        <v>0</v>
      </c>
      <c r="F691" s="49">
        <f>E691-D691</f>
        <v>0</v>
      </c>
      <c r="G691" s="50">
        <f>IF(D691=0,0,ABS(F691/D691))</f>
        <v>0</v>
      </c>
      <c r="H691" s="49">
        <v>0</v>
      </c>
      <c r="I691" s="49">
        <v>0</v>
      </c>
      <c r="J691" s="51" t="str">
        <f>IF(H691=0,"No plan at start",I691/H691)</f>
        <v>No plan at start</v>
      </c>
      <c r="K691" s="52">
        <f>H691-I691</f>
        <v>0</v>
      </c>
      <c r="L691" s="49">
        <v>0</v>
      </c>
      <c r="M691" s="49">
        <f>I691+L691</f>
        <v>0</v>
      </c>
      <c r="N691" s="49">
        <f>M691-H691</f>
        <v>0</v>
      </c>
      <c r="O691" s="50" t="str">
        <f>IF(H691=0,"No plan at start",M691/H691)</f>
        <v>No plan at start</v>
      </c>
    </row>
    <row r="692" spans="2:15" hidden="1" outlineLevel="2" x14ac:dyDescent="0.2">
      <c r="B692" s="49" t="s">
        <v>74</v>
      </c>
      <c r="C692" s="49" t="s">
        <v>59</v>
      </c>
      <c r="D692" s="49">
        <v>0</v>
      </c>
      <c r="E692" s="49">
        <v>0</v>
      </c>
      <c r="F692" s="49">
        <f>E692-D692</f>
        <v>0</v>
      </c>
      <c r="G692" s="50">
        <f>IF(D692=0,0,ABS(F692/D692))</f>
        <v>0</v>
      </c>
      <c r="H692" s="49">
        <v>0</v>
      </c>
      <c r="I692" s="49">
        <v>0</v>
      </c>
      <c r="J692" s="51" t="str">
        <f>IF(H692=0,"No plan at start",I692/H692)</f>
        <v>No plan at start</v>
      </c>
      <c r="K692" s="52">
        <f>H692-I692</f>
        <v>0</v>
      </c>
      <c r="L692" s="49">
        <v>0</v>
      </c>
      <c r="M692" s="49">
        <f>I692+L692</f>
        <v>0</v>
      </c>
      <c r="N692" s="49">
        <f>M692-H692</f>
        <v>0</v>
      </c>
      <c r="O692" s="50" t="str">
        <f>IF(H692=0,"No plan at start",M692/H692)</f>
        <v>No plan at start</v>
      </c>
    </row>
    <row r="693" spans="2:15" hidden="1" outlineLevel="2" x14ac:dyDescent="0.2">
      <c r="B693" s="49" t="s">
        <v>74</v>
      </c>
      <c r="C693" s="49" t="s">
        <v>60</v>
      </c>
      <c r="D693" s="49">
        <v>0</v>
      </c>
      <c r="E693" s="49">
        <v>0</v>
      </c>
      <c r="F693" s="49">
        <f>E693-D693</f>
        <v>0</v>
      </c>
      <c r="G693" s="50">
        <f>IF(D693=0,0,ABS(F693/D693))</f>
        <v>0</v>
      </c>
      <c r="H693" s="49">
        <v>0</v>
      </c>
      <c r="I693" s="49">
        <v>0</v>
      </c>
      <c r="J693" s="51" t="str">
        <f>IF(H693=0,"No plan at start",I693/H693)</f>
        <v>No plan at start</v>
      </c>
      <c r="K693" s="52">
        <f>H693-I693</f>
        <v>0</v>
      </c>
      <c r="L693" s="49">
        <v>0</v>
      </c>
      <c r="M693" s="49">
        <f>I693+L693</f>
        <v>0</v>
      </c>
      <c r="N693" s="49">
        <f>M693-H693</f>
        <v>0</v>
      </c>
      <c r="O693" s="50" t="str">
        <f>IF(H693=0,"No plan at start",M693/H693)</f>
        <v>No plan at start</v>
      </c>
    </row>
    <row r="694" spans="2:15" hidden="1" outlineLevel="2" x14ac:dyDescent="0.2">
      <c r="B694" s="49" t="s">
        <v>74</v>
      </c>
      <c r="C694" s="49" t="s">
        <v>61</v>
      </c>
      <c r="D694" s="49">
        <v>0</v>
      </c>
      <c r="E694" s="49">
        <v>0</v>
      </c>
      <c r="F694" s="49">
        <f>E694-D694</f>
        <v>0</v>
      </c>
      <c r="G694" s="50">
        <f>IF(D694=0,0,ABS(F694/D694))</f>
        <v>0</v>
      </c>
      <c r="H694" s="49">
        <v>0</v>
      </c>
      <c r="I694" s="49">
        <v>0</v>
      </c>
      <c r="J694" s="51" t="str">
        <f>IF(H694=0,"No plan at start",I694/H694)</f>
        <v>No plan at start</v>
      </c>
      <c r="K694" s="52">
        <f>H694-I694</f>
        <v>0</v>
      </c>
      <c r="L694" s="49">
        <v>0</v>
      </c>
      <c r="M694" s="49">
        <f>I694+L694</f>
        <v>0</v>
      </c>
      <c r="N694" s="49">
        <f>M694-H694</f>
        <v>0</v>
      </c>
      <c r="O694" s="50" t="str">
        <f>IF(H694=0,"No plan at start",M694/H694)</f>
        <v>No plan at start</v>
      </c>
    </row>
    <row r="695" spans="2:15" hidden="1" outlineLevel="2" x14ac:dyDescent="0.2">
      <c r="B695" s="49" t="s">
        <v>74</v>
      </c>
      <c r="C695" s="49" t="s">
        <v>62</v>
      </c>
      <c r="D695" s="49">
        <v>0</v>
      </c>
      <c r="E695" s="49">
        <v>0</v>
      </c>
      <c r="F695" s="49">
        <f>E695-D695</f>
        <v>0</v>
      </c>
      <c r="G695" s="50">
        <f>IF(D695=0,0,ABS(F695/D695))</f>
        <v>0</v>
      </c>
      <c r="H695" s="49">
        <v>0</v>
      </c>
      <c r="I695" s="49">
        <v>0</v>
      </c>
      <c r="J695" s="51" t="str">
        <f>IF(H695=0,"No plan at start",I695/H695)</f>
        <v>No plan at start</v>
      </c>
      <c r="K695" s="52">
        <f>H695-I695</f>
        <v>0</v>
      </c>
      <c r="L695" s="49">
        <v>0</v>
      </c>
      <c r="M695" s="49">
        <f>I695+L695</f>
        <v>0</v>
      </c>
      <c r="N695" s="49">
        <f>M695-H695</f>
        <v>0</v>
      </c>
      <c r="O695" s="50" t="str">
        <f>IF(H695=0,"No plan at start",M695/H695)</f>
        <v>No plan at start</v>
      </c>
    </row>
    <row r="696" spans="2:15" outlineLevel="1" collapsed="1" x14ac:dyDescent="0.2">
      <c r="B696" s="56" t="s">
        <v>113</v>
      </c>
      <c r="C696" s="49"/>
      <c r="D696" s="49">
        <f>SUBTOTAL(9,D684:D695)</f>
        <v>0</v>
      </c>
      <c r="E696" s="49">
        <f>SUBTOTAL(9,E684:E695)</f>
        <v>0</v>
      </c>
      <c r="F696" s="49">
        <f>SUBTOTAL(9,F684:F695)</f>
        <v>0</v>
      </c>
      <c r="G696" s="50">
        <f>IF(D696=0,0,ABS(F696/D696))</f>
        <v>0</v>
      </c>
      <c r="H696" s="49">
        <f>SUBTOTAL(9,H684:H695)</f>
        <v>0</v>
      </c>
      <c r="I696" s="49">
        <f>SUBTOTAL(9,I684:I695)</f>
        <v>0</v>
      </c>
      <c r="J696" s="51" t="str">
        <f>IF(H696=0,"No plan at start",I696/H696)</f>
        <v>No plan at start</v>
      </c>
      <c r="K696" s="52">
        <f>SUBTOTAL(9,K684:K695)</f>
        <v>0</v>
      </c>
      <c r="L696" s="49">
        <f>SUBTOTAL(9,L684:L695)</f>
        <v>0</v>
      </c>
      <c r="M696" s="49">
        <f>SUBTOTAL(9,M684:M695)</f>
        <v>0</v>
      </c>
      <c r="N696" s="49">
        <f>SUBTOTAL(9,N684:N695)</f>
        <v>0</v>
      </c>
      <c r="O696" s="50" t="str">
        <f>IF(H696=0,"No plan at start",M696/H696)</f>
        <v>No plan at start</v>
      </c>
    </row>
    <row r="697" spans="2:15" hidden="1" outlineLevel="2" x14ac:dyDescent="0.2">
      <c r="B697" s="49" t="s">
        <v>75</v>
      </c>
      <c r="C697" s="49" t="s">
        <v>52</v>
      </c>
      <c r="D697" s="49">
        <v>0</v>
      </c>
      <c r="E697" s="49">
        <v>0</v>
      </c>
      <c r="F697" s="49">
        <f>E697-D697</f>
        <v>0</v>
      </c>
      <c r="G697" s="50">
        <f>IF(D697=0,0,ABS(F697/D697))</f>
        <v>0</v>
      </c>
      <c r="H697" s="49">
        <v>0</v>
      </c>
      <c r="I697" s="49">
        <v>2158</v>
      </c>
      <c r="J697" s="51" t="str">
        <f>IF(H697=0,"No plan at start",I697/H697)</f>
        <v>No plan at start</v>
      </c>
      <c r="K697" s="52">
        <f>H697-I697</f>
        <v>-2158</v>
      </c>
      <c r="L697" s="49">
        <v>0</v>
      </c>
      <c r="M697" s="49">
        <f>I697+L697</f>
        <v>2158</v>
      </c>
      <c r="N697" s="49">
        <f>M697-H697</f>
        <v>2158</v>
      </c>
      <c r="O697" s="50" t="str">
        <f>IF(H697=0,"No plan at start",M697/H697)</f>
        <v>No plan at start</v>
      </c>
    </row>
    <row r="698" spans="2:15" hidden="1" outlineLevel="2" x14ac:dyDescent="0.2">
      <c r="B698" s="49" t="s">
        <v>75</v>
      </c>
      <c r="C698" s="49" t="s">
        <v>53</v>
      </c>
      <c r="D698" s="49">
        <v>0</v>
      </c>
      <c r="E698" s="49">
        <v>0</v>
      </c>
      <c r="F698" s="49">
        <f>E698-D698</f>
        <v>0</v>
      </c>
      <c r="G698" s="50">
        <f>IF(D698=0,0,ABS(F698/D698))</f>
        <v>0</v>
      </c>
      <c r="H698" s="49">
        <v>24948.720000000001</v>
      </c>
      <c r="I698" s="49">
        <v>8112</v>
      </c>
      <c r="J698" s="51">
        <f>IF(H698=0,"No plan at start",I698/H698)</f>
        <v>0.32514694140621242</v>
      </c>
      <c r="K698" s="52">
        <f>H698-I698</f>
        <v>16836.72</v>
      </c>
      <c r="L698" s="49">
        <v>0</v>
      </c>
      <c r="M698" s="49">
        <f>I698+L698</f>
        <v>8112</v>
      </c>
      <c r="N698" s="49">
        <f>M698-H698</f>
        <v>-16836.72</v>
      </c>
      <c r="O698" s="50">
        <f>IF(H698=0,"No plan at start",M698/H698)</f>
        <v>0.32514694140621242</v>
      </c>
    </row>
    <row r="699" spans="2:15" hidden="1" outlineLevel="2" x14ac:dyDescent="0.2">
      <c r="B699" s="49" t="s">
        <v>75</v>
      </c>
      <c r="C699" s="49" t="s">
        <v>54</v>
      </c>
      <c r="D699" s="49">
        <v>0</v>
      </c>
      <c r="E699" s="49">
        <v>0</v>
      </c>
      <c r="F699" s="49">
        <f>E699-D699</f>
        <v>0</v>
      </c>
      <c r="G699" s="50">
        <f>IF(D699=0,0,ABS(F699/D699))</f>
        <v>0</v>
      </c>
      <c r="H699" s="49">
        <v>0</v>
      </c>
      <c r="I699" s="49">
        <v>648.44000000000005</v>
      </c>
      <c r="J699" s="51" t="str">
        <f>IF(H699=0,"No plan at start",I699/H699)</f>
        <v>No plan at start</v>
      </c>
      <c r="K699" s="52">
        <f>H699-I699</f>
        <v>-648.44000000000005</v>
      </c>
      <c r="L699" s="49">
        <v>0</v>
      </c>
      <c r="M699" s="49">
        <f>I699+L699</f>
        <v>648.44000000000005</v>
      </c>
      <c r="N699" s="49">
        <f>M699-H699</f>
        <v>648.44000000000005</v>
      </c>
      <c r="O699" s="50" t="str">
        <f>IF(H699=0,"No plan at start",M699/H699)</f>
        <v>No plan at start</v>
      </c>
    </row>
    <row r="700" spans="2:15" hidden="1" outlineLevel="2" x14ac:dyDescent="0.2">
      <c r="B700" s="49" t="s">
        <v>75</v>
      </c>
      <c r="C700" s="49" t="s">
        <v>55</v>
      </c>
      <c r="D700" s="49">
        <v>0</v>
      </c>
      <c r="E700" s="49">
        <v>0</v>
      </c>
      <c r="F700" s="49">
        <f>E700-D700</f>
        <v>0</v>
      </c>
      <c r="G700" s="50">
        <f>IF(D700=0,0,ABS(F700/D700))</f>
        <v>0</v>
      </c>
      <c r="H700" s="49">
        <v>0</v>
      </c>
      <c r="I700" s="49">
        <v>9821.5</v>
      </c>
      <c r="J700" s="51" t="str">
        <f>IF(H700=0,"No plan at start",I700/H700)</f>
        <v>No plan at start</v>
      </c>
      <c r="K700" s="52">
        <f>H700-I700</f>
        <v>-9821.5</v>
      </c>
      <c r="L700" s="49">
        <v>0</v>
      </c>
      <c r="M700" s="49">
        <f>I700+L700</f>
        <v>9821.5</v>
      </c>
      <c r="N700" s="49">
        <f>M700-H700</f>
        <v>9821.5</v>
      </c>
      <c r="O700" s="50" t="str">
        <f>IF(H700=0,"No plan at start",M700/H700)</f>
        <v>No plan at start</v>
      </c>
    </row>
    <row r="701" spans="2:15" hidden="1" outlineLevel="2" x14ac:dyDescent="0.2">
      <c r="B701" s="49" t="s">
        <v>75</v>
      </c>
      <c r="C701" s="49" t="s">
        <v>56</v>
      </c>
      <c r="D701" s="49">
        <v>0</v>
      </c>
      <c r="E701" s="49">
        <v>0</v>
      </c>
      <c r="F701" s="49">
        <f>E701-D701</f>
        <v>0</v>
      </c>
      <c r="G701" s="50">
        <f>IF(D701=0,0,ABS(F701/D701))</f>
        <v>0</v>
      </c>
      <c r="H701" s="49">
        <v>0</v>
      </c>
      <c r="I701" s="49">
        <v>0</v>
      </c>
      <c r="J701" s="51" t="str">
        <f>IF(H701=0,"No plan at start",I701/H701)</f>
        <v>No plan at start</v>
      </c>
      <c r="K701" s="52">
        <f>H701-I701</f>
        <v>0</v>
      </c>
      <c r="L701" s="49">
        <v>0</v>
      </c>
      <c r="M701" s="49">
        <f>I701+L701</f>
        <v>0</v>
      </c>
      <c r="N701" s="49">
        <f>M701-H701</f>
        <v>0</v>
      </c>
      <c r="O701" s="50" t="str">
        <f>IF(H701=0,"No plan at start",M701/H701)</f>
        <v>No plan at start</v>
      </c>
    </row>
    <row r="702" spans="2:15" hidden="1" outlineLevel="2" x14ac:dyDescent="0.2">
      <c r="B702" s="49" t="s">
        <v>75</v>
      </c>
      <c r="C702" s="49" t="s">
        <v>57</v>
      </c>
      <c r="D702" s="49">
        <v>0</v>
      </c>
      <c r="E702" s="49">
        <v>0</v>
      </c>
      <c r="F702" s="49">
        <f>E702-D702</f>
        <v>0</v>
      </c>
      <c r="G702" s="50">
        <f>IF(D702=0,0,ABS(F702/D702))</f>
        <v>0</v>
      </c>
      <c r="H702" s="49">
        <v>0</v>
      </c>
      <c r="I702" s="49">
        <v>0</v>
      </c>
      <c r="J702" s="51" t="str">
        <f>IF(H702=0,"No plan at start",I702/H702)</f>
        <v>No plan at start</v>
      </c>
      <c r="K702" s="52">
        <f>H702-I702</f>
        <v>0</v>
      </c>
      <c r="L702" s="49">
        <v>0</v>
      </c>
      <c r="M702" s="49">
        <f>I702+L702</f>
        <v>0</v>
      </c>
      <c r="N702" s="49">
        <f>M702-H702</f>
        <v>0</v>
      </c>
      <c r="O702" s="50" t="str">
        <f>IF(H702=0,"No plan at start",M702/H702)</f>
        <v>No plan at start</v>
      </c>
    </row>
    <row r="703" spans="2:15" hidden="1" outlineLevel="2" x14ac:dyDescent="0.2">
      <c r="B703" s="49" t="s">
        <v>75</v>
      </c>
      <c r="C703" s="49" t="s">
        <v>48</v>
      </c>
      <c r="D703" s="49">
        <v>0</v>
      </c>
      <c r="E703" s="49">
        <v>0</v>
      </c>
      <c r="F703" s="49">
        <f>E703-D703</f>
        <v>0</v>
      </c>
      <c r="G703" s="50">
        <f>IF(D703=0,0,ABS(F703/D703))</f>
        <v>0</v>
      </c>
      <c r="H703" s="49">
        <v>0</v>
      </c>
      <c r="I703" s="49">
        <v>0</v>
      </c>
      <c r="J703" s="51" t="str">
        <f>IF(H703=0,"No plan at start",I703/H703)</f>
        <v>No plan at start</v>
      </c>
      <c r="K703" s="52">
        <f>H703-I703</f>
        <v>0</v>
      </c>
      <c r="L703" s="49">
        <v>0</v>
      </c>
      <c r="M703" s="49">
        <f>I703+L703</f>
        <v>0</v>
      </c>
      <c r="N703" s="49">
        <f>M703-H703</f>
        <v>0</v>
      </c>
      <c r="O703" s="50" t="str">
        <f>IF(H703=0,"No plan at start",M703/H703)</f>
        <v>No plan at start</v>
      </c>
    </row>
    <row r="704" spans="2:15" hidden="1" outlineLevel="2" x14ac:dyDescent="0.2">
      <c r="B704" s="49" t="s">
        <v>75</v>
      </c>
      <c r="C704" s="49" t="s">
        <v>58</v>
      </c>
      <c r="D704" s="49">
        <v>0</v>
      </c>
      <c r="E704" s="49">
        <v>0</v>
      </c>
      <c r="F704" s="49">
        <f>E704-D704</f>
        <v>0</v>
      </c>
      <c r="G704" s="50">
        <f>IF(D704=0,0,ABS(F704/D704))</f>
        <v>0</v>
      </c>
      <c r="H704" s="49">
        <v>0</v>
      </c>
      <c r="I704" s="49">
        <v>0</v>
      </c>
      <c r="J704" s="51" t="str">
        <f>IF(H704=0,"No plan at start",I704/H704)</f>
        <v>No plan at start</v>
      </c>
      <c r="K704" s="52">
        <f>H704-I704</f>
        <v>0</v>
      </c>
      <c r="L704" s="49">
        <v>0</v>
      </c>
      <c r="M704" s="49">
        <f>I704+L704</f>
        <v>0</v>
      </c>
      <c r="N704" s="49">
        <f>M704-H704</f>
        <v>0</v>
      </c>
      <c r="O704" s="50" t="str">
        <f>IF(H704=0,"No plan at start",M704/H704)</f>
        <v>No plan at start</v>
      </c>
    </row>
    <row r="705" spans="2:15" hidden="1" outlineLevel="2" x14ac:dyDescent="0.2">
      <c r="B705" s="49" t="s">
        <v>75</v>
      </c>
      <c r="C705" s="49" t="s">
        <v>59</v>
      </c>
      <c r="D705" s="49">
        <v>0</v>
      </c>
      <c r="E705" s="49">
        <v>0</v>
      </c>
      <c r="F705" s="49">
        <f>E705-D705</f>
        <v>0</v>
      </c>
      <c r="G705" s="50">
        <f>IF(D705=0,0,ABS(F705/D705))</f>
        <v>0</v>
      </c>
      <c r="H705" s="49">
        <v>0</v>
      </c>
      <c r="I705" s="49">
        <v>0</v>
      </c>
      <c r="J705" s="51" t="str">
        <f>IF(H705=0,"No plan at start",I705/H705)</f>
        <v>No plan at start</v>
      </c>
      <c r="K705" s="52">
        <f>H705-I705</f>
        <v>0</v>
      </c>
      <c r="L705" s="49">
        <v>0</v>
      </c>
      <c r="M705" s="49">
        <f>I705+L705</f>
        <v>0</v>
      </c>
      <c r="N705" s="49">
        <f>M705-H705</f>
        <v>0</v>
      </c>
      <c r="O705" s="50" t="str">
        <f>IF(H705=0,"No plan at start",M705/H705)</f>
        <v>No plan at start</v>
      </c>
    </row>
    <row r="706" spans="2:15" hidden="1" outlineLevel="2" x14ac:dyDescent="0.2">
      <c r="B706" s="49" t="s">
        <v>75</v>
      </c>
      <c r="C706" s="49" t="s">
        <v>60</v>
      </c>
      <c r="D706" s="49">
        <v>0</v>
      </c>
      <c r="E706" s="49">
        <v>0</v>
      </c>
      <c r="F706" s="49">
        <f>E706-D706</f>
        <v>0</v>
      </c>
      <c r="G706" s="50">
        <f>IF(D706=0,0,ABS(F706/D706))</f>
        <v>0</v>
      </c>
      <c r="H706" s="49">
        <v>0</v>
      </c>
      <c r="I706" s="49">
        <v>0</v>
      </c>
      <c r="J706" s="51" t="str">
        <f>IF(H706=0,"No plan at start",I706/H706)</f>
        <v>No plan at start</v>
      </c>
      <c r="K706" s="52">
        <f>H706-I706</f>
        <v>0</v>
      </c>
      <c r="L706" s="49">
        <v>0</v>
      </c>
      <c r="M706" s="49">
        <f>I706+L706</f>
        <v>0</v>
      </c>
      <c r="N706" s="49">
        <f>M706-H706</f>
        <v>0</v>
      </c>
      <c r="O706" s="50" t="str">
        <f>IF(H706=0,"No plan at start",M706/H706)</f>
        <v>No plan at start</v>
      </c>
    </row>
    <row r="707" spans="2:15" hidden="1" outlineLevel="2" x14ac:dyDescent="0.2">
      <c r="B707" s="49" t="s">
        <v>75</v>
      </c>
      <c r="C707" s="49" t="s">
        <v>61</v>
      </c>
      <c r="D707" s="49">
        <v>0</v>
      </c>
      <c r="E707" s="49">
        <v>0</v>
      </c>
      <c r="F707" s="49">
        <f>E707-D707</f>
        <v>0</v>
      </c>
      <c r="G707" s="50">
        <f>IF(D707=0,0,ABS(F707/D707))</f>
        <v>0</v>
      </c>
      <c r="H707" s="49">
        <v>0</v>
      </c>
      <c r="I707" s="49">
        <v>0</v>
      </c>
      <c r="J707" s="51" t="str">
        <f>IF(H707=0,"No plan at start",I707/H707)</f>
        <v>No plan at start</v>
      </c>
      <c r="K707" s="52">
        <f>H707-I707</f>
        <v>0</v>
      </c>
      <c r="L707" s="49">
        <v>0</v>
      </c>
      <c r="M707" s="49">
        <f>I707+L707</f>
        <v>0</v>
      </c>
      <c r="N707" s="49">
        <f>M707-H707</f>
        <v>0</v>
      </c>
      <c r="O707" s="50" t="str">
        <f>IF(H707=0,"No plan at start",M707/H707)</f>
        <v>No plan at start</v>
      </c>
    </row>
    <row r="708" spans="2:15" hidden="1" outlineLevel="2" x14ac:dyDescent="0.2">
      <c r="B708" s="49" t="s">
        <v>75</v>
      </c>
      <c r="C708" s="49" t="s">
        <v>62</v>
      </c>
      <c r="D708" s="49">
        <v>0</v>
      </c>
      <c r="E708" s="49">
        <v>0</v>
      </c>
      <c r="F708" s="49">
        <f>E708-D708</f>
        <v>0</v>
      </c>
      <c r="G708" s="50">
        <f>IF(D708=0,0,ABS(F708/D708))</f>
        <v>0</v>
      </c>
      <c r="H708" s="49">
        <v>0</v>
      </c>
      <c r="I708" s="49">
        <v>0</v>
      </c>
      <c r="J708" s="51" t="str">
        <f>IF(H708=0,"No plan at start",I708/H708)</f>
        <v>No plan at start</v>
      </c>
      <c r="K708" s="52">
        <f>H708-I708</f>
        <v>0</v>
      </c>
      <c r="L708" s="49">
        <v>0</v>
      </c>
      <c r="M708" s="49">
        <f>I708+L708</f>
        <v>0</v>
      </c>
      <c r="N708" s="49">
        <f>M708-H708</f>
        <v>0</v>
      </c>
      <c r="O708" s="50" t="str">
        <f>IF(H708=0,"No plan at start",M708/H708)</f>
        <v>No plan at start</v>
      </c>
    </row>
    <row r="709" spans="2:15" outlineLevel="1" collapsed="1" x14ac:dyDescent="0.2">
      <c r="B709" s="56" t="s">
        <v>114</v>
      </c>
      <c r="C709" s="49"/>
      <c r="D709" s="49">
        <f>SUBTOTAL(9,D697:D708)</f>
        <v>0</v>
      </c>
      <c r="E709" s="49">
        <f>SUBTOTAL(9,E697:E708)</f>
        <v>0</v>
      </c>
      <c r="F709" s="49">
        <f>SUBTOTAL(9,F697:F708)</f>
        <v>0</v>
      </c>
      <c r="G709" s="50">
        <f>IF(D709=0,0,ABS(F709/D709))</f>
        <v>0</v>
      </c>
      <c r="H709" s="49">
        <f>SUBTOTAL(9,H697:H708)</f>
        <v>24948.720000000001</v>
      </c>
      <c r="I709" s="49">
        <f>SUBTOTAL(9,I697:I708)</f>
        <v>20739.940000000002</v>
      </c>
      <c r="J709" s="51">
        <f>IF(H709=0,"No plan at start",I709/H709)</f>
        <v>0.83130276823821025</v>
      </c>
      <c r="K709" s="52">
        <f>SUBTOTAL(9,K697:K708)</f>
        <v>4208.7800000000007</v>
      </c>
      <c r="L709" s="49">
        <f>SUBTOTAL(9,L697:L708)</f>
        <v>0</v>
      </c>
      <c r="M709" s="49">
        <f>SUBTOTAL(9,M697:M708)</f>
        <v>20739.940000000002</v>
      </c>
      <c r="N709" s="49">
        <f>SUBTOTAL(9,N697:N708)</f>
        <v>-4208.7800000000007</v>
      </c>
      <c r="O709" s="50">
        <f>IF(H709=0,"No plan at start",M709/H709)</f>
        <v>0.83130276823821025</v>
      </c>
    </row>
    <row r="710" spans="2:15" hidden="1" outlineLevel="2" x14ac:dyDescent="0.2">
      <c r="B710" s="49" t="s">
        <v>76</v>
      </c>
      <c r="C710" s="49" t="s">
        <v>52</v>
      </c>
      <c r="D710" s="49">
        <v>0</v>
      </c>
      <c r="E710" s="49">
        <v>0</v>
      </c>
      <c r="F710" s="49">
        <f>E710-D710</f>
        <v>0</v>
      </c>
      <c r="G710" s="50">
        <f>IF(D710=0,0,ABS(F710/D710))</f>
        <v>0</v>
      </c>
      <c r="H710" s="49">
        <v>0</v>
      </c>
      <c r="I710" s="49">
        <v>0</v>
      </c>
      <c r="J710" s="51" t="str">
        <f>IF(H710=0,"No plan at start",I710/H710)</f>
        <v>No plan at start</v>
      </c>
      <c r="K710" s="52">
        <f>H710-I710</f>
        <v>0</v>
      </c>
      <c r="L710" s="49">
        <v>0</v>
      </c>
      <c r="M710" s="49">
        <f>I710+L710</f>
        <v>0</v>
      </c>
      <c r="N710" s="49">
        <f>M710-H710</f>
        <v>0</v>
      </c>
      <c r="O710" s="50" t="str">
        <f>IF(H710=0,"No plan at start",M710/H710)</f>
        <v>No plan at start</v>
      </c>
    </row>
    <row r="711" spans="2:15" hidden="1" outlineLevel="2" x14ac:dyDescent="0.2">
      <c r="B711" s="49" t="s">
        <v>76</v>
      </c>
      <c r="C711" s="49" t="s">
        <v>53</v>
      </c>
      <c r="D711" s="49">
        <v>0</v>
      </c>
      <c r="E711" s="49">
        <v>0</v>
      </c>
      <c r="F711" s="49">
        <f>E711-D711</f>
        <v>0</v>
      </c>
      <c r="G711" s="50">
        <f>IF(D711=0,0,ABS(F711/D711))</f>
        <v>0</v>
      </c>
      <c r="H711" s="49">
        <v>0</v>
      </c>
      <c r="I711" s="49">
        <v>0</v>
      </c>
      <c r="J711" s="51" t="str">
        <f>IF(H711=0,"No plan at start",I711/H711)</f>
        <v>No plan at start</v>
      </c>
      <c r="K711" s="52">
        <f>H711-I711</f>
        <v>0</v>
      </c>
      <c r="L711" s="49">
        <v>0</v>
      </c>
      <c r="M711" s="49">
        <f>I711+L711</f>
        <v>0</v>
      </c>
      <c r="N711" s="49">
        <f>M711-H711</f>
        <v>0</v>
      </c>
      <c r="O711" s="50" t="str">
        <f>IF(H711=0,"No plan at start",M711/H711)</f>
        <v>No plan at start</v>
      </c>
    </row>
    <row r="712" spans="2:15" hidden="1" outlineLevel="2" x14ac:dyDescent="0.2">
      <c r="B712" s="49" t="s">
        <v>76</v>
      </c>
      <c r="C712" s="49" t="s">
        <v>54</v>
      </c>
      <c r="D712" s="49">
        <v>0</v>
      </c>
      <c r="E712" s="49">
        <v>0</v>
      </c>
      <c r="F712" s="49">
        <f>E712-D712</f>
        <v>0</v>
      </c>
      <c r="G712" s="50">
        <f>IF(D712=0,0,ABS(F712/D712))</f>
        <v>0</v>
      </c>
      <c r="H712" s="49">
        <v>0</v>
      </c>
      <c r="I712" s="49">
        <v>0</v>
      </c>
      <c r="J712" s="51" t="str">
        <f>IF(H712=0,"No plan at start",I712/H712)</f>
        <v>No plan at start</v>
      </c>
      <c r="K712" s="52">
        <f>H712-I712</f>
        <v>0</v>
      </c>
      <c r="L712" s="49">
        <v>0</v>
      </c>
      <c r="M712" s="49">
        <f>I712+L712</f>
        <v>0</v>
      </c>
      <c r="N712" s="49">
        <f>M712-H712</f>
        <v>0</v>
      </c>
      <c r="O712" s="50" t="str">
        <f>IF(H712=0,"No plan at start",M712/H712)</f>
        <v>No plan at start</v>
      </c>
    </row>
    <row r="713" spans="2:15" hidden="1" outlineLevel="2" x14ac:dyDescent="0.2">
      <c r="B713" s="49" t="s">
        <v>76</v>
      </c>
      <c r="C713" s="49" t="s">
        <v>55</v>
      </c>
      <c r="D713" s="49">
        <v>0</v>
      </c>
      <c r="E713" s="49">
        <v>0</v>
      </c>
      <c r="F713" s="49">
        <f>E713-D713</f>
        <v>0</v>
      </c>
      <c r="G713" s="50">
        <f>IF(D713=0,0,ABS(F713/D713))</f>
        <v>0</v>
      </c>
      <c r="H713" s="49">
        <v>0</v>
      </c>
      <c r="I713" s="49">
        <v>0</v>
      </c>
      <c r="J713" s="51" t="str">
        <f>IF(H713=0,"No plan at start",I713/H713)</f>
        <v>No plan at start</v>
      </c>
      <c r="K713" s="52">
        <f>H713-I713</f>
        <v>0</v>
      </c>
      <c r="L713" s="49">
        <v>0</v>
      </c>
      <c r="M713" s="49">
        <f>I713+L713</f>
        <v>0</v>
      </c>
      <c r="N713" s="49">
        <f>M713-H713</f>
        <v>0</v>
      </c>
      <c r="O713" s="50" t="str">
        <f>IF(H713=0,"No plan at start",M713/H713)</f>
        <v>No plan at start</v>
      </c>
    </row>
    <row r="714" spans="2:15" hidden="1" outlineLevel="2" x14ac:dyDescent="0.2">
      <c r="B714" s="49" t="s">
        <v>76</v>
      </c>
      <c r="C714" s="49" t="s">
        <v>56</v>
      </c>
      <c r="D714" s="49">
        <v>0</v>
      </c>
      <c r="E714" s="49">
        <v>0</v>
      </c>
      <c r="F714" s="49">
        <f>E714-D714</f>
        <v>0</v>
      </c>
      <c r="G714" s="50">
        <f>IF(D714=0,0,ABS(F714/D714))</f>
        <v>0</v>
      </c>
      <c r="H714" s="49">
        <v>0</v>
      </c>
      <c r="I714" s="49">
        <v>0</v>
      </c>
      <c r="J714" s="51" t="str">
        <f>IF(H714=0,"No plan at start",I714/H714)</f>
        <v>No plan at start</v>
      </c>
      <c r="K714" s="52">
        <f>H714-I714</f>
        <v>0</v>
      </c>
      <c r="L714" s="49">
        <v>0</v>
      </c>
      <c r="M714" s="49">
        <f>I714+L714</f>
        <v>0</v>
      </c>
      <c r="N714" s="49">
        <f>M714-H714</f>
        <v>0</v>
      </c>
      <c r="O714" s="50" t="str">
        <f>IF(H714=0,"No plan at start",M714/H714)</f>
        <v>No plan at start</v>
      </c>
    </row>
    <row r="715" spans="2:15" hidden="1" outlineLevel="2" x14ac:dyDescent="0.2">
      <c r="B715" s="49" t="s">
        <v>76</v>
      </c>
      <c r="C715" s="49" t="s">
        <v>57</v>
      </c>
      <c r="D715" s="49">
        <v>0</v>
      </c>
      <c r="E715" s="49">
        <v>0</v>
      </c>
      <c r="F715" s="49">
        <f>E715-D715</f>
        <v>0</v>
      </c>
      <c r="G715" s="50">
        <f>IF(D715=0,0,ABS(F715/D715))</f>
        <v>0</v>
      </c>
      <c r="H715" s="49">
        <v>0</v>
      </c>
      <c r="I715" s="49">
        <v>0</v>
      </c>
      <c r="J715" s="51" t="str">
        <f>IF(H715=0,"No plan at start",I715/H715)</f>
        <v>No plan at start</v>
      </c>
      <c r="K715" s="52">
        <f>H715-I715</f>
        <v>0</v>
      </c>
      <c r="L715" s="49">
        <v>0</v>
      </c>
      <c r="M715" s="49">
        <f>I715+L715</f>
        <v>0</v>
      </c>
      <c r="N715" s="49">
        <f>M715-H715</f>
        <v>0</v>
      </c>
      <c r="O715" s="50" t="str">
        <f>IF(H715=0,"No plan at start",M715/H715)</f>
        <v>No plan at start</v>
      </c>
    </row>
    <row r="716" spans="2:15" hidden="1" outlineLevel="2" x14ac:dyDescent="0.2">
      <c r="B716" s="49" t="s">
        <v>76</v>
      </c>
      <c r="C716" s="49" t="s">
        <v>48</v>
      </c>
      <c r="D716" s="49">
        <v>0</v>
      </c>
      <c r="E716" s="49">
        <v>0</v>
      </c>
      <c r="F716" s="49">
        <f>E716-D716</f>
        <v>0</v>
      </c>
      <c r="G716" s="50">
        <f>IF(D716=0,0,ABS(F716/D716))</f>
        <v>0</v>
      </c>
      <c r="H716" s="49">
        <v>0</v>
      </c>
      <c r="I716" s="49">
        <v>0</v>
      </c>
      <c r="J716" s="51" t="str">
        <f>IF(H716=0,"No plan at start",I716/H716)</f>
        <v>No plan at start</v>
      </c>
      <c r="K716" s="52">
        <f>H716-I716</f>
        <v>0</v>
      </c>
      <c r="L716" s="49">
        <v>0</v>
      </c>
      <c r="M716" s="49">
        <f>I716+L716</f>
        <v>0</v>
      </c>
      <c r="N716" s="49">
        <f>M716-H716</f>
        <v>0</v>
      </c>
      <c r="O716" s="50" t="str">
        <f>IF(H716=0,"No plan at start",M716/H716)</f>
        <v>No plan at start</v>
      </c>
    </row>
    <row r="717" spans="2:15" hidden="1" outlineLevel="2" x14ac:dyDescent="0.2">
      <c r="B717" s="49" t="s">
        <v>76</v>
      </c>
      <c r="C717" s="49" t="s">
        <v>58</v>
      </c>
      <c r="D717" s="49">
        <v>0</v>
      </c>
      <c r="E717" s="49">
        <v>0</v>
      </c>
      <c r="F717" s="49">
        <f>E717-D717</f>
        <v>0</v>
      </c>
      <c r="G717" s="50">
        <f>IF(D717=0,0,ABS(F717/D717))</f>
        <v>0</v>
      </c>
      <c r="H717" s="49">
        <v>0</v>
      </c>
      <c r="I717" s="49">
        <v>0</v>
      </c>
      <c r="J717" s="51" t="str">
        <f>IF(H717=0,"No plan at start",I717/H717)</f>
        <v>No plan at start</v>
      </c>
      <c r="K717" s="52">
        <f>H717-I717</f>
        <v>0</v>
      </c>
      <c r="L717" s="49">
        <v>0</v>
      </c>
      <c r="M717" s="49">
        <f>I717+L717</f>
        <v>0</v>
      </c>
      <c r="N717" s="49">
        <f>M717-H717</f>
        <v>0</v>
      </c>
      <c r="O717" s="50" t="str">
        <f>IF(H717=0,"No plan at start",M717/H717)</f>
        <v>No plan at start</v>
      </c>
    </row>
    <row r="718" spans="2:15" hidden="1" outlineLevel="2" x14ac:dyDescent="0.2">
      <c r="B718" s="49" t="s">
        <v>76</v>
      </c>
      <c r="C718" s="49" t="s">
        <v>59</v>
      </c>
      <c r="D718" s="49">
        <v>0</v>
      </c>
      <c r="E718" s="49">
        <v>0</v>
      </c>
      <c r="F718" s="49">
        <f>E718-D718</f>
        <v>0</v>
      </c>
      <c r="G718" s="50">
        <f>IF(D718=0,0,ABS(F718/D718))</f>
        <v>0</v>
      </c>
      <c r="H718" s="49">
        <v>0</v>
      </c>
      <c r="I718" s="49">
        <v>0</v>
      </c>
      <c r="J718" s="51" t="str">
        <f>IF(H718=0,"No plan at start",I718/H718)</f>
        <v>No plan at start</v>
      </c>
      <c r="K718" s="52">
        <f>H718-I718</f>
        <v>0</v>
      </c>
      <c r="L718" s="49">
        <v>0</v>
      </c>
      <c r="M718" s="49">
        <f>I718+L718</f>
        <v>0</v>
      </c>
      <c r="N718" s="49">
        <f>M718-H718</f>
        <v>0</v>
      </c>
      <c r="O718" s="50" t="str">
        <f>IF(H718=0,"No plan at start",M718/H718)</f>
        <v>No plan at start</v>
      </c>
    </row>
    <row r="719" spans="2:15" hidden="1" outlineLevel="2" x14ac:dyDescent="0.2">
      <c r="B719" s="49" t="s">
        <v>76</v>
      </c>
      <c r="C719" s="49" t="s">
        <v>60</v>
      </c>
      <c r="D719" s="49">
        <v>0</v>
      </c>
      <c r="E719" s="49">
        <v>0</v>
      </c>
      <c r="F719" s="49">
        <f>E719-D719</f>
        <v>0</v>
      </c>
      <c r="G719" s="50">
        <f>IF(D719=0,0,ABS(F719/D719))</f>
        <v>0</v>
      </c>
      <c r="H719" s="49">
        <v>0</v>
      </c>
      <c r="I719" s="49">
        <v>0</v>
      </c>
      <c r="J719" s="51" t="str">
        <f>IF(H719=0,"No plan at start",I719/H719)</f>
        <v>No plan at start</v>
      </c>
      <c r="K719" s="52">
        <f>H719-I719</f>
        <v>0</v>
      </c>
      <c r="L719" s="49">
        <v>0</v>
      </c>
      <c r="M719" s="49">
        <f>I719+L719</f>
        <v>0</v>
      </c>
      <c r="N719" s="49">
        <f>M719-H719</f>
        <v>0</v>
      </c>
      <c r="O719" s="50" t="str">
        <f>IF(H719=0,"No plan at start",M719/H719)</f>
        <v>No plan at start</v>
      </c>
    </row>
    <row r="720" spans="2:15" hidden="1" outlineLevel="2" x14ac:dyDescent="0.2">
      <c r="B720" s="49" t="s">
        <v>76</v>
      </c>
      <c r="C720" s="49" t="s">
        <v>61</v>
      </c>
      <c r="D720" s="49">
        <v>0</v>
      </c>
      <c r="E720" s="49">
        <v>0</v>
      </c>
      <c r="F720" s="49">
        <f>E720-D720</f>
        <v>0</v>
      </c>
      <c r="G720" s="50">
        <f>IF(D720=0,0,ABS(F720/D720))</f>
        <v>0</v>
      </c>
      <c r="H720" s="49">
        <v>0</v>
      </c>
      <c r="I720" s="49">
        <v>0</v>
      </c>
      <c r="J720" s="51" t="str">
        <f>IF(H720=0,"No plan at start",I720/H720)</f>
        <v>No plan at start</v>
      </c>
      <c r="K720" s="52">
        <f>H720-I720</f>
        <v>0</v>
      </c>
      <c r="L720" s="49">
        <v>0</v>
      </c>
      <c r="M720" s="49">
        <f>I720+L720</f>
        <v>0</v>
      </c>
      <c r="N720" s="49">
        <f>M720-H720</f>
        <v>0</v>
      </c>
      <c r="O720" s="50" t="str">
        <f>IF(H720=0,"No plan at start",M720/H720)</f>
        <v>No plan at start</v>
      </c>
    </row>
    <row r="721" spans="2:15" hidden="1" outlineLevel="2" x14ac:dyDescent="0.2">
      <c r="B721" s="49" t="s">
        <v>76</v>
      </c>
      <c r="C721" s="49" t="s">
        <v>62</v>
      </c>
      <c r="D721" s="49">
        <v>0</v>
      </c>
      <c r="E721" s="49">
        <v>0</v>
      </c>
      <c r="F721" s="49">
        <f>E721-D721</f>
        <v>0</v>
      </c>
      <c r="G721" s="50">
        <f>IF(D721=0,0,ABS(F721/D721))</f>
        <v>0</v>
      </c>
      <c r="H721" s="49">
        <v>0</v>
      </c>
      <c r="I721" s="49">
        <v>0</v>
      </c>
      <c r="J721" s="51" t="str">
        <f>IF(H721=0,"No plan at start",I721/H721)</f>
        <v>No plan at start</v>
      </c>
      <c r="K721" s="52">
        <f>H721-I721</f>
        <v>0</v>
      </c>
      <c r="L721" s="49">
        <v>0</v>
      </c>
      <c r="M721" s="49">
        <f>I721+L721</f>
        <v>0</v>
      </c>
      <c r="N721" s="49">
        <f>M721-H721</f>
        <v>0</v>
      </c>
      <c r="O721" s="50" t="str">
        <f>IF(H721=0,"No plan at start",M721/H721)</f>
        <v>No plan at start</v>
      </c>
    </row>
    <row r="722" spans="2:15" outlineLevel="1" collapsed="1" x14ac:dyDescent="0.2">
      <c r="B722" s="56" t="s">
        <v>115</v>
      </c>
      <c r="C722" s="49"/>
      <c r="D722" s="49">
        <f>SUBTOTAL(9,D710:D721)</f>
        <v>0</v>
      </c>
      <c r="E722" s="49">
        <f>SUBTOTAL(9,E710:E721)</f>
        <v>0</v>
      </c>
      <c r="F722" s="49">
        <f>SUBTOTAL(9,F710:F721)</f>
        <v>0</v>
      </c>
      <c r="G722" s="50">
        <f>IF(D722=0,0,ABS(F722/D722))</f>
        <v>0</v>
      </c>
      <c r="H722" s="49">
        <f>SUBTOTAL(9,H710:H721)</f>
        <v>0</v>
      </c>
      <c r="I722" s="49">
        <f>SUBTOTAL(9,I710:I721)</f>
        <v>0</v>
      </c>
      <c r="J722" s="51" t="str">
        <f>IF(H722=0,"No plan at start",I722/H722)</f>
        <v>No plan at start</v>
      </c>
      <c r="K722" s="52">
        <f>SUBTOTAL(9,K710:K721)</f>
        <v>0</v>
      </c>
      <c r="L722" s="49">
        <f>SUBTOTAL(9,L710:L721)</f>
        <v>0</v>
      </c>
      <c r="M722" s="49">
        <f>SUBTOTAL(9,M710:M721)</f>
        <v>0</v>
      </c>
      <c r="N722" s="49">
        <f>SUBTOTAL(9,N710:N721)</f>
        <v>0</v>
      </c>
      <c r="O722" s="50" t="str">
        <f>IF(H722=0,"No plan at start",M722/H722)</f>
        <v>No plan at start</v>
      </c>
    </row>
    <row r="723" spans="2:15" hidden="1" outlineLevel="2" x14ac:dyDescent="0.2">
      <c r="B723" s="49" t="s">
        <v>77</v>
      </c>
      <c r="C723" s="49" t="s">
        <v>52</v>
      </c>
      <c r="D723" s="49">
        <v>0</v>
      </c>
      <c r="E723" s="49">
        <v>0</v>
      </c>
      <c r="F723" s="49">
        <f>E723-D723</f>
        <v>0</v>
      </c>
      <c r="G723" s="50">
        <f>IF(D723=0,0,ABS(F723/D723))</f>
        <v>0</v>
      </c>
      <c r="H723" s="49">
        <v>0</v>
      </c>
      <c r="I723" s="49">
        <v>0</v>
      </c>
      <c r="J723" s="51" t="str">
        <f>IF(H723=0,"No plan at start",I723/H723)</f>
        <v>No plan at start</v>
      </c>
      <c r="K723" s="52">
        <f>H723-I723</f>
        <v>0</v>
      </c>
      <c r="L723" s="49">
        <v>0</v>
      </c>
      <c r="M723" s="49">
        <f>I723+L723</f>
        <v>0</v>
      </c>
      <c r="N723" s="49">
        <f>M723-H723</f>
        <v>0</v>
      </c>
      <c r="O723" s="50" t="str">
        <f>IF(H723=0,"No plan at start",M723/H723)</f>
        <v>No plan at start</v>
      </c>
    </row>
    <row r="724" spans="2:15" hidden="1" outlineLevel="2" x14ac:dyDescent="0.2">
      <c r="B724" s="49" t="s">
        <v>77</v>
      </c>
      <c r="C724" s="49" t="s">
        <v>53</v>
      </c>
      <c r="D724" s="49">
        <v>0</v>
      </c>
      <c r="E724" s="49">
        <v>0</v>
      </c>
      <c r="F724" s="49">
        <f>E724-D724</f>
        <v>0</v>
      </c>
      <c r="G724" s="50">
        <f>IF(D724=0,0,ABS(F724/D724))</f>
        <v>0</v>
      </c>
      <c r="H724" s="49">
        <v>0</v>
      </c>
      <c r="I724" s="49">
        <v>0</v>
      </c>
      <c r="J724" s="51" t="str">
        <f>IF(H724=0,"No plan at start",I724/H724)</f>
        <v>No plan at start</v>
      </c>
      <c r="K724" s="52">
        <f>H724-I724</f>
        <v>0</v>
      </c>
      <c r="L724" s="49">
        <v>0</v>
      </c>
      <c r="M724" s="49">
        <f>I724+L724</f>
        <v>0</v>
      </c>
      <c r="N724" s="49">
        <f>M724-H724</f>
        <v>0</v>
      </c>
      <c r="O724" s="50" t="str">
        <f>IF(H724=0,"No plan at start",M724/H724)</f>
        <v>No plan at start</v>
      </c>
    </row>
    <row r="725" spans="2:15" hidden="1" outlineLevel="2" x14ac:dyDescent="0.2">
      <c r="B725" s="49" t="s">
        <v>77</v>
      </c>
      <c r="C725" s="49" t="s">
        <v>54</v>
      </c>
      <c r="D725" s="49">
        <v>0</v>
      </c>
      <c r="E725" s="49">
        <v>0</v>
      </c>
      <c r="F725" s="49">
        <f>E725-D725</f>
        <v>0</v>
      </c>
      <c r="G725" s="50">
        <f>IF(D725=0,0,ABS(F725/D725))</f>
        <v>0</v>
      </c>
      <c r="H725" s="49">
        <v>0</v>
      </c>
      <c r="I725" s="49">
        <v>0</v>
      </c>
      <c r="J725" s="51" t="str">
        <f>IF(H725=0,"No plan at start",I725/H725)</f>
        <v>No plan at start</v>
      </c>
      <c r="K725" s="52">
        <f>H725-I725</f>
        <v>0</v>
      </c>
      <c r="L725" s="49">
        <v>0</v>
      </c>
      <c r="M725" s="49">
        <f>I725+L725</f>
        <v>0</v>
      </c>
      <c r="N725" s="49">
        <f>M725-H725</f>
        <v>0</v>
      </c>
      <c r="O725" s="50" t="str">
        <f>IF(H725=0,"No plan at start",M725/H725)</f>
        <v>No plan at start</v>
      </c>
    </row>
    <row r="726" spans="2:15" hidden="1" outlineLevel="2" x14ac:dyDescent="0.2">
      <c r="B726" s="49" t="s">
        <v>77</v>
      </c>
      <c r="C726" s="49" t="s">
        <v>55</v>
      </c>
      <c r="D726" s="49">
        <v>0</v>
      </c>
      <c r="E726" s="49">
        <v>0</v>
      </c>
      <c r="F726" s="49">
        <f>E726-D726</f>
        <v>0</v>
      </c>
      <c r="G726" s="50">
        <f>IF(D726=0,0,ABS(F726/D726))</f>
        <v>0</v>
      </c>
      <c r="H726" s="49">
        <v>0</v>
      </c>
      <c r="I726" s="49">
        <v>0</v>
      </c>
      <c r="J726" s="51" t="str">
        <f>IF(H726=0,"No plan at start",I726/H726)</f>
        <v>No plan at start</v>
      </c>
      <c r="K726" s="52">
        <f>H726-I726</f>
        <v>0</v>
      </c>
      <c r="L726" s="49">
        <v>0</v>
      </c>
      <c r="M726" s="49">
        <f>I726+L726</f>
        <v>0</v>
      </c>
      <c r="N726" s="49">
        <f>M726-H726</f>
        <v>0</v>
      </c>
      <c r="O726" s="50" t="str">
        <f>IF(H726=0,"No plan at start",M726/H726)</f>
        <v>No plan at start</v>
      </c>
    </row>
    <row r="727" spans="2:15" hidden="1" outlineLevel="2" x14ac:dyDescent="0.2">
      <c r="B727" s="49" t="s">
        <v>77</v>
      </c>
      <c r="C727" s="49" t="s">
        <v>56</v>
      </c>
      <c r="D727" s="49">
        <v>0</v>
      </c>
      <c r="E727" s="49">
        <v>0</v>
      </c>
      <c r="F727" s="49">
        <f>E727-D727</f>
        <v>0</v>
      </c>
      <c r="G727" s="50">
        <f>IF(D727=0,0,ABS(F727/D727))</f>
        <v>0</v>
      </c>
      <c r="H727" s="49">
        <v>0</v>
      </c>
      <c r="I727" s="49">
        <v>0</v>
      </c>
      <c r="J727" s="51" t="str">
        <f>IF(H727=0,"No plan at start",I727/H727)</f>
        <v>No plan at start</v>
      </c>
      <c r="K727" s="52">
        <f>H727-I727</f>
        <v>0</v>
      </c>
      <c r="L727" s="49">
        <v>0</v>
      </c>
      <c r="M727" s="49">
        <f>I727+L727</f>
        <v>0</v>
      </c>
      <c r="N727" s="49">
        <f>M727-H727</f>
        <v>0</v>
      </c>
      <c r="O727" s="50" t="str">
        <f>IF(H727=0,"No plan at start",M727/H727)</f>
        <v>No plan at start</v>
      </c>
    </row>
    <row r="728" spans="2:15" hidden="1" outlineLevel="2" x14ac:dyDescent="0.2">
      <c r="B728" s="49" t="s">
        <v>77</v>
      </c>
      <c r="C728" s="49" t="s">
        <v>57</v>
      </c>
      <c r="D728" s="49">
        <v>0</v>
      </c>
      <c r="E728" s="49">
        <v>0</v>
      </c>
      <c r="F728" s="49">
        <f>E728-D728</f>
        <v>0</v>
      </c>
      <c r="G728" s="50">
        <f>IF(D728=0,0,ABS(F728/D728))</f>
        <v>0</v>
      </c>
      <c r="H728" s="49">
        <v>0</v>
      </c>
      <c r="I728" s="49">
        <v>0</v>
      </c>
      <c r="J728" s="51" t="str">
        <f>IF(H728=0,"No plan at start",I728/H728)</f>
        <v>No plan at start</v>
      </c>
      <c r="K728" s="52">
        <f>H728-I728</f>
        <v>0</v>
      </c>
      <c r="L728" s="49">
        <v>0</v>
      </c>
      <c r="M728" s="49">
        <f>I728+L728</f>
        <v>0</v>
      </c>
      <c r="N728" s="49">
        <f>M728-H728</f>
        <v>0</v>
      </c>
      <c r="O728" s="50" t="str">
        <f>IF(H728=0,"No plan at start",M728/H728)</f>
        <v>No plan at start</v>
      </c>
    </row>
    <row r="729" spans="2:15" hidden="1" outlineLevel="2" x14ac:dyDescent="0.2">
      <c r="B729" s="49" t="s">
        <v>77</v>
      </c>
      <c r="C729" s="49" t="s">
        <v>48</v>
      </c>
      <c r="D729" s="49">
        <v>0</v>
      </c>
      <c r="E729" s="49">
        <v>0</v>
      </c>
      <c r="F729" s="49">
        <f>E729-D729</f>
        <v>0</v>
      </c>
      <c r="G729" s="50">
        <f>IF(D729=0,0,ABS(F729/D729))</f>
        <v>0</v>
      </c>
      <c r="H729" s="49">
        <v>0</v>
      </c>
      <c r="I729" s="49">
        <v>0</v>
      </c>
      <c r="J729" s="51" t="str">
        <f>IF(H729=0,"No plan at start",I729/H729)</f>
        <v>No plan at start</v>
      </c>
      <c r="K729" s="52">
        <f>H729-I729</f>
        <v>0</v>
      </c>
      <c r="L729" s="49">
        <v>0</v>
      </c>
      <c r="M729" s="49">
        <f>I729+L729</f>
        <v>0</v>
      </c>
      <c r="N729" s="49">
        <f>M729-H729</f>
        <v>0</v>
      </c>
      <c r="O729" s="50" t="str">
        <f>IF(H729=0,"No plan at start",M729/H729)</f>
        <v>No plan at start</v>
      </c>
    </row>
    <row r="730" spans="2:15" hidden="1" outlineLevel="2" x14ac:dyDescent="0.2">
      <c r="B730" s="49" t="s">
        <v>77</v>
      </c>
      <c r="C730" s="49" t="s">
        <v>58</v>
      </c>
      <c r="D730" s="49">
        <v>0</v>
      </c>
      <c r="E730" s="49">
        <v>0</v>
      </c>
      <c r="F730" s="49">
        <f>E730-D730</f>
        <v>0</v>
      </c>
      <c r="G730" s="50">
        <f>IF(D730=0,0,ABS(F730/D730))</f>
        <v>0</v>
      </c>
      <c r="H730" s="49">
        <v>0</v>
      </c>
      <c r="I730" s="49">
        <v>0</v>
      </c>
      <c r="J730" s="51" t="str">
        <f>IF(H730=0,"No plan at start",I730/H730)</f>
        <v>No plan at start</v>
      </c>
      <c r="K730" s="52">
        <f>H730-I730</f>
        <v>0</v>
      </c>
      <c r="L730" s="49">
        <v>0</v>
      </c>
      <c r="M730" s="49">
        <f>I730+L730</f>
        <v>0</v>
      </c>
      <c r="N730" s="49">
        <f>M730-H730</f>
        <v>0</v>
      </c>
      <c r="O730" s="50" t="str">
        <f>IF(H730=0,"No plan at start",M730/H730)</f>
        <v>No plan at start</v>
      </c>
    </row>
    <row r="731" spans="2:15" hidden="1" outlineLevel="2" x14ac:dyDescent="0.2">
      <c r="B731" s="49" t="s">
        <v>77</v>
      </c>
      <c r="C731" s="49" t="s">
        <v>59</v>
      </c>
      <c r="D731" s="49">
        <v>0</v>
      </c>
      <c r="E731" s="49">
        <v>0</v>
      </c>
      <c r="F731" s="49">
        <f>E731-D731</f>
        <v>0</v>
      </c>
      <c r="G731" s="50">
        <f>IF(D731=0,0,ABS(F731/D731))</f>
        <v>0</v>
      </c>
      <c r="H731" s="49">
        <v>0</v>
      </c>
      <c r="I731" s="49">
        <v>0</v>
      </c>
      <c r="J731" s="51" t="str">
        <f>IF(H731=0,"No plan at start",I731/H731)</f>
        <v>No plan at start</v>
      </c>
      <c r="K731" s="52">
        <f>H731-I731</f>
        <v>0</v>
      </c>
      <c r="L731" s="49">
        <v>0</v>
      </c>
      <c r="M731" s="49">
        <f>I731+L731</f>
        <v>0</v>
      </c>
      <c r="N731" s="49">
        <f>M731-H731</f>
        <v>0</v>
      </c>
      <c r="O731" s="50" t="str">
        <f>IF(H731=0,"No plan at start",M731/H731)</f>
        <v>No plan at start</v>
      </c>
    </row>
    <row r="732" spans="2:15" hidden="1" outlineLevel="2" x14ac:dyDescent="0.2">
      <c r="B732" s="49" t="s">
        <v>77</v>
      </c>
      <c r="C732" s="49" t="s">
        <v>60</v>
      </c>
      <c r="D732" s="49">
        <v>0</v>
      </c>
      <c r="E732" s="49">
        <v>0</v>
      </c>
      <c r="F732" s="49">
        <f>E732-D732</f>
        <v>0</v>
      </c>
      <c r="G732" s="50">
        <f>IF(D732=0,0,ABS(F732/D732))</f>
        <v>0</v>
      </c>
      <c r="H732" s="49">
        <v>0</v>
      </c>
      <c r="I732" s="49">
        <v>0</v>
      </c>
      <c r="J732" s="51" t="str">
        <f>IF(H732=0,"No plan at start",I732/H732)</f>
        <v>No plan at start</v>
      </c>
      <c r="K732" s="52">
        <f>H732-I732</f>
        <v>0</v>
      </c>
      <c r="L732" s="49">
        <v>0</v>
      </c>
      <c r="M732" s="49">
        <f>I732+L732</f>
        <v>0</v>
      </c>
      <c r="N732" s="49">
        <f>M732-H732</f>
        <v>0</v>
      </c>
      <c r="O732" s="50" t="str">
        <f>IF(H732=0,"No plan at start",M732/H732)</f>
        <v>No plan at start</v>
      </c>
    </row>
    <row r="733" spans="2:15" hidden="1" outlineLevel="2" x14ac:dyDescent="0.2">
      <c r="B733" s="49" t="s">
        <v>77</v>
      </c>
      <c r="C733" s="49" t="s">
        <v>61</v>
      </c>
      <c r="D733" s="49">
        <v>0</v>
      </c>
      <c r="E733" s="49">
        <v>0</v>
      </c>
      <c r="F733" s="49">
        <f>E733-D733</f>
        <v>0</v>
      </c>
      <c r="G733" s="50">
        <f>IF(D733=0,0,ABS(F733/D733))</f>
        <v>0</v>
      </c>
      <c r="H733" s="49">
        <v>0</v>
      </c>
      <c r="I733" s="49">
        <v>0</v>
      </c>
      <c r="J733" s="51" t="str">
        <f>IF(H733=0,"No plan at start",I733/H733)</f>
        <v>No plan at start</v>
      </c>
      <c r="K733" s="52">
        <f>H733-I733</f>
        <v>0</v>
      </c>
      <c r="L733" s="49">
        <v>0</v>
      </c>
      <c r="M733" s="49">
        <f>I733+L733</f>
        <v>0</v>
      </c>
      <c r="N733" s="49">
        <f>M733-H733</f>
        <v>0</v>
      </c>
      <c r="O733" s="50" t="str">
        <f>IF(H733=0,"No plan at start",M733/H733)</f>
        <v>No plan at start</v>
      </c>
    </row>
    <row r="734" spans="2:15" hidden="1" outlineLevel="2" x14ac:dyDescent="0.2">
      <c r="B734" s="49" t="s">
        <v>77</v>
      </c>
      <c r="C734" s="49" t="s">
        <v>62</v>
      </c>
      <c r="D734" s="49">
        <v>0</v>
      </c>
      <c r="E734" s="49">
        <v>0</v>
      </c>
      <c r="F734" s="49">
        <f>E734-D734</f>
        <v>0</v>
      </c>
      <c r="G734" s="50">
        <f>IF(D734=0,0,ABS(F734/D734))</f>
        <v>0</v>
      </c>
      <c r="H734" s="49">
        <v>0</v>
      </c>
      <c r="I734" s="49">
        <v>0</v>
      </c>
      <c r="J734" s="51" t="str">
        <f>IF(H734=0,"No plan at start",I734/H734)</f>
        <v>No plan at start</v>
      </c>
      <c r="K734" s="52">
        <f>H734-I734</f>
        <v>0</v>
      </c>
      <c r="L734" s="49">
        <v>0</v>
      </c>
      <c r="M734" s="49">
        <f>I734+L734</f>
        <v>0</v>
      </c>
      <c r="N734" s="49">
        <f>M734-H734</f>
        <v>0</v>
      </c>
      <c r="O734" s="50" t="str">
        <f>IF(H734=0,"No plan at start",M734/H734)</f>
        <v>No plan at start</v>
      </c>
    </row>
    <row r="735" spans="2:15" outlineLevel="1" collapsed="1" x14ac:dyDescent="0.2">
      <c r="B735" s="56" t="s">
        <v>116</v>
      </c>
      <c r="C735" s="49"/>
      <c r="D735" s="49">
        <f>SUBTOTAL(9,D723:D734)</f>
        <v>0</v>
      </c>
      <c r="E735" s="49">
        <f>SUBTOTAL(9,E723:E734)</f>
        <v>0</v>
      </c>
      <c r="F735" s="49">
        <f>SUBTOTAL(9,F723:F734)</f>
        <v>0</v>
      </c>
      <c r="G735" s="50">
        <f>IF(D735=0,0,ABS(F735/D735))</f>
        <v>0</v>
      </c>
      <c r="H735" s="49">
        <f>SUBTOTAL(9,H723:H734)</f>
        <v>0</v>
      </c>
      <c r="I735" s="49">
        <f>SUBTOTAL(9,I723:I734)</f>
        <v>0</v>
      </c>
      <c r="J735" s="51" t="str">
        <f>IF(H735=0,"No plan at start",I735/H735)</f>
        <v>No plan at start</v>
      </c>
      <c r="K735" s="52">
        <f>SUBTOTAL(9,K723:K734)</f>
        <v>0</v>
      </c>
      <c r="L735" s="49">
        <f>SUBTOTAL(9,L723:L734)</f>
        <v>0</v>
      </c>
      <c r="M735" s="49">
        <f>SUBTOTAL(9,M723:M734)</f>
        <v>0</v>
      </c>
      <c r="N735" s="49">
        <f>SUBTOTAL(9,N723:N734)</f>
        <v>0</v>
      </c>
      <c r="O735" s="50" t="str">
        <f>IF(H735=0,"No plan at start",M735/H735)</f>
        <v>No plan at start</v>
      </c>
    </row>
    <row r="736" spans="2:15" hidden="1" outlineLevel="2" x14ac:dyDescent="0.2">
      <c r="B736" s="49" t="s">
        <v>78</v>
      </c>
      <c r="C736" s="49" t="s">
        <v>52</v>
      </c>
      <c r="D736" s="49">
        <v>0</v>
      </c>
      <c r="E736" s="49">
        <v>0</v>
      </c>
      <c r="F736" s="49">
        <f>E736-D736</f>
        <v>0</v>
      </c>
      <c r="G736" s="50">
        <f>IF(D736=0,0,ABS(F736/D736))</f>
        <v>0</v>
      </c>
      <c r="H736" s="49">
        <v>0</v>
      </c>
      <c r="I736" s="49">
        <v>286</v>
      </c>
      <c r="J736" s="51" t="str">
        <f>IF(H736=0,"No plan at start",I736/H736)</f>
        <v>No plan at start</v>
      </c>
      <c r="K736" s="52">
        <f>H736-I736</f>
        <v>-286</v>
      </c>
      <c r="L736" s="49">
        <v>0</v>
      </c>
      <c r="M736" s="49">
        <f>I736+L736</f>
        <v>286</v>
      </c>
      <c r="N736" s="49">
        <f>M736-H736</f>
        <v>286</v>
      </c>
      <c r="O736" s="50" t="str">
        <f>IF(H736=0,"No plan at start",M736/H736)</f>
        <v>No plan at start</v>
      </c>
    </row>
    <row r="737" spans="2:15" hidden="1" outlineLevel="2" x14ac:dyDescent="0.2">
      <c r="B737" s="49" t="s">
        <v>78</v>
      </c>
      <c r="C737" s="49" t="s">
        <v>53</v>
      </c>
      <c r="D737" s="49">
        <v>0</v>
      </c>
      <c r="E737" s="49">
        <v>0</v>
      </c>
      <c r="F737" s="49">
        <f>E737-D737</f>
        <v>0</v>
      </c>
      <c r="G737" s="50">
        <f>IF(D737=0,0,ABS(F737/D737))</f>
        <v>0</v>
      </c>
      <c r="H737" s="49">
        <v>0</v>
      </c>
      <c r="I737" s="49">
        <v>2574</v>
      </c>
      <c r="J737" s="51" t="str">
        <f>IF(H737=0,"No plan at start",I737/H737)</f>
        <v>No plan at start</v>
      </c>
      <c r="K737" s="52">
        <f>H737-I737</f>
        <v>-2574</v>
      </c>
      <c r="L737" s="49">
        <v>0</v>
      </c>
      <c r="M737" s="49">
        <f>I737+L737</f>
        <v>2574</v>
      </c>
      <c r="N737" s="49">
        <f>M737-H737</f>
        <v>2574</v>
      </c>
      <c r="O737" s="50" t="str">
        <f>IF(H737=0,"No plan at start",M737/H737)</f>
        <v>No plan at start</v>
      </c>
    </row>
    <row r="738" spans="2:15" hidden="1" outlineLevel="2" x14ac:dyDescent="0.2">
      <c r="B738" s="49" t="s">
        <v>78</v>
      </c>
      <c r="C738" s="49" t="s">
        <v>54</v>
      </c>
      <c r="D738" s="49">
        <v>0</v>
      </c>
      <c r="E738" s="49">
        <v>0</v>
      </c>
      <c r="F738" s="49">
        <f>E738-D738</f>
        <v>0</v>
      </c>
      <c r="G738" s="50">
        <f>IF(D738=0,0,ABS(F738/D738))</f>
        <v>0</v>
      </c>
      <c r="H738" s="49">
        <v>0</v>
      </c>
      <c r="I738" s="49">
        <v>0</v>
      </c>
      <c r="J738" s="51" t="str">
        <f>IF(H738=0,"No plan at start",I738/H738)</f>
        <v>No plan at start</v>
      </c>
      <c r="K738" s="52">
        <f>H738-I738</f>
        <v>0</v>
      </c>
      <c r="L738" s="49">
        <v>0</v>
      </c>
      <c r="M738" s="49">
        <f>I738+L738</f>
        <v>0</v>
      </c>
      <c r="N738" s="49">
        <f>M738-H738</f>
        <v>0</v>
      </c>
      <c r="O738" s="50" t="str">
        <f>IF(H738=0,"No plan at start",M738/H738)</f>
        <v>No plan at start</v>
      </c>
    </row>
    <row r="739" spans="2:15" hidden="1" outlineLevel="2" x14ac:dyDescent="0.2">
      <c r="B739" s="49" t="s">
        <v>78</v>
      </c>
      <c r="C739" s="49" t="s">
        <v>55</v>
      </c>
      <c r="D739" s="49">
        <v>0</v>
      </c>
      <c r="E739" s="49">
        <v>0</v>
      </c>
      <c r="F739" s="49">
        <f>E739-D739</f>
        <v>0</v>
      </c>
      <c r="G739" s="50">
        <f>IF(D739=0,0,ABS(F739/D739))</f>
        <v>0</v>
      </c>
      <c r="H739" s="49">
        <v>0</v>
      </c>
      <c r="I739" s="49">
        <v>656.5</v>
      </c>
      <c r="J739" s="51" t="str">
        <f>IF(H739=0,"No plan at start",I739/H739)</f>
        <v>No plan at start</v>
      </c>
      <c r="K739" s="52">
        <f>H739-I739</f>
        <v>-656.5</v>
      </c>
      <c r="L739" s="49">
        <v>0</v>
      </c>
      <c r="M739" s="49">
        <f>I739+L739</f>
        <v>656.5</v>
      </c>
      <c r="N739" s="49">
        <f>M739-H739</f>
        <v>656.5</v>
      </c>
      <c r="O739" s="50" t="str">
        <f>IF(H739=0,"No plan at start",M739/H739)</f>
        <v>No plan at start</v>
      </c>
    </row>
    <row r="740" spans="2:15" hidden="1" outlineLevel="2" x14ac:dyDescent="0.2">
      <c r="B740" s="49" t="s">
        <v>78</v>
      </c>
      <c r="C740" s="49" t="s">
        <v>56</v>
      </c>
      <c r="D740" s="49">
        <v>0</v>
      </c>
      <c r="E740" s="49">
        <v>0</v>
      </c>
      <c r="F740" s="49">
        <f>E740-D740</f>
        <v>0</v>
      </c>
      <c r="G740" s="50">
        <f>IF(D740=0,0,ABS(F740/D740))</f>
        <v>0</v>
      </c>
      <c r="H740" s="49">
        <v>0</v>
      </c>
      <c r="I740" s="49">
        <v>0</v>
      </c>
      <c r="J740" s="51" t="str">
        <f>IF(H740=0,"No plan at start",I740/H740)</f>
        <v>No plan at start</v>
      </c>
      <c r="K740" s="52">
        <f>H740-I740</f>
        <v>0</v>
      </c>
      <c r="L740" s="49">
        <v>0</v>
      </c>
      <c r="M740" s="49">
        <f>I740+L740</f>
        <v>0</v>
      </c>
      <c r="N740" s="49">
        <f>M740-H740</f>
        <v>0</v>
      </c>
      <c r="O740" s="50" t="str">
        <f>IF(H740=0,"No plan at start",M740/H740)</f>
        <v>No plan at start</v>
      </c>
    </row>
    <row r="741" spans="2:15" hidden="1" outlineLevel="2" x14ac:dyDescent="0.2">
      <c r="B741" s="49" t="s">
        <v>78</v>
      </c>
      <c r="C741" s="49" t="s">
        <v>57</v>
      </c>
      <c r="D741" s="49">
        <v>0</v>
      </c>
      <c r="E741" s="49">
        <v>0</v>
      </c>
      <c r="F741" s="49">
        <f>E741-D741</f>
        <v>0</v>
      </c>
      <c r="G741" s="50">
        <f>IF(D741=0,0,ABS(F741/D741))</f>
        <v>0</v>
      </c>
      <c r="H741" s="49">
        <v>0</v>
      </c>
      <c r="I741" s="49">
        <v>0</v>
      </c>
      <c r="J741" s="51" t="str">
        <f>IF(H741=0,"No plan at start",I741/H741)</f>
        <v>No plan at start</v>
      </c>
      <c r="K741" s="52">
        <f>H741-I741</f>
        <v>0</v>
      </c>
      <c r="L741" s="49">
        <v>0</v>
      </c>
      <c r="M741" s="49">
        <f>I741+L741</f>
        <v>0</v>
      </c>
      <c r="N741" s="49">
        <f>M741-H741</f>
        <v>0</v>
      </c>
      <c r="O741" s="50" t="str">
        <f>IF(H741=0,"No plan at start",M741/H741)</f>
        <v>No plan at start</v>
      </c>
    </row>
    <row r="742" spans="2:15" hidden="1" outlineLevel="2" x14ac:dyDescent="0.2">
      <c r="B742" s="49" t="s">
        <v>78</v>
      </c>
      <c r="C742" s="49" t="s">
        <v>48</v>
      </c>
      <c r="D742" s="49">
        <v>0</v>
      </c>
      <c r="E742" s="49">
        <v>0</v>
      </c>
      <c r="F742" s="49">
        <f>E742-D742</f>
        <v>0</v>
      </c>
      <c r="G742" s="50">
        <f>IF(D742=0,0,ABS(F742/D742))</f>
        <v>0</v>
      </c>
      <c r="H742" s="49">
        <v>0</v>
      </c>
      <c r="I742" s="49">
        <v>0</v>
      </c>
      <c r="J742" s="51" t="str">
        <f>IF(H742=0,"No plan at start",I742/H742)</f>
        <v>No plan at start</v>
      </c>
      <c r="K742" s="52">
        <f>H742-I742</f>
        <v>0</v>
      </c>
      <c r="L742" s="49">
        <v>0</v>
      </c>
      <c r="M742" s="49">
        <f>I742+L742</f>
        <v>0</v>
      </c>
      <c r="N742" s="49">
        <f>M742-H742</f>
        <v>0</v>
      </c>
      <c r="O742" s="50" t="str">
        <f>IF(H742=0,"No plan at start",M742/H742)</f>
        <v>No plan at start</v>
      </c>
    </row>
    <row r="743" spans="2:15" hidden="1" outlineLevel="2" x14ac:dyDescent="0.2">
      <c r="B743" s="49" t="s">
        <v>78</v>
      </c>
      <c r="C743" s="49" t="s">
        <v>58</v>
      </c>
      <c r="D743" s="49">
        <v>0</v>
      </c>
      <c r="E743" s="49">
        <v>0</v>
      </c>
      <c r="F743" s="49">
        <f>E743-D743</f>
        <v>0</v>
      </c>
      <c r="G743" s="50">
        <f>IF(D743=0,0,ABS(F743/D743))</f>
        <v>0</v>
      </c>
      <c r="H743" s="49">
        <v>0</v>
      </c>
      <c r="I743" s="49">
        <v>0</v>
      </c>
      <c r="J743" s="51" t="str">
        <f>IF(H743=0,"No plan at start",I743/H743)</f>
        <v>No plan at start</v>
      </c>
      <c r="K743" s="52">
        <f>H743-I743</f>
        <v>0</v>
      </c>
      <c r="L743" s="49">
        <v>0</v>
      </c>
      <c r="M743" s="49">
        <f>I743+L743</f>
        <v>0</v>
      </c>
      <c r="N743" s="49">
        <f>M743-H743</f>
        <v>0</v>
      </c>
      <c r="O743" s="50" t="str">
        <f>IF(H743=0,"No plan at start",M743/H743)</f>
        <v>No plan at start</v>
      </c>
    </row>
    <row r="744" spans="2:15" hidden="1" outlineLevel="2" x14ac:dyDescent="0.2">
      <c r="B744" s="49" t="s">
        <v>78</v>
      </c>
      <c r="C744" s="49" t="s">
        <v>59</v>
      </c>
      <c r="D744" s="49">
        <v>0</v>
      </c>
      <c r="E744" s="49">
        <v>0</v>
      </c>
      <c r="F744" s="49">
        <f>E744-D744</f>
        <v>0</v>
      </c>
      <c r="G744" s="50">
        <f>IF(D744=0,0,ABS(F744/D744))</f>
        <v>0</v>
      </c>
      <c r="H744" s="49">
        <v>0</v>
      </c>
      <c r="I744" s="49">
        <v>0</v>
      </c>
      <c r="J744" s="51" t="str">
        <f>IF(H744=0,"No plan at start",I744/H744)</f>
        <v>No plan at start</v>
      </c>
      <c r="K744" s="52">
        <f>H744-I744</f>
        <v>0</v>
      </c>
      <c r="L744" s="49">
        <v>0</v>
      </c>
      <c r="M744" s="49">
        <f>I744+L744</f>
        <v>0</v>
      </c>
      <c r="N744" s="49">
        <f>M744-H744</f>
        <v>0</v>
      </c>
      <c r="O744" s="50" t="str">
        <f>IF(H744=0,"No plan at start",M744/H744)</f>
        <v>No plan at start</v>
      </c>
    </row>
    <row r="745" spans="2:15" hidden="1" outlineLevel="2" x14ac:dyDescent="0.2">
      <c r="B745" s="49" t="s">
        <v>78</v>
      </c>
      <c r="C745" s="49" t="s">
        <v>60</v>
      </c>
      <c r="D745" s="49">
        <v>0</v>
      </c>
      <c r="E745" s="49">
        <v>0</v>
      </c>
      <c r="F745" s="49">
        <f>E745-D745</f>
        <v>0</v>
      </c>
      <c r="G745" s="50">
        <f>IF(D745=0,0,ABS(F745/D745))</f>
        <v>0</v>
      </c>
      <c r="H745" s="49">
        <v>0</v>
      </c>
      <c r="I745" s="49">
        <v>0</v>
      </c>
      <c r="J745" s="51" t="str">
        <f>IF(H745=0,"No plan at start",I745/H745)</f>
        <v>No plan at start</v>
      </c>
      <c r="K745" s="52">
        <f>H745-I745</f>
        <v>0</v>
      </c>
      <c r="L745" s="49">
        <v>0</v>
      </c>
      <c r="M745" s="49">
        <f>I745+L745</f>
        <v>0</v>
      </c>
      <c r="N745" s="49">
        <f>M745-H745</f>
        <v>0</v>
      </c>
      <c r="O745" s="50" t="str">
        <f>IF(H745=0,"No plan at start",M745/H745)</f>
        <v>No plan at start</v>
      </c>
    </row>
    <row r="746" spans="2:15" hidden="1" outlineLevel="2" x14ac:dyDescent="0.2">
      <c r="B746" s="49" t="s">
        <v>78</v>
      </c>
      <c r="C746" s="49" t="s">
        <v>61</v>
      </c>
      <c r="D746" s="49">
        <v>0</v>
      </c>
      <c r="E746" s="49">
        <v>0</v>
      </c>
      <c r="F746" s="49">
        <f>E746-D746</f>
        <v>0</v>
      </c>
      <c r="G746" s="50">
        <f>IF(D746=0,0,ABS(F746/D746))</f>
        <v>0</v>
      </c>
      <c r="H746" s="49">
        <v>0</v>
      </c>
      <c r="I746" s="49">
        <v>0</v>
      </c>
      <c r="J746" s="51" t="str">
        <f>IF(H746=0,"No plan at start",I746/H746)</f>
        <v>No plan at start</v>
      </c>
      <c r="K746" s="52">
        <f>H746-I746</f>
        <v>0</v>
      </c>
      <c r="L746" s="49">
        <v>0</v>
      </c>
      <c r="M746" s="49">
        <f>I746+L746</f>
        <v>0</v>
      </c>
      <c r="N746" s="49">
        <f>M746-H746</f>
        <v>0</v>
      </c>
      <c r="O746" s="50" t="str">
        <f>IF(H746=0,"No plan at start",M746/H746)</f>
        <v>No plan at start</v>
      </c>
    </row>
    <row r="747" spans="2:15" hidden="1" outlineLevel="2" x14ac:dyDescent="0.2">
      <c r="B747" s="49" t="s">
        <v>78</v>
      </c>
      <c r="C747" s="49" t="s">
        <v>62</v>
      </c>
      <c r="D747" s="49">
        <v>0</v>
      </c>
      <c r="E747" s="49">
        <v>0</v>
      </c>
      <c r="F747" s="49">
        <f>E747-D747</f>
        <v>0</v>
      </c>
      <c r="G747" s="50">
        <f>IF(D747=0,0,ABS(F747/D747))</f>
        <v>0</v>
      </c>
      <c r="H747" s="49">
        <v>0</v>
      </c>
      <c r="I747" s="49">
        <v>0</v>
      </c>
      <c r="J747" s="51" t="str">
        <f>IF(H747=0,"No plan at start",I747/H747)</f>
        <v>No plan at start</v>
      </c>
      <c r="K747" s="52">
        <f>H747-I747</f>
        <v>0</v>
      </c>
      <c r="L747" s="49">
        <v>0</v>
      </c>
      <c r="M747" s="49">
        <f>I747+L747</f>
        <v>0</v>
      </c>
      <c r="N747" s="49">
        <f>M747-H747</f>
        <v>0</v>
      </c>
      <c r="O747" s="50" t="str">
        <f>IF(H747=0,"No plan at start",M747/H747)</f>
        <v>No plan at start</v>
      </c>
    </row>
    <row r="748" spans="2:15" outlineLevel="1" collapsed="1" x14ac:dyDescent="0.2">
      <c r="B748" s="56" t="s">
        <v>117</v>
      </c>
      <c r="C748" s="49"/>
      <c r="D748" s="49">
        <f>SUBTOTAL(9,D736:D747)</f>
        <v>0</v>
      </c>
      <c r="E748" s="49">
        <f>SUBTOTAL(9,E736:E747)</f>
        <v>0</v>
      </c>
      <c r="F748" s="49">
        <f>SUBTOTAL(9,F736:F747)</f>
        <v>0</v>
      </c>
      <c r="G748" s="50">
        <f>IF(D748=0,0,ABS(F748/D748))</f>
        <v>0</v>
      </c>
      <c r="H748" s="49">
        <f>SUBTOTAL(9,H736:H747)</f>
        <v>0</v>
      </c>
      <c r="I748" s="49">
        <f>SUBTOTAL(9,I736:I747)</f>
        <v>3516.5</v>
      </c>
      <c r="J748" s="51" t="str">
        <f>IF(H748=0,"No plan at start",I748/H748)</f>
        <v>No plan at start</v>
      </c>
      <c r="K748" s="52">
        <f>SUBTOTAL(9,K736:K747)</f>
        <v>-3516.5</v>
      </c>
      <c r="L748" s="49">
        <f>SUBTOTAL(9,L736:L747)</f>
        <v>0</v>
      </c>
      <c r="M748" s="49">
        <f>SUBTOTAL(9,M736:M747)</f>
        <v>3516.5</v>
      </c>
      <c r="N748" s="49">
        <f>SUBTOTAL(9,N736:N747)</f>
        <v>3516.5</v>
      </c>
      <c r="O748" s="50" t="str">
        <f>IF(H748=0,"No plan at start",M748/H748)</f>
        <v>No plan at start</v>
      </c>
    </row>
    <row r="749" spans="2:15" hidden="1" outlineLevel="2" x14ac:dyDescent="0.2">
      <c r="B749" s="49" t="s">
        <v>79</v>
      </c>
      <c r="C749" s="49" t="s">
        <v>52</v>
      </c>
      <c r="D749" s="49">
        <v>0</v>
      </c>
      <c r="E749" s="49">
        <v>0</v>
      </c>
      <c r="F749" s="49">
        <f>E749-D749</f>
        <v>0</v>
      </c>
      <c r="G749" s="50">
        <f>IF(D749=0,0,ABS(F749/D749))</f>
        <v>0</v>
      </c>
      <c r="H749" s="49">
        <v>0</v>
      </c>
      <c r="I749" s="49">
        <v>0</v>
      </c>
      <c r="J749" s="51" t="str">
        <f>IF(H749=0,"No plan at start",I749/H749)</f>
        <v>No plan at start</v>
      </c>
      <c r="K749" s="52">
        <f>H749-I749</f>
        <v>0</v>
      </c>
      <c r="L749" s="49">
        <v>0</v>
      </c>
      <c r="M749" s="49">
        <f>I749+L749</f>
        <v>0</v>
      </c>
      <c r="N749" s="49">
        <f>M749-H749</f>
        <v>0</v>
      </c>
      <c r="O749" s="50" t="str">
        <f>IF(H749=0,"No plan at start",M749/H749)</f>
        <v>No plan at start</v>
      </c>
    </row>
    <row r="750" spans="2:15" hidden="1" outlineLevel="2" x14ac:dyDescent="0.2">
      <c r="B750" s="49" t="s">
        <v>79</v>
      </c>
      <c r="C750" s="49" t="s">
        <v>53</v>
      </c>
      <c r="D750" s="49">
        <v>0</v>
      </c>
      <c r="E750" s="49">
        <v>26</v>
      </c>
      <c r="F750" s="49">
        <f>E750-D750</f>
        <v>26</v>
      </c>
      <c r="G750" s="50">
        <f>IF(D750=0,0,ABS(F750/D750))</f>
        <v>0</v>
      </c>
      <c r="H750" s="49">
        <v>14227.2</v>
      </c>
      <c r="I750" s="49">
        <v>52</v>
      </c>
      <c r="J750" s="51">
        <f>IF(H750=0,"No plan at start",I750/H750)</f>
        <v>3.6549707602339179E-3</v>
      </c>
      <c r="K750" s="52">
        <f>H750-I750</f>
        <v>14175.2</v>
      </c>
      <c r="L750" s="49">
        <v>4368</v>
      </c>
      <c r="M750" s="49">
        <f>I750+L750</f>
        <v>4420</v>
      </c>
      <c r="N750" s="49">
        <f>M750-H750</f>
        <v>-9807.2000000000007</v>
      </c>
      <c r="O750" s="50">
        <f>IF(H750=0,"No plan at start",M750/H750)</f>
        <v>0.31067251461988304</v>
      </c>
    </row>
    <row r="751" spans="2:15" hidden="1" outlineLevel="2" x14ac:dyDescent="0.2">
      <c r="B751" s="49" t="s">
        <v>79</v>
      </c>
      <c r="C751" s="49" t="s">
        <v>54</v>
      </c>
      <c r="D751" s="49">
        <v>0</v>
      </c>
      <c r="E751" s="49">
        <v>0</v>
      </c>
      <c r="F751" s="49">
        <f>E751-D751</f>
        <v>0</v>
      </c>
      <c r="G751" s="50">
        <f>IF(D751=0,0,ABS(F751/D751))</f>
        <v>0</v>
      </c>
      <c r="H751" s="49">
        <v>0</v>
      </c>
      <c r="I751" s="49">
        <v>0</v>
      </c>
      <c r="J751" s="51" t="str">
        <f>IF(H751=0,"No plan at start",I751/H751)</f>
        <v>No plan at start</v>
      </c>
      <c r="K751" s="52">
        <f>H751-I751</f>
        <v>0</v>
      </c>
      <c r="L751" s="49">
        <v>0</v>
      </c>
      <c r="M751" s="49">
        <f>I751+L751</f>
        <v>0</v>
      </c>
      <c r="N751" s="49">
        <f>M751-H751</f>
        <v>0</v>
      </c>
      <c r="O751" s="50" t="str">
        <f>IF(H751=0,"No plan at start",M751/H751)</f>
        <v>No plan at start</v>
      </c>
    </row>
    <row r="752" spans="2:15" hidden="1" outlineLevel="2" x14ac:dyDescent="0.2">
      <c r="B752" s="49" t="s">
        <v>79</v>
      </c>
      <c r="C752" s="49" t="s">
        <v>55</v>
      </c>
      <c r="D752" s="49">
        <v>0</v>
      </c>
      <c r="E752" s="49">
        <v>117</v>
      </c>
      <c r="F752" s="49">
        <f>E752-D752</f>
        <v>117</v>
      </c>
      <c r="G752" s="50">
        <f>IF(D752=0,0,ABS(F752/D752))</f>
        <v>0</v>
      </c>
      <c r="H752" s="49">
        <v>0</v>
      </c>
      <c r="I752" s="49">
        <v>299</v>
      </c>
      <c r="J752" s="51" t="str">
        <f>IF(H752=0,"No plan at start",I752/H752)</f>
        <v>No plan at start</v>
      </c>
      <c r="K752" s="52">
        <f>H752-I752</f>
        <v>-299</v>
      </c>
      <c r="L752" s="49">
        <v>0</v>
      </c>
      <c r="M752" s="49">
        <f>I752+L752</f>
        <v>299</v>
      </c>
      <c r="N752" s="49">
        <f>M752-H752</f>
        <v>299</v>
      </c>
      <c r="O752" s="50" t="str">
        <f>IF(H752=0,"No plan at start",M752/H752)</f>
        <v>No plan at start</v>
      </c>
    </row>
    <row r="753" spans="2:15" hidden="1" outlineLevel="2" x14ac:dyDescent="0.2">
      <c r="B753" s="49" t="s">
        <v>79</v>
      </c>
      <c r="C753" s="49" t="s">
        <v>56</v>
      </c>
      <c r="D753" s="49">
        <v>0</v>
      </c>
      <c r="E753" s="49">
        <v>0</v>
      </c>
      <c r="F753" s="49">
        <f>E753-D753</f>
        <v>0</v>
      </c>
      <c r="G753" s="50">
        <f>IF(D753=0,0,ABS(F753/D753))</f>
        <v>0</v>
      </c>
      <c r="H753" s="49">
        <v>0</v>
      </c>
      <c r="I753" s="49">
        <v>0</v>
      </c>
      <c r="J753" s="51" t="str">
        <f>IF(H753=0,"No plan at start",I753/H753)</f>
        <v>No plan at start</v>
      </c>
      <c r="K753" s="52">
        <f>H753-I753</f>
        <v>0</v>
      </c>
      <c r="L753" s="49">
        <v>0</v>
      </c>
      <c r="M753" s="49">
        <f>I753+L753</f>
        <v>0</v>
      </c>
      <c r="N753" s="49">
        <f>M753-H753</f>
        <v>0</v>
      </c>
      <c r="O753" s="50" t="str">
        <f>IF(H753=0,"No plan at start",M753/H753)</f>
        <v>No plan at start</v>
      </c>
    </row>
    <row r="754" spans="2:15" hidden="1" outlineLevel="2" x14ac:dyDescent="0.2">
      <c r="B754" s="49" t="s">
        <v>79</v>
      </c>
      <c r="C754" s="49" t="s">
        <v>57</v>
      </c>
      <c r="D754" s="49">
        <v>0</v>
      </c>
      <c r="E754" s="49">
        <v>0</v>
      </c>
      <c r="F754" s="49">
        <f>E754-D754</f>
        <v>0</v>
      </c>
      <c r="G754" s="50">
        <f>IF(D754=0,0,ABS(F754/D754))</f>
        <v>0</v>
      </c>
      <c r="H754" s="49">
        <v>0</v>
      </c>
      <c r="I754" s="49">
        <v>0</v>
      </c>
      <c r="J754" s="51" t="str">
        <f>IF(H754=0,"No plan at start",I754/H754)</f>
        <v>No plan at start</v>
      </c>
      <c r="K754" s="52">
        <f>H754-I754</f>
        <v>0</v>
      </c>
      <c r="L754" s="49">
        <v>0</v>
      </c>
      <c r="M754" s="49">
        <f>I754+L754</f>
        <v>0</v>
      </c>
      <c r="N754" s="49">
        <f>M754-H754</f>
        <v>0</v>
      </c>
      <c r="O754" s="50" t="str">
        <f>IF(H754=0,"No plan at start",M754/H754)</f>
        <v>No plan at start</v>
      </c>
    </row>
    <row r="755" spans="2:15" hidden="1" outlineLevel="2" x14ac:dyDescent="0.2">
      <c r="B755" s="49" t="s">
        <v>79</v>
      </c>
      <c r="C755" s="49" t="s">
        <v>48</v>
      </c>
      <c r="D755" s="49">
        <v>0</v>
      </c>
      <c r="E755" s="49">
        <v>0</v>
      </c>
      <c r="F755" s="49">
        <f>E755-D755</f>
        <v>0</v>
      </c>
      <c r="G755" s="50">
        <f>IF(D755=0,0,ABS(F755/D755))</f>
        <v>0</v>
      </c>
      <c r="H755" s="49">
        <v>0</v>
      </c>
      <c r="I755" s="49">
        <v>0</v>
      </c>
      <c r="J755" s="51" t="str">
        <f>IF(H755=0,"No plan at start",I755/H755)</f>
        <v>No plan at start</v>
      </c>
      <c r="K755" s="52">
        <f>H755-I755</f>
        <v>0</v>
      </c>
      <c r="L755" s="49">
        <v>0</v>
      </c>
      <c r="M755" s="49">
        <f>I755+L755</f>
        <v>0</v>
      </c>
      <c r="N755" s="49">
        <f>M755-H755</f>
        <v>0</v>
      </c>
      <c r="O755" s="50" t="str">
        <f>IF(H755=0,"No plan at start",M755/H755)</f>
        <v>No plan at start</v>
      </c>
    </row>
    <row r="756" spans="2:15" hidden="1" outlineLevel="2" x14ac:dyDescent="0.2">
      <c r="B756" s="49" t="s">
        <v>79</v>
      </c>
      <c r="C756" s="49" t="s">
        <v>58</v>
      </c>
      <c r="D756" s="49">
        <v>0</v>
      </c>
      <c r="E756" s="49">
        <v>0</v>
      </c>
      <c r="F756" s="49">
        <f>E756-D756</f>
        <v>0</v>
      </c>
      <c r="G756" s="50">
        <f>IF(D756=0,0,ABS(F756/D756))</f>
        <v>0</v>
      </c>
      <c r="H756" s="49">
        <v>0</v>
      </c>
      <c r="I756" s="49">
        <v>0</v>
      </c>
      <c r="J756" s="51" t="str">
        <f>IF(H756=0,"No plan at start",I756/H756)</f>
        <v>No plan at start</v>
      </c>
      <c r="K756" s="52">
        <f>H756-I756</f>
        <v>0</v>
      </c>
      <c r="L756" s="49">
        <v>0</v>
      </c>
      <c r="M756" s="49">
        <f>I756+L756</f>
        <v>0</v>
      </c>
      <c r="N756" s="49">
        <f>M756-H756</f>
        <v>0</v>
      </c>
      <c r="O756" s="50" t="str">
        <f>IF(H756=0,"No plan at start",M756/H756)</f>
        <v>No plan at start</v>
      </c>
    </row>
    <row r="757" spans="2:15" hidden="1" outlineLevel="2" x14ac:dyDescent="0.2">
      <c r="B757" s="49" t="s">
        <v>79</v>
      </c>
      <c r="C757" s="49" t="s">
        <v>59</v>
      </c>
      <c r="D757" s="49">
        <v>0</v>
      </c>
      <c r="E757" s="49">
        <v>0</v>
      </c>
      <c r="F757" s="49">
        <f>E757-D757</f>
        <v>0</v>
      </c>
      <c r="G757" s="50">
        <f>IF(D757=0,0,ABS(F757/D757))</f>
        <v>0</v>
      </c>
      <c r="H757" s="49">
        <v>0</v>
      </c>
      <c r="I757" s="49">
        <v>0</v>
      </c>
      <c r="J757" s="51" t="str">
        <f>IF(H757=0,"No plan at start",I757/H757)</f>
        <v>No plan at start</v>
      </c>
      <c r="K757" s="52">
        <f>H757-I757</f>
        <v>0</v>
      </c>
      <c r="L757" s="49">
        <v>0</v>
      </c>
      <c r="M757" s="49">
        <f>I757+L757</f>
        <v>0</v>
      </c>
      <c r="N757" s="49">
        <f>M757-H757</f>
        <v>0</v>
      </c>
      <c r="O757" s="50" t="str">
        <f>IF(H757=0,"No plan at start",M757/H757)</f>
        <v>No plan at start</v>
      </c>
    </row>
    <row r="758" spans="2:15" hidden="1" outlineLevel="2" x14ac:dyDescent="0.2">
      <c r="B758" s="49" t="s">
        <v>79</v>
      </c>
      <c r="C758" s="49" t="s">
        <v>60</v>
      </c>
      <c r="D758" s="49">
        <v>0</v>
      </c>
      <c r="E758" s="49">
        <v>0</v>
      </c>
      <c r="F758" s="49">
        <f>E758-D758</f>
        <v>0</v>
      </c>
      <c r="G758" s="50">
        <f>IF(D758=0,0,ABS(F758/D758))</f>
        <v>0</v>
      </c>
      <c r="H758" s="49">
        <v>0</v>
      </c>
      <c r="I758" s="49">
        <v>0</v>
      </c>
      <c r="J758" s="51" t="str">
        <f>IF(H758=0,"No plan at start",I758/H758)</f>
        <v>No plan at start</v>
      </c>
      <c r="K758" s="52">
        <f>H758-I758</f>
        <v>0</v>
      </c>
      <c r="L758" s="49">
        <v>0</v>
      </c>
      <c r="M758" s="49">
        <f>I758+L758</f>
        <v>0</v>
      </c>
      <c r="N758" s="49">
        <f>M758-H758</f>
        <v>0</v>
      </c>
      <c r="O758" s="50" t="str">
        <f>IF(H758=0,"No plan at start",M758/H758)</f>
        <v>No plan at start</v>
      </c>
    </row>
    <row r="759" spans="2:15" hidden="1" outlineLevel="2" x14ac:dyDescent="0.2">
      <c r="B759" s="49" t="s">
        <v>79</v>
      </c>
      <c r="C759" s="49" t="s">
        <v>61</v>
      </c>
      <c r="D759" s="49">
        <v>0</v>
      </c>
      <c r="E759" s="49">
        <v>0</v>
      </c>
      <c r="F759" s="49">
        <f>E759-D759</f>
        <v>0</v>
      </c>
      <c r="G759" s="50">
        <f>IF(D759=0,0,ABS(F759/D759))</f>
        <v>0</v>
      </c>
      <c r="H759" s="49">
        <v>0</v>
      </c>
      <c r="I759" s="49">
        <v>0</v>
      </c>
      <c r="J759" s="51" t="str">
        <f>IF(H759=0,"No plan at start",I759/H759)</f>
        <v>No plan at start</v>
      </c>
      <c r="K759" s="52">
        <f>H759-I759</f>
        <v>0</v>
      </c>
      <c r="L759" s="49">
        <v>0</v>
      </c>
      <c r="M759" s="49">
        <f>I759+L759</f>
        <v>0</v>
      </c>
      <c r="N759" s="49">
        <f>M759-H759</f>
        <v>0</v>
      </c>
      <c r="O759" s="50" t="str">
        <f>IF(H759=0,"No plan at start",M759/H759)</f>
        <v>No plan at start</v>
      </c>
    </row>
    <row r="760" spans="2:15" hidden="1" outlineLevel="2" x14ac:dyDescent="0.2">
      <c r="B760" s="49" t="s">
        <v>79</v>
      </c>
      <c r="C760" s="49" t="s">
        <v>62</v>
      </c>
      <c r="D760" s="49">
        <v>0</v>
      </c>
      <c r="E760" s="49">
        <v>0</v>
      </c>
      <c r="F760" s="49">
        <f>E760-D760</f>
        <v>0</v>
      </c>
      <c r="G760" s="50">
        <f>IF(D760=0,0,ABS(F760/D760))</f>
        <v>0</v>
      </c>
      <c r="H760" s="49">
        <v>0</v>
      </c>
      <c r="I760" s="49">
        <v>0</v>
      </c>
      <c r="J760" s="51" t="str">
        <f>IF(H760=0,"No plan at start",I760/H760)</f>
        <v>No plan at start</v>
      </c>
      <c r="K760" s="52">
        <f>H760-I760</f>
        <v>0</v>
      </c>
      <c r="L760" s="49">
        <v>0</v>
      </c>
      <c r="M760" s="49">
        <f>I760+L760</f>
        <v>0</v>
      </c>
      <c r="N760" s="49">
        <f>M760-H760</f>
        <v>0</v>
      </c>
      <c r="O760" s="50" t="str">
        <f>IF(H760=0,"No plan at start",M760/H760)</f>
        <v>No plan at start</v>
      </c>
    </row>
    <row r="761" spans="2:15" outlineLevel="1" collapsed="1" x14ac:dyDescent="0.2">
      <c r="B761" s="56" t="s">
        <v>118</v>
      </c>
      <c r="C761" s="49"/>
      <c r="D761" s="49">
        <f>SUBTOTAL(9,D749:D760)</f>
        <v>0</v>
      </c>
      <c r="E761" s="49">
        <f>SUBTOTAL(9,E749:E760)</f>
        <v>143</v>
      </c>
      <c r="F761" s="49">
        <f>SUBTOTAL(9,F749:F760)</f>
        <v>143</v>
      </c>
      <c r="G761" s="50">
        <f>IF(D761=0,0,ABS(F761/D761))</f>
        <v>0</v>
      </c>
      <c r="H761" s="49">
        <f>SUBTOTAL(9,H749:H760)</f>
        <v>14227.2</v>
      </c>
      <c r="I761" s="49">
        <f>SUBTOTAL(9,I749:I760)</f>
        <v>351</v>
      </c>
      <c r="J761" s="51">
        <f>IF(H761=0,"No plan at start",I761/H761)</f>
        <v>2.4671052631578948E-2</v>
      </c>
      <c r="K761" s="52">
        <f>SUBTOTAL(9,K749:K760)</f>
        <v>13876.2</v>
      </c>
      <c r="L761" s="49">
        <f>SUBTOTAL(9,L749:L760)</f>
        <v>4368</v>
      </c>
      <c r="M761" s="49">
        <f>SUBTOTAL(9,M749:M760)</f>
        <v>4719</v>
      </c>
      <c r="N761" s="49">
        <f>SUBTOTAL(9,N749:N760)</f>
        <v>-9508.2000000000007</v>
      </c>
      <c r="O761" s="50">
        <f>IF(H761=0,"No plan at start",M761/H761)</f>
        <v>0.33168859649122806</v>
      </c>
    </row>
    <row r="762" spans="2:15" hidden="1" outlineLevel="2" x14ac:dyDescent="0.2">
      <c r="B762" s="49" t="s">
        <v>80</v>
      </c>
      <c r="C762" s="49" t="s">
        <v>52</v>
      </c>
      <c r="D762" s="49">
        <v>0</v>
      </c>
      <c r="E762" s="49">
        <v>0</v>
      </c>
      <c r="F762" s="49">
        <f>E762-D762</f>
        <v>0</v>
      </c>
      <c r="G762" s="50">
        <f>IF(D762=0,0,ABS(F762/D762))</f>
        <v>0</v>
      </c>
      <c r="H762" s="49">
        <v>655.19999999999993</v>
      </c>
      <c r="I762" s="49">
        <v>0</v>
      </c>
      <c r="J762" s="51">
        <f>IF(H762=0,"No plan at start",I762/H762)</f>
        <v>0</v>
      </c>
      <c r="K762" s="52">
        <f>H762-I762</f>
        <v>655.19999999999993</v>
      </c>
      <c r="L762" s="49">
        <v>0</v>
      </c>
      <c r="M762" s="49">
        <f>I762+L762</f>
        <v>0</v>
      </c>
      <c r="N762" s="49">
        <f>M762-H762</f>
        <v>-655.19999999999993</v>
      </c>
      <c r="O762" s="50">
        <f>IF(H762=0,"No plan at start",M762/H762)</f>
        <v>0</v>
      </c>
    </row>
    <row r="763" spans="2:15" hidden="1" outlineLevel="2" x14ac:dyDescent="0.2">
      <c r="B763" s="49" t="s">
        <v>80</v>
      </c>
      <c r="C763" s="49" t="s">
        <v>53</v>
      </c>
      <c r="D763" s="49">
        <v>0</v>
      </c>
      <c r="E763" s="49">
        <v>0</v>
      </c>
      <c r="F763" s="49">
        <f>E763-D763</f>
        <v>0</v>
      </c>
      <c r="G763" s="50">
        <f>IF(D763=0,0,ABS(F763/D763))</f>
        <v>0</v>
      </c>
      <c r="H763" s="49">
        <v>8840</v>
      </c>
      <c r="I763" s="49">
        <v>0</v>
      </c>
      <c r="J763" s="51">
        <f>IF(H763=0,"No plan at start",I763/H763)</f>
        <v>0</v>
      </c>
      <c r="K763" s="52">
        <f>H763-I763</f>
        <v>8840</v>
      </c>
      <c r="L763" s="49">
        <v>0</v>
      </c>
      <c r="M763" s="49">
        <f>I763+L763</f>
        <v>0</v>
      </c>
      <c r="N763" s="49">
        <f>M763-H763</f>
        <v>-8840</v>
      </c>
      <c r="O763" s="50">
        <f>IF(H763=0,"No plan at start",M763/H763)</f>
        <v>0</v>
      </c>
    </row>
    <row r="764" spans="2:15" hidden="1" outlineLevel="2" x14ac:dyDescent="0.2">
      <c r="B764" s="49" t="s">
        <v>80</v>
      </c>
      <c r="C764" s="49" t="s">
        <v>54</v>
      </c>
      <c r="D764" s="49">
        <v>0</v>
      </c>
      <c r="E764" s="49">
        <v>0</v>
      </c>
      <c r="F764" s="49">
        <f>E764-D764</f>
        <v>0</v>
      </c>
      <c r="G764" s="50">
        <f>IF(D764=0,0,ABS(F764/D764))</f>
        <v>0</v>
      </c>
      <c r="H764" s="49">
        <v>0</v>
      </c>
      <c r="I764" s="49">
        <v>0</v>
      </c>
      <c r="J764" s="51" t="str">
        <f>IF(H764=0,"No plan at start",I764/H764)</f>
        <v>No plan at start</v>
      </c>
      <c r="K764" s="52">
        <f>H764-I764</f>
        <v>0</v>
      </c>
      <c r="L764" s="49">
        <v>0</v>
      </c>
      <c r="M764" s="49">
        <f>I764+L764</f>
        <v>0</v>
      </c>
      <c r="N764" s="49">
        <f>M764-H764</f>
        <v>0</v>
      </c>
      <c r="O764" s="50" t="str">
        <f>IF(H764=0,"No plan at start",M764/H764)</f>
        <v>No plan at start</v>
      </c>
    </row>
    <row r="765" spans="2:15" hidden="1" outlineLevel="2" x14ac:dyDescent="0.2">
      <c r="B765" s="49" t="s">
        <v>80</v>
      </c>
      <c r="C765" s="49" t="s">
        <v>55</v>
      </c>
      <c r="D765" s="49">
        <v>0</v>
      </c>
      <c r="E765" s="49">
        <v>0</v>
      </c>
      <c r="F765" s="49">
        <f>E765-D765</f>
        <v>0</v>
      </c>
      <c r="G765" s="50">
        <f>IF(D765=0,0,ABS(F765/D765))</f>
        <v>0</v>
      </c>
      <c r="H765" s="49">
        <v>0</v>
      </c>
      <c r="I765" s="49">
        <v>0</v>
      </c>
      <c r="J765" s="51" t="str">
        <f>IF(H765=0,"No plan at start",I765/H765)</f>
        <v>No plan at start</v>
      </c>
      <c r="K765" s="52">
        <f>H765-I765</f>
        <v>0</v>
      </c>
      <c r="L765" s="49">
        <v>0</v>
      </c>
      <c r="M765" s="49">
        <f>I765+L765</f>
        <v>0</v>
      </c>
      <c r="N765" s="49">
        <f>M765-H765</f>
        <v>0</v>
      </c>
      <c r="O765" s="50" t="str">
        <f>IF(H765=0,"No plan at start",M765/H765)</f>
        <v>No plan at start</v>
      </c>
    </row>
    <row r="766" spans="2:15" hidden="1" outlineLevel="2" x14ac:dyDescent="0.2">
      <c r="B766" s="49" t="s">
        <v>80</v>
      </c>
      <c r="C766" s="49" t="s">
        <v>56</v>
      </c>
      <c r="D766" s="49">
        <v>0</v>
      </c>
      <c r="E766" s="49">
        <v>0</v>
      </c>
      <c r="F766" s="49">
        <f>E766-D766</f>
        <v>0</v>
      </c>
      <c r="G766" s="50">
        <f>IF(D766=0,0,ABS(F766/D766))</f>
        <v>0</v>
      </c>
      <c r="H766" s="49">
        <v>0</v>
      </c>
      <c r="I766" s="49">
        <v>0</v>
      </c>
      <c r="J766" s="51" t="str">
        <f>IF(H766=0,"No plan at start",I766/H766)</f>
        <v>No plan at start</v>
      </c>
      <c r="K766" s="52">
        <f>H766-I766</f>
        <v>0</v>
      </c>
      <c r="L766" s="49">
        <v>0</v>
      </c>
      <c r="M766" s="49">
        <f>I766+L766</f>
        <v>0</v>
      </c>
      <c r="N766" s="49">
        <f>M766-H766</f>
        <v>0</v>
      </c>
      <c r="O766" s="50" t="str">
        <f>IF(H766=0,"No plan at start",M766/H766)</f>
        <v>No plan at start</v>
      </c>
    </row>
    <row r="767" spans="2:15" hidden="1" outlineLevel="2" x14ac:dyDescent="0.2">
      <c r="B767" s="49" t="s">
        <v>80</v>
      </c>
      <c r="C767" s="49" t="s">
        <v>57</v>
      </c>
      <c r="D767" s="49">
        <v>0</v>
      </c>
      <c r="E767" s="49">
        <v>0</v>
      </c>
      <c r="F767" s="49">
        <f>E767-D767</f>
        <v>0</v>
      </c>
      <c r="G767" s="50">
        <f>IF(D767=0,0,ABS(F767/D767))</f>
        <v>0</v>
      </c>
      <c r="H767" s="49">
        <v>0</v>
      </c>
      <c r="I767" s="49">
        <v>0</v>
      </c>
      <c r="J767" s="51" t="str">
        <f>IF(H767=0,"No plan at start",I767/H767)</f>
        <v>No plan at start</v>
      </c>
      <c r="K767" s="52">
        <f>H767-I767</f>
        <v>0</v>
      </c>
      <c r="L767" s="49">
        <v>0</v>
      </c>
      <c r="M767" s="49">
        <f>I767+L767</f>
        <v>0</v>
      </c>
      <c r="N767" s="49">
        <f>M767-H767</f>
        <v>0</v>
      </c>
      <c r="O767" s="50" t="str">
        <f>IF(H767=0,"No plan at start",M767/H767)</f>
        <v>No plan at start</v>
      </c>
    </row>
    <row r="768" spans="2:15" hidden="1" outlineLevel="2" x14ac:dyDescent="0.2">
      <c r="B768" s="49" t="s">
        <v>80</v>
      </c>
      <c r="C768" s="49" t="s">
        <v>48</v>
      </c>
      <c r="D768" s="49">
        <v>0</v>
      </c>
      <c r="E768" s="49">
        <v>0</v>
      </c>
      <c r="F768" s="49">
        <f>E768-D768</f>
        <v>0</v>
      </c>
      <c r="G768" s="50">
        <f>IF(D768=0,0,ABS(F768/D768))</f>
        <v>0</v>
      </c>
      <c r="H768" s="49">
        <v>0</v>
      </c>
      <c r="I768" s="49">
        <v>0</v>
      </c>
      <c r="J768" s="51" t="str">
        <f>IF(H768=0,"No plan at start",I768/H768)</f>
        <v>No plan at start</v>
      </c>
      <c r="K768" s="52">
        <f>H768-I768</f>
        <v>0</v>
      </c>
      <c r="L768" s="49">
        <v>0</v>
      </c>
      <c r="M768" s="49">
        <f>I768+L768</f>
        <v>0</v>
      </c>
      <c r="N768" s="49">
        <f>M768-H768</f>
        <v>0</v>
      </c>
      <c r="O768" s="50" t="str">
        <f>IF(H768=0,"No plan at start",M768/H768)</f>
        <v>No plan at start</v>
      </c>
    </row>
    <row r="769" spans="2:15" hidden="1" outlineLevel="2" x14ac:dyDescent="0.2">
      <c r="B769" s="49" t="s">
        <v>80</v>
      </c>
      <c r="C769" s="49" t="s">
        <v>58</v>
      </c>
      <c r="D769" s="49">
        <v>0</v>
      </c>
      <c r="E769" s="49">
        <v>0</v>
      </c>
      <c r="F769" s="49">
        <f>E769-D769</f>
        <v>0</v>
      </c>
      <c r="G769" s="50">
        <f>IF(D769=0,0,ABS(F769/D769))</f>
        <v>0</v>
      </c>
      <c r="H769" s="49">
        <v>0</v>
      </c>
      <c r="I769" s="49">
        <v>0</v>
      </c>
      <c r="J769" s="51" t="str">
        <f>IF(H769=0,"No plan at start",I769/H769)</f>
        <v>No plan at start</v>
      </c>
      <c r="K769" s="52">
        <f>H769-I769</f>
        <v>0</v>
      </c>
      <c r="L769" s="49">
        <v>0</v>
      </c>
      <c r="M769" s="49">
        <f>I769+L769</f>
        <v>0</v>
      </c>
      <c r="N769" s="49">
        <f>M769-H769</f>
        <v>0</v>
      </c>
      <c r="O769" s="50" t="str">
        <f>IF(H769=0,"No plan at start",M769/H769)</f>
        <v>No plan at start</v>
      </c>
    </row>
    <row r="770" spans="2:15" hidden="1" outlineLevel="2" x14ac:dyDescent="0.2">
      <c r="B770" s="49" t="s">
        <v>80</v>
      </c>
      <c r="C770" s="49" t="s">
        <v>59</v>
      </c>
      <c r="D770" s="49">
        <v>0</v>
      </c>
      <c r="E770" s="49">
        <v>0</v>
      </c>
      <c r="F770" s="49">
        <f>E770-D770</f>
        <v>0</v>
      </c>
      <c r="G770" s="50">
        <f>IF(D770=0,0,ABS(F770/D770))</f>
        <v>0</v>
      </c>
      <c r="H770" s="49">
        <v>0</v>
      </c>
      <c r="I770" s="49">
        <v>0</v>
      </c>
      <c r="J770" s="51" t="str">
        <f>IF(H770=0,"No plan at start",I770/H770)</f>
        <v>No plan at start</v>
      </c>
      <c r="K770" s="52">
        <f>H770-I770</f>
        <v>0</v>
      </c>
      <c r="L770" s="49">
        <v>0</v>
      </c>
      <c r="M770" s="49">
        <f>I770+L770</f>
        <v>0</v>
      </c>
      <c r="N770" s="49">
        <f>M770-H770</f>
        <v>0</v>
      </c>
      <c r="O770" s="50" t="str">
        <f>IF(H770=0,"No plan at start",M770/H770)</f>
        <v>No plan at start</v>
      </c>
    </row>
    <row r="771" spans="2:15" hidden="1" outlineLevel="2" x14ac:dyDescent="0.2">
      <c r="B771" s="49" t="s">
        <v>80</v>
      </c>
      <c r="C771" s="49" t="s">
        <v>60</v>
      </c>
      <c r="D771" s="49">
        <v>0</v>
      </c>
      <c r="E771" s="49">
        <v>0</v>
      </c>
      <c r="F771" s="49">
        <f>E771-D771</f>
        <v>0</v>
      </c>
      <c r="G771" s="50">
        <f>IF(D771=0,0,ABS(F771/D771))</f>
        <v>0</v>
      </c>
      <c r="H771" s="49">
        <v>0</v>
      </c>
      <c r="I771" s="49">
        <v>0</v>
      </c>
      <c r="J771" s="51" t="str">
        <f>IF(H771=0,"No plan at start",I771/H771)</f>
        <v>No plan at start</v>
      </c>
      <c r="K771" s="52">
        <f>H771-I771</f>
        <v>0</v>
      </c>
      <c r="L771" s="49">
        <v>0</v>
      </c>
      <c r="M771" s="49">
        <f>I771+L771</f>
        <v>0</v>
      </c>
      <c r="N771" s="49">
        <f>M771-H771</f>
        <v>0</v>
      </c>
      <c r="O771" s="50" t="str">
        <f>IF(H771=0,"No plan at start",M771/H771)</f>
        <v>No plan at start</v>
      </c>
    </row>
    <row r="772" spans="2:15" hidden="1" outlineLevel="2" x14ac:dyDescent="0.2">
      <c r="B772" s="49" t="s">
        <v>80</v>
      </c>
      <c r="C772" s="49" t="s">
        <v>61</v>
      </c>
      <c r="D772" s="49">
        <v>0</v>
      </c>
      <c r="E772" s="49">
        <v>0</v>
      </c>
      <c r="F772" s="49">
        <f>E772-D772</f>
        <v>0</v>
      </c>
      <c r="G772" s="50">
        <f>IF(D772=0,0,ABS(F772/D772))</f>
        <v>0</v>
      </c>
      <c r="H772" s="49">
        <v>0</v>
      </c>
      <c r="I772" s="49">
        <v>0</v>
      </c>
      <c r="J772" s="51" t="str">
        <f>IF(H772=0,"No plan at start",I772/H772)</f>
        <v>No plan at start</v>
      </c>
      <c r="K772" s="52">
        <f>H772-I772</f>
        <v>0</v>
      </c>
      <c r="L772" s="49">
        <v>0</v>
      </c>
      <c r="M772" s="49">
        <f>I772+L772</f>
        <v>0</v>
      </c>
      <c r="N772" s="49">
        <f>M772-H772</f>
        <v>0</v>
      </c>
      <c r="O772" s="50" t="str">
        <f>IF(H772=0,"No plan at start",M772/H772)</f>
        <v>No plan at start</v>
      </c>
    </row>
    <row r="773" spans="2:15" hidden="1" outlineLevel="2" x14ac:dyDescent="0.2">
      <c r="B773" s="49" t="s">
        <v>80</v>
      </c>
      <c r="C773" s="49" t="s">
        <v>62</v>
      </c>
      <c r="D773" s="49">
        <v>0</v>
      </c>
      <c r="E773" s="49">
        <v>0</v>
      </c>
      <c r="F773" s="49">
        <f>E773-D773</f>
        <v>0</v>
      </c>
      <c r="G773" s="50">
        <f>IF(D773=0,0,ABS(F773/D773))</f>
        <v>0</v>
      </c>
      <c r="H773" s="49">
        <v>0</v>
      </c>
      <c r="I773" s="49">
        <v>0</v>
      </c>
      <c r="J773" s="51" t="str">
        <f>IF(H773=0,"No plan at start",I773/H773)</f>
        <v>No plan at start</v>
      </c>
      <c r="K773" s="52">
        <f>H773-I773</f>
        <v>0</v>
      </c>
      <c r="L773" s="49">
        <v>0</v>
      </c>
      <c r="M773" s="49">
        <f>I773+L773</f>
        <v>0</v>
      </c>
      <c r="N773" s="49">
        <f>M773-H773</f>
        <v>0</v>
      </c>
      <c r="O773" s="50" t="str">
        <f>IF(H773=0,"No plan at start",M773/H773)</f>
        <v>No plan at start</v>
      </c>
    </row>
    <row r="774" spans="2:15" outlineLevel="1" collapsed="1" x14ac:dyDescent="0.2">
      <c r="B774" s="56" t="s">
        <v>119</v>
      </c>
      <c r="C774" s="49"/>
      <c r="D774" s="49">
        <f>SUBTOTAL(9,D762:D773)</f>
        <v>0</v>
      </c>
      <c r="E774" s="49">
        <f>SUBTOTAL(9,E762:E773)</f>
        <v>0</v>
      </c>
      <c r="F774" s="49">
        <f>SUBTOTAL(9,F762:F773)</f>
        <v>0</v>
      </c>
      <c r="G774" s="50">
        <f>IF(D774=0,0,ABS(F774/D774))</f>
        <v>0</v>
      </c>
      <c r="H774" s="49">
        <f>SUBTOTAL(9,H762:H773)</f>
        <v>9495.2000000000007</v>
      </c>
      <c r="I774" s="49">
        <f>SUBTOTAL(9,I762:I773)</f>
        <v>0</v>
      </c>
      <c r="J774" s="51">
        <f>IF(H774=0,"No plan at start",I774/H774)</f>
        <v>0</v>
      </c>
      <c r="K774" s="52">
        <f>SUBTOTAL(9,K762:K773)</f>
        <v>9495.2000000000007</v>
      </c>
      <c r="L774" s="49">
        <f>SUBTOTAL(9,L762:L773)</f>
        <v>0</v>
      </c>
      <c r="M774" s="49">
        <f>SUBTOTAL(9,M762:M773)</f>
        <v>0</v>
      </c>
      <c r="N774" s="49">
        <f>SUBTOTAL(9,N762:N773)</f>
        <v>-9495.2000000000007</v>
      </c>
      <c r="O774" s="50">
        <f>IF(H774=0,"No plan at start",M774/H774)</f>
        <v>0</v>
      </c>
    </row>
    <row r="775" spans="2:15" hidden="1" outlineLevel="2" x14ac:dyDescent="0.2">
      <c r="B775" s="49" t="s">
        <v>81</v>
      </c>
      <c r="C775" s="49" t="s">
        <v>52</v>
      </c>
      <c r="D775" s="49">
        <v>0</v>
      </c>
      <c r="E775" s="49">
        <v>0</v>
      </c>
      <c r="F775" s="49">
        <f>E775-D775</f>
        <v>0</v>
      </c>
      <c r="G775" s="50">
        <f>IF(D775=0,0,ABS(F775/D775))</f>
        <v>0</v>
      </c>
      <c r="H775" s="49">
        <v>0</v>
      </c>
      <c r="I775" s="49">
        <v>0</v>
      </c>
      <c r="J775" s="51" t="str">
        <f>IF(H775=0,"No plan at start",I775/H775)</f>
        <v>No plan at start</v>
      </c>
      <c r="K775" s="52">
        <f>H775-I775</f>
        <v>0</v>
      </c>
      <c r="L775" s="49">
        <v>0</v>
      </c>
      <c r="M775" s="49">
        <f>I775+L775</f>
        <v>0</v>
      </c>
      <c r="N775" s="49">
        <f>M775-H775</f>
        <v>0</v>
      </c>
      <c r="O775" s="50" t="str">
        <f>IF(H775=0,"No plan at start",M775/H775)</f>
        <v>No plan at start</v>
      </c>
    </row>
    <row r="776" spans="2:15" hidden="1" outlineLevel="2" x14ac:dyDescent="0.2">
      <c r="B776" s="49" t="s">
        <v>81</v>
      </c>
      <c r="C776" s="49" t="s">
        <v>53</v>
      </c>
      <c r="D776" s="49">
        <v>0</v>
      </c>
      <c r="E776" s="49">
        <v>0</v>
      </c>
      <c r="F776" s="49">
        <f>E776-D776</f>
        <v>0</v>
      </c>
      <c r="G776" s="50">
        <f>IF(D776=0,0,ABS(F776/D776))</f>
        <v>0</v>
      </c>
      <c r="H776" s="49">
        <v>0</v>
      </c>
      <c r="I776" s="49">
        <v>52</v>
      </c>
      <c r="J776" s="51" t="str">
        <f>IF(H776=0,"No plan at start",I776/H776)</f>
        <v>No plan at start</v>
      </c>
      <c r="K776" s="52">
        <f>H776-I776</f>
        <v>-52</v>
      </c>
      <c r="L776" s="49">
        <v>0</v>
      </c>
      <c r="M776" s="49">
        <f>I776+L776</f>
        <v>52</v>
      </c>
      <c r="N776" s="49">
        <f>M776-H776</f>
        <v>52</v>
      </c>
      <c r="O776" s="50" t="str">
        <f>IF(H776=0,"No plan at start",M776/H776)</f>
        <v>No plan at start</v>
      </c>
    </row>
    <row r="777" spans="2:15" hidden="1" outlineLevel="2" x14ac:dyDescent="0.2">
      <c r="B777" s="49" t="s">
        <v>81</v>
      </c>
      <c r="C777" s="49" t="s">
        <v>54</v>
      </c>
      <c r="D777" s="49">
        <v>0</v>
      </c>
      <c r="E777" s="49">
        <v>0</v>
      </c>
      <c r="F777" s="49">
        <f>E777-D777</f>
        <v>0</v>
      </c>
      <c r="G777" s="50">
        <f>IF(D777=0,0,ABS(F777/D777))</f>
        <v>0</v>
      </c>
      <c r="H777" s="49">
        <v>0</v>
      </c>
      <c r="I777" s="49">
        <v>0</v>
      </c>
      <c r="J777" s="51" t="str">
        <f>IF(H777=0,"No plan at start",I777/H777)</f>
        <v>No plan at start</v>
      </c>
      <c r="K777" s="52">
        <f>H777-I777</f>
        <v>0</v>
      </c>
      <c r="L777" s="49">
        <v>0</v>
      </c>
      <c r="M777" s="49">
        <f>I777+L777</f>
        <v>0</v>
      </c>
      <c r="N777" s="49">
        <f>M777-H777</f>
        <v>0</v>
      </c>
      <c r="O777" s="50" t="str">
        <f>IF(H777=0,"No plan at start",M777/H777)</f>
        <v>No plan at start</v>
      </c>
    </row>
    <row r="778" spans="2:15" hidden="1" outlineLevel="2" x14ac:dyDescent="0.2">
      <c r="B778" s="49" t="s">
        <v>81</v>
      </c>
      <c r="C778" s="49" t="s">
        <v>55</v>
      </c>
      <c r="D778" s="49">
        <v>0</v>
      </c>
      <c r="E778" s="49">
        <v>0</v>
      </c>
      <c r="F778" s="49">
        <f>E778-D778</f>
        <v>0</v>
      </c>
      <c r="G778" s="50">
        <f>IF(D778=0,0,ABS(F778/D778))</f>
        <v>0</v>
      </c>
      <c r="H778" s="49">
        <v>0</v>
      </c>
      <c r="I778" s="49">
        <v>312</v>
      </c>
      <c r="J778" s="51" t="str">
        <f>IF(H778=0,"No plan at start",I778/H778)</f>
        <v>No plan at start</v>
      </c>
      <c r="K778" s="52">
        <f>H778-I778</f>
        <v>-312</v>
      </c>
      <c r="L778" s="49">
        <v>0</v>
      </c>
      <c r="M778" s="49">
        <f>I778+L778</f>
        <v>312</v>
      </c>
      <c r="N778" s="49">
        <f>M778-H778</f>
        <v>312</v>
      </c>
      <c r="O778" s="50" t="str">
        <f>IF(H778=0,"No plan at start",M778/H778)</f>
        <v>No plan at start</v>
      </c>
    </row>
    <row r="779" spans="2:15" hidden="1" outlineLevel="2" x14ac:dyDescent="0.2">
      <c r="B779" s="49" t="s">
        <v>81</v>
      </c>
      <c r="C779" s="49" t="s">
        <v>56</v>
      </c>
      <c r="D779" s="49">
        <v>0</v>
      </c>
      <c r="E779" s="49">
        <v>0</v>
      </c>
      <c r="F779" s="49">
        <f>E779-D779</f>
        <v>0</v>
      </c>
      <c r="G779" s="50">
        <f>IF(D779=0,0,ABS(F779/D779))</f>
        <v>0</v>
      </c>
      <c r="H779" s="49">
        <v>0</v>
      </c>
      <c r="I779" s="49">
        <v>0</v>
      </c>
      <c r="J779" s="51" t="str">
        <f>IF(H779=0,"No plan at start",I779/H779)</f>
        <v>No plan at start</v>
      </c>
      <c r="K779" s="52">
        <f>H779-I779</f>
        <v>0</v>
      </c>
      <c r="L779" s="49">
        <v>0</v>
      </c>
      <c r="M779" s="49">
        <f>I779+L779</f>
        <v>0</v>
      </c>
      <c r="N779" s="49">
        <f>M779-H779</f>
        <v>0</v>
      </c>
      <c r="O779" s="50" t="str">
        <f>IF(H779=0,"No plan at start",M779/H779)</f>
        <v>No plan at start</v>
      </c>
    </row>
    <row r="780" spans="2:15" hidden="1" outlineLevel="2" x14ac:dyDescent="0.2">
      <c r="B780" s="49" t="s">
        <v>81</v>
      </c>
      <c r="C780" s="49" t="s">
        <v>57</v>
      </c>
      <c r="D780" s="49">
        <v>0</v>
      </c>
      <c r="E780" s="49">
        <v>0</v>
      </c>
      <c r="F780" s="49">
        <f>E780-D780</f>
        <v>0</v>
      </c>
      <c r="G780" s="50">
        <f>IF(D780=0,0,ABS(F780/D780))</f>
        <v>0</v>
      </c>
      <c r="H780" s="49">
        <v>0</v>
      </c>
      <c r="I780" s="49">
        <v>0</v>
      </c>
      <c r="J780" s="51" t="str">
        <f>IF(H780=0,"No plan at start",I780/H780)</f>
        <v>No plan at start</v>
      </c>
      <c r="K780" s="52">
        <f>H780-I780</f>
        <v>0</v>
      </c>
      <c r="L780" s="49">
        <v>0</v>
      </c>
      <c r="M780" s="49">
        <f>I780+L780</f>
        <v>0</v>
      </c>
      <c r="N780" s="49">
        <f>M780-H780</f>
        <v>0</v>
      </c>
      <c r="O780" s="50" t="str">
        <f>IF(H780=0,"No plan at start",M780/H780)</f>
        <v>No plan at start</v>
      </c>
    </row>
    <row r="781" spans="2:15" hidden="1" outlineLevel="2" x14ac:dyDescent="0.2">
      <c r="B781" s="49" t="s">
        <v>81</v>
      </c>
      <c r="C781" s="49" t="s">
        <v>48</v>
      </c>
      <c r="D781" s="49">
        <v>0</v>
      </c>
      <c r="E781" s="49">
        <v>0</v>
      </c>
      <c r="F781" s="49">
        <f>E781-D781</f>
        <v>0</v>
      </c>
      <c r="G781" s="50">
        <f>IF(D781=0,0,ABS(F781/D781))</f>
        <v>0</v>
      </c>
      <c r="H781" s="49">
        <v>0</v>
      </c>
      <c r="I781" s="49">
        <v>0</v>
      </c>
      <c r="J781" s="51" t="str">
        <f>IF(H781=0,"No plan at start",I781/H781)</f>
        <v>No plan at start</v>
      </c>
      <c r="K781" s="52">
        <f>H781-I781</f>
        <v>0</v>
      </c>
      <c r="L781" s="49">
        <v>0</v>
      </c>
      <c r="M781" s="49">
        <f>I781+L781</f>
        <v>0</v>
      </c>
      <c r="N781" s="49">
        <f>M781-H781</f>
        <v>0</v>
      </c>
      <c r="O781" s="50" t="str">
        <f>IF(H781=0,"No plan at start",M781/H781)</f>
        <v>No plan at start</v>
      </c>
    </row>
    <row r="782" spans="2:15" hidden="1" outlineLevel="2" x14ac:dyDescent="0.2">
      <c r="B782" s="49" t="s">
        <v>81</v>
      </c>
      <c r="C782" s="49" t="s">
        <v>58</v>
      </c>
      <c r="D782" s="49">
        <v>0</v>
      </c>
      <c r="E782" s="49">
        <v>0</v>
      </c>
      <c r="F782" s="49">
        <f>E782-D782</f>
        <v>0</v>
      </c>
      <c r="G782" s="50">
        <f>IF(D782=0,0,ABS(F782/D782))</f>
        <v>0</v>
      </c>
      <c r="H782" s="49">
        <v>0</v>
      </c>
      <c r="I782" s="49">
        <v>0</v>
      </c>
      <c r="J782" s="51" t="str">
        <f>IF(H782=0,"No plan at start",I782/H782)</f>
        <v>No plan at start</v>
      </c>
      <c r="K782" s="52">
        <f>H782-I782</f>
        <v>0</v>
      </c>
      <c r="L782" s="49">
        <v>0</v>
      </c>
      <c r="M782" s="49">
        <f>I782+L782</f>
        <v>0</v>
      </c>
      <c r="N782" s="49">
        <f>M782-H782</f>
        <v>0</v>
      </c>
      <c r="O782" s="50" t="str">
        <f>IF(H782=0,"No plan at start",M782/H782)</f>
        <v>No plan at start</v>
      </c>
    </row>
    <row r="783" spans="2:15" hidden="1" outlineLevel="2" x14ac:dyDescent="0.2">
      <c r="B783" s="49" t="s">
        <v>81</v>
      </c>
      <c r="C783" s="49" t="s">
        <v>59</v>
      </c>
      <c r="D783" s="49">
        <v>0</v>
      </c>
      <c r="E783" s="49">
        <v>0</v>
      </c>
      <c r="F783" s="49">
        <f>E783-D783</f>
        <v>0</v>
      </c>
      <c r="G783" s="50">
        <f>IF(D783=0,0,ABS(F783/D783))</f>
        <v>0</v>
      </c>
      <c r="H783" s="49">
        <v>0</v>
      </c>
      <c r="I783" s="49">
        <v>0</v>
      </c>
      <c r="J783" s="51" t="str">
        <f>IF(H783=0,"No plan at start",I783/H783)</f>
        <v>No plan at start</v>
      </c>
      <c r="K783" s="52">
        <f>H783-I783</f>
        <v>0</v>
      </c>
      <c r="L783" s="49">
        <v>0</v>
      </c>
      <c r="M783" s="49">
        <f>I783+L783</f>
        <v>0</v>
      </c>
      <c r="N783" s="49">
        <f>M783-H783</f>
        <v>0</v>
      </c>
      <c r="O783" s="50" t="str">
        <f>IF(H783=0,"No plan at start",M783/H783)</f>
        <v>No plan at start</v>
      </c>
    </row>
    <row r="784" spans="2:15" hidden="1" outlineLevel="2" x14ac:dyDescent="0.2">
      <c r="B784" s="49" t="s">
        <v>81</v>
      </c>
      <c r="C784" s="49" t="s">
        <v>60</v>
      </c>
      <c r="D784" s="49">
        <v>0</v>
      </c>
      <c r="E784" s="49">
        <v>0</v>
      </c>
      <c r="F784" s="49">
        <f>E784-D784</f>
        <v>0</v>
      </c>
      <c r="G784" s="50">
        <f>IF(D784=0,0,ABS(F784/D784))</f>
        <v>0</v>
      </c>
      <c r="H784" s="49">
        <v>0</v>
      </c>
      <c r="I784" s="49">
        <v>0</v>
      </c>
      <c r="J784" s="51" t="str">
        <f>IF(H784=0,"No plan at start",I784/H784)</f>
        <v>No plan at start</v>
      </c>
      <c r="K784" s="52">
        <f>H784-I784</f>
        <v>0</v>
      </c>
      <c r="L784" s="49">
        <v>0</v>
      </c>
      <c r="M784" s="49">
        <f>I784+L784</f>
        <v>0</v>
      </c>
      <c r="N784" s="49">
        <f>M784-H784</f>
        <v>0</v>
      </c>
      <c r="O784" s="50" t="str">
        <f>IF(H784=0,"No plan at start",M784/H784)</f>
        <v>No plan at start</v>
      </c>
    </row>
    <row r="785" spans="2:15" hidden="1" outlineLevel="2" x14ac:dyDescent="0.2">
      <c r="B785" s="49" t="s">
        <v>81</v>
      </c>
      <c r="C785" s="49" t="s">
        <v>61</v>
      </c>
      <c r="D785" s="49">
        <v>0</v>
      </c>
      <c r="E785" s="49">
        <v>0</v>
      </c>
      <c r="F785" s="49">
        <f>E785-D785</f>
        <v>0</v>
      </c>
      <c r="G785" s="50">
        <f>IF(D785=0,0,ABS(F785/D785))</f>
        <v>0</v>
      </c>
      <c r="H785" s="49">
        <v>0</v>
      </c>
      <c r="I785" s="49">
        <v>0</v>
      </c>
      <c r="J785" s="51" t="str">
        <f>IF(H785=0,"No plan at start",I785/H785)</f>
        <v>No plan at start</v>
      </c>
      <c r="K785" s="52">
        <f>H785-I785</f>
        <v>0</v>
      </c>
      <c r="L785" s="49">
        <v>0</v>
      </c>
      <c r="M785" s="49">
        <f>I785+L785</f>
        <v>0</v>
      </c>
      <c r="N785" s="49">
        <f>M785-H785</f>
        <v>0</v>
      </c>
      <c r="O785" s="50" t="str">
        <f>IF(H785=0,"No plan at start",M785/H785)</f>
        <v>No plan at start</v>
      </c>
    </row>
    <row r="786" spans="2:15" hidden="1" outlineLevel="2" x14ac:dyDescent="0.2">
      <c r="B786" s="49" t="s">
        <v>81</v>
      </c>
      <c r="C786" s="49" t="s">
        <v>62</v>
      </c>
      <c r="D786" s="49">
        <v>0</v>
      </c>
      <c r="E786" s="49">
        <v>0</v>
      </c>
      <c r="F786" s="49">
        <f>E786-D786</f>
        <v>0</v>
      </c>
      <c r="G786" s="50">
        <f>IF(D786=0,0,ABS(F786/D786))</f>
        <v>0</v>
      </c>
      <c r="H786" s="49">
        <v>0</v>
      </c>
      <c r="I786" s="49">
        <v>0</v>
      </c>
      <c r="J786" s="51" t="str">
        <f>IF(H786=0,"No plan at start",I786/H786)</f>
        <v>No plan at start</v>
      </c>
      <c r="K786" s="52">
        <f>H786-I786</f>
        <v>0</v>
      </c>
      <c r="L786" s="49">
        <v>0</v>
      </c>
      <c r="M786" s="49">
        <f>I786+L786</f>
        <v>0</v>
      </c>
      <c r="N786" s="49">
        <f>M786-H786</f>
        <v>0</v>
      </c>
      <c r="O786" s="50" t="str">
        <f>IF(H786=0,"No plan at start",M786/H786)</f>
        <v>No plan at start</v>
      </c>
    </row>
    <row r="787" spans="2:15" outlineLevel="1" collapsed="1" x14ac:dyDescent="0.2">
      <c r="B787" s="56" t="s">
        <v>120</v>
      </c>
      <c r="C787" s="49"/>
      <c r="D787" s="49">
        <f>SUBTOTAL(9,D775:D786)</f>
        <v>0</v>
      </c>
      <c r="E787" s="49">
        <f>SUBTOTAL(9,E775:E786)</f>
        <v>0</v>
      </c>
      <c r="F787" s="49">
        <f>SUBTOTAL(9,F775:F786)</f>
        <v>0</v>
      </c>
      <c r="G787" s="50">
        <f>IF(D787=0,0,ABS(F787/D787))</f>
        <v>0</v>
      </c>
      <c r="H787" s="49">
        <f>SUBTOTAL(9,H775:H786)</f>
        <v>0</v>
      </c>
      <c r="I787" s="49">
        <f>SUBTOTAL(9,I775:I786)</f>
        <v>364</v>
      </c>
      <c r="J787" s="51" t="str">
        <f>IF(H787=0,"No plan at start",I787/H787)</f>
        <v>No plan at start</v>
      </c>
      <c r="K787" s="52">
        <f>SUBTOTAL(9,K775:K786)</f>
        <v>-364</v>
      </c>
      <c r="L787" s="49">
        <f>SUBTOTAL(9,L775:L786)</f>
        <v>0</v>
      </c>
      <c r="M787" s="49">
        <f>SUBTOTAL(9,M775:M786)</f>
        <v>364</v>
      </c>
      <c r="N787" s="49">
        <f>SUBTOTAL(9,N775:N786)</f>
        <v>364</v>
      </c>
      <c r="O787" s="50" t="str">
        <f>IF(H787=0,"No plan at start",M787/H787)</f>
        <v>No plan at start</v>
      </c>
    </row>
    <row r="788" spans="2:15" hidden="1" outlineLevel="2" x14ac:dyDescent="0.2">
      <c r="B788" s="49" t="s">
        <v>82</v>
      </c>
      <c r="C788" s="49" t="s">
        <v>52</v>
      </c>
      <c r="D788" s="49">
        <v>0</v>
      </c>
      <c r="E788" s="49">
        <v>0</v>
      </c>
      <c r="F788" s="49">
        <f>E788-D788</f>
        <v>0</v>
      </c>
      <c r="G788" s="50">
        <f>IF(D788=0,0,ABS(F788/D788))</f>
        <v>0</v>
      </c>
      <c r="H788" s="49">
        <v>0</v>
      </c>
      <c r="I788" s="49">
        <v>364</v>
      </c>
      <c r="J788" s="51" t="str">
        <f>IF(H788=0,"No plan at start",I788/H788)</f>
        <v>No plan at start</v>
      </c>
      <c r="K788" s="52">
        <f>H788-I788</f>
        <v>-364</v>
      </c>
      <c r="L788" s="49">
        <v>0</v>
      </c>
      <c r="M788" s="49">
        <f>I788+L788</f>
        <v>364</v>
      </c>
      <c r="N788" s="49">
        <f>M788-H788</f>
        <v>364</v>
      </c>
      <c r="O788" s="50" t="str">
        <f>IF(H788=0,"No plan at start",M788/H788)</f>
        <v>No plan at start</v>
      </c>
    </row>
    <row r="789" spans="2:15" hidden="1" outlineLevel="2" x14ac:dyDescent="0.2">
      <c r="B789" s="49" t="s">
        <v>82</v>
      </c>
      <c r="C789" s="49" t="s">
        <v>53</v>
      </c>
      <c r="D789" s="49">
        <v>0</v>
      </c>
      <c r="E789" s="49">
        <v>0</v>
      </c>
      <c r="F789" s="49">
        <f>E789-D789</f>
        <v>0</v>
      </c>
      <c r="G789" s="50">
        <f>IF(D789=0,0,ABS(F789/D789))</f>
        <v>0</v>
      </c>
      <c r="H789" s="49">
        <v>6472.7</v>
      </c>
      <c r="I789" s="49">
        <v>2340</v>
      </c>
      <c r="J789" s="51">
        <f>IF(H789=0,"No plan at start",I789/H789)</f>
        <v>0.36151837718417351</v>
      </c>
      <c r="K789" s="52">
        <f>H789-I789</f>
        <v>4132.7</v>
      </c>
      <c r="L789" s="49">
        <v>0</v>
      </c>
      <c r="M789" s="49">
        <f>I789+L789</f>
        <v>2340</v>
      </c>
      <c r="N789" s="49">
        <f>M789-H789</f>
        <v>-4132.7</v>
      </c>
      <c r="O789" s="50">
        <f>IF(H789=0,"No plan at start",M789/H789)</f>
        <v>0.36151837718417351</v>
      </c>
    </row>
    <row r="790" spans="2:15" hidden="1" outlineLevel="2" x14ac:dyDescent="0.2">
      <c r="B790" s="49" t="s">
        <v>82</v>
      </c>
      <c r="C790" s="49" t="s">
        <v>54</v>
      </c>
      <c r="D790" s="49">
        <v>0</v>
      </c>
      <c r="E790" s="49">
        <v>0</v>
      </c>
      <c r="F790" s="49">
        <f>E790-D790</f>
        <v>0</v>
      </c>
      <c r="G790" s="50">
        <f>IF(D790=0,0,ABS(F790/D790))</f>
        <v>0</v>
      </c>
      <c r="H790" s="49">
        <v>0</v>
      </c>
      <c r="I790" s="49">
        <v>0</v>
      </c>
      <c r="J790" s="51" t="str">
        <f>IF(H790=0,"No plan at start",I790/H790)</f>
        <v>No plan at start</v>
      </c>
      <c r="K790" s="52">
        <f>H790-I790</f>
        <v>0</v>
      </c>
      <c r="L790" s="49">
        <v>0</v>
      </c>
      <c r="M790" s="49">
        <f>I790+L790</f>
        <v>0</v>
      </c>
      <c r="N790" s="49">
        <f>M790-H790</f>
        <v>0</v>
      </c>
      <c r="O790" s="50" t="str">
        <f>IF(H790=0,"No plan at start",M790/H790)</f>
        <v>No plan at start</v>
      </c>
    </row>
    <row r="791" spans="2:15" hidden="1" outlineLevel="2" x14ac:dyDescent="0.2">
      <c r="B791" s="49" t="s">
        <v>82</v>
      </c>
      <c r="C791" s="49" t="s">
        <v>55</v>
      </c>
      <c r="D791" s="49">
        <v>0</v>
      </c>
      <c r="E791" s="49">
        <v>0</v>
      </c>
      <c r="F791" s="49">
        <f>E791-D791</f>
        <v>0</v>
      </c>
      <c r="G791" s="50">
        <f>IF(D791=0,0,ABS(F791/D791))</f>
        <v>0</v>
      </c>
      <c r="H791" s="49">
        <v>0</v>
      </c>
      <c r="I791" s="49">
        <v>884</v>
      </c>
      <c r="J791" s="51" t="str">
        <f>IF(H791=0,"No plan at start",I791/H791)</f>
        <v>No plan at start</v>
      </c>
      <c r="K791" s="52">
        <f>H791-I791</f>
        <v>-884</v>
      </c>
      <c r="L791" s="49">
        <v>0</v>
      </c>
      <c r="M791" s="49">
        <f>I791+L791</f>
        <v>884</v>
      </c>
      <c r="N791" s="49">
        <f>M791-H791</f>
        <v>884</v>
      </c>
      <c r="O791" s="50" t="str">
        <f>IF(H791=0,"No plan at start",M791/H791)</f>
        <v>No plan at start</v>
      </c>
    </row>
    <row r="792" spans="2:15" hidden="1" outlineLevel="2" x14ac:dyDescent="0.2">
      <c r="B792" s="49" t="s">
        <v>82</v>
      </c>
      <c r="C792" s="49" t="s">
        <v>56</v>
      </c>
      <c r="D792" s="49">
        <v>0</v>
      </c>
      <c r="E792" s="49">
        <v>0</v>
      </c>
      <c r="F792" s="49">
        <f>E792-D792</f>
        <v>0</v>
      </c>
      <c r="G792" s="50">
        <f>IF(D792=0,0,ABS(F792/D792))</f>
        <v>0</v>
      </c>
      <c r="H792" s="49">
        <v>0</v>
      </c>
      <c r="I792" s="49">
        <v>0</v>
      </c>
      <c r="J792" s="51" t="str">
        <f>IF(H792=0,"No plan at start",I792/H792)</f>
        <v>No plan at start</v>
      </c>
      <c r="K792" s="52">
        <f>H792-I792</f>
        <v>0</v>
      </c>
      <c r="L792" s="49">
        <v>0</v>
      </c>
      <c r="M792" s="49">
        <f>I792+L792</f>
        <v>0</v>
      </c>
      <c r="N792" s="49">
        <f>M792-H792</f>
        <v>0</v>
      </c>
      <c r="O792" s="50" t="str">
        <f>IF(H792=0,"No plan at start",M792/H792)</f>
        <v>No plan at start</v>
      </c>
    </row>
    <row r="793" spans="2:15" hidden="1" outlineLevel="2" x14ac:dyDescent="0.2">
      <c r="B793" s="49" t="s">
        <v>82</v>
      </c>
      <c r="C793" s="49" t="s">
        <v>57</v>
      </c>
      <c r="D793" s="49">
        <v>0</v>
      </c>
      <c r="E793" s="49">
        <v>0</v>
      </c>
      <c r="F793" s="49">
        <f>E793-D793</f>
        <v>0</v>
      </c>
      <c r="G793" s="50">
        <f>IF(D793=0,0,ABS(F793/D793))</f>
        <v>0</v>
      </c>
      <c r="H793" s="49">
        <v>0</v>
      </c>
      <c r="I793" s="49">
        <v>0</v>
      </c>
      <c r="J793" s="51" t="str">
        <f>IF(H793=0,"No plan at start",I793/H793)</f>
        <v>No plan at start</v>
      </c>
      <c r="K793" s="52">
        <f>H793-I793</f>
        <v>0</v>
      </c>
      <c r="L793" s="49">
        <v>0</v>
      </c>
      <c r="M793" s="49">
        <f>I793+L793</f>
        <v>0</v>
      </c>
      <c r="N793" s="49">
        <f>M793-H793</f>
        <v>0</v>
      </c>
      <c r="O793" s="50" t="str">
        <f>IF(H793=0,"No plan at start",M793/H793)</f>
        <v>No plan at start</v>
      </c>
    </row>
    <row r="794" spans="2:15" hidden="1" outlineLevel="2" x14ac:dyDescent="0.2">
      <c r="B794" s="49" t="s">
        <v>82</v>
      </c>
      <c r="C794" s="49" t="s">
        <v>48</v>
      </c>
      <c r="D794" s="49">
        <v>0</v>
      </c>
      <c r="E794" s="49">
        <v>0</v>
      </c>
      <c r="F794" s="49">
        <f>E794-D794</f>
        <v>0</v>
      </c>
      <c r="G794" s="50">
        <f>IF(D794=0,0,ABS(F794/D794))</f>
        <v>0</v>
      </c>
      <c r="H794" s="49">
        <v>0</v>
      </c>
      <c r="I794" s="49">
        <v>0</v>
      </c>
      <c r="J794" s="51" t="str">
        <f>IF(H794=0,"No plan at start",I794/H794)</f>
        <v>No plan at start</v>
      </c>
      <c r="K794" s="52">
        <f>H794-I794</f>
        <v>0</v>
      </c>
      <c r="L794" s="49">
        <v>0</v>
      </c>
      <c r="M794" s="49">
        <f>I794+L794</f>
        <v>0</v>
      </c>
      <c r="N794" s="49">
        <f>M794-H794</f>
        <v>0</v>
      </c>
      <c r="O794" s="50" t="str">
        <f>IF(H794=0,"No plan at start",M794/H794)</f>
        <v>No plan at start</v>
      </c>
    </row>
    <row r="795" spans="2:15" hidden="1" outlineLevel="2" x14ac:dyDescent="0.2">
      <c r="B795" s="49" t="s">
        <v>82</v>
      </c>
      <c r="C795" s="49" t="s">
        <v>58</v>
      </c>
      <c r="D795" s="49">
        <v>0</v>
      </c>
      <c r="E795" s="49">
        <v>0</v>
      </c>
      <c r="F795" s="49">
        <f>E795-D795</f>
        <v>0</v>
      </c>
      <c r="G795" s="50">
        <f>IF(D795=0,0,ABS(F795/D795))</f>
        <v>0</v>
      </c>
      <c r="H795" s="49">
        <v>0</v>
      </c>
      <c r="I795" s="49">
        <v>0</v>
      </c>
      <c r="J795" s="51" t="str">
        <f>IF(H795=0,"No plan at start",I795/H795)</f>
        <v>No plan at start</v>
      </c>
      <c r="K795" s="52">
        <f>H795-I795</f>
        <v>0</v>
      </c>
      <c r="L795" s="49">
        <v>0</v>
      </c>
      <c r="M795" s="49">
        <f>I795+L795</f>
        <v>0</v>
      </c>
      <c r="N795" s="49">
        <f>M795-H795</f>
        <v>0</v>
      </c>
      <c r="O795" s="50" t="str">
        <f>IF(H795=0,"No plan at start",M795/H795)</f>
        <v>No plan at start</v>
      </c>
    </row>
    <row r="796" spans="2:15" hidden="1" outlineLevel="2" x14ac:dyDescent="0.2">
      <c r="B796" s="49" t="s">
        <v>82</v>
      </c>
      <c r="C796" s="49" t="s">
        <v>59</v>
      </c>
      <c r="D796" s="49">
        <v>0</v>
      </c>
      <c r="E796" s="49">
        <v>0</v>
      </c>
      <c r="F796" s="49">
        <f>E796-D796</f>
        <v>0</v>
      </c>
      <c r="G796" s="50">
        <f>IF(D796=0,0,ABS(F796/D796))</f>
        <v>0</v>
      </c>
      <c r="H796" s="49">
        <v>0</v>
      </c>
      <c r="I796" s="49">
        <v>0</v>
      </c>
      <c r="J796" s="51" t="str">
        <f>IF(H796=0,"No plan at start",I796/H796)</f>
        <v>No plan at start</v>
      </c>
      <c r="K796" s="52">
        <f>H796-I796</f>
        <v>0</v>
      </c>
      <c r="L796" s="49">
        <v>0</v>
      </c>
      <c r="M796" s="49">
        <f>I796+L796</f>
        <v>0</v>
      </c>
      <c r="N796" s="49">
        <f>M796-H796</f>
        <v>0</v>
      </c>
      <c r="O796" s="50" t="str">
        <f>IF(H796=0,"No plan at start",M796/H796)</f>
        <v>No plan at start</v>
      </c>
    </row>
    <row r="797" spans="2:15" hidden="1" outlineLevel="2" x14ac:dyDescent="0.2">
      <c r="B797" s="49" t="s">
        <v>82</v>
      </c>
      <c r="C797" s="49" t="s">
        <v>60</v>
      </c>
      <c r="D797" s="49">
        <v>0</v>
      </c>
      <c r="E797" s="49">
        <v>0</v>
      </c>
      <c r="F797" s="49">
        <f>E797-D797</f>
        <v>0</v>
      </c>
      <c r="G797" s="50">
        <f>IF(D797=0,0,ABS(F797/D797))</f>
        <v>0</v>
      </c>
      <c r="H797" s="49">
        <v>0</v>
      </c>
      <c r="I797" s="49">
        <v>0</v>
      </c>
      <c r="J797" s="51" t="str">
        <f>IF(H797=0,"No plan at start",I797/H797)</f>
        <v>No plan at start</v>
      </c>
      <c r="K797" s="52">
        <f>H797-I797</f>
        <v>0</v>
      </c>
      <c r="L797" s="49">
        <v>0</v>
      </c>
      <c r="M797" s="49">
        <f>I797+L797</f>
        <v>0</v>
      </c>
      <c r="N797" s="49">
        <f>M797-H797</f>
        <v>0</v>
      </c>
      <c r="O797" s="50" t="str">
        <f>IF(H797=0,"No plan at start",M797/H797)</f>
        <v>No plan at start</v>
      </c>
    </row>
    <row r="798" spans="2:15" hidden="1" outlineLevel="2" x14ac:dyDescent="0.2">
      <c r="B798" s="49" t="s">
        <v>82</v>
      </c>
      <c r="C798" s="49" t="s">
        <v>61</v>
      </c>
      <c r="D798" s="49">
        <v>0</v>
      </c>
      <c r="E798" s="49">
        <v>0</v>
      </c>
      <c r="F798" s="49">
        <f>E798-D798</f>
        <v>0</v>
      </c>
      <c r="G798" s="50">
        <f>IF(D798=0,0,ABS(F798/D798))</f>
        <v>0</v>
      </c>
      <c r="H798" s="49">
        <v>0</v>
      </c>
      <c r="I798" s="49">
        <v>0</v>
      </c>
      <c r="J798" s="51" t="str">
        <f>IF(H798=0,"No plan at start",I798/H798)</f>
        <v>No plan at start</v>
      </c>
      <c r="K798" s="52">
        <f>H798-I798</f>
        <v>0</v>
      </c>
      <c r="L798" s="49">
        <v>0</v>
      </c>
      <c r="M798" s="49">
        <f>I798+L798</f>
        <v>0</v>
      </c>
      <c r="N798" s="49">
        <f>M798-H798</f>
        <v>0</v>
      </c>
      <c r="O798" s="50" t="str">
        <f>IF(H798=0,"No plan at start",M798/H798)</f>
        <v>No plan at start</v>
      </c>
    </row>
    <row r="799" spans="2:15" hidden="1" outlineLevel="2" x14ac:dyDescent="0.2">
      <c r="B799" s="49" t="s">
        <v>82</v>
      </c>
      <c r="C799" s="49" t="s">
        <v>62</v>
      </c>
      <c r="D799" s="49">
        <v>0</v>
      </c>
      <c r="E799" s="49">
        <v>0</v>
      </c>
      <c r="F799" s="49">
        <f>E799-D799</f>
        <v>0</v>
      </c>
      <c r="G799" s="50">
        <f>IF(D799=0,0,ABS(F799/D799))</f>
        <v>0</v>
      </c>
      <c r="H799" s="49">
        <v>0</v>
      </c>
      <c r="I799" s="49">
        <v>0</v>
      </c>
      <c r="J799" s="51" t="str">
        <f>IF(H799=0,"No plan at start",I799/H799)</f>
        <v>No plan at start</v>
      </c>
      <c r="K799" s="52">
        <f>H799-I799</f>
        <v>0</v>
      </c>
      <c r="L799" s="49">
        <v>0</v>
      </c>
      <c r="M799" s="49">
        <f>I799+L799</f>
        <v>0</v>
      </c>
      <c r="N799" s="49">
        <f>M799-H799</f>
        <v>0</v>
      </c>
      <c r="O799" s="50" t="str">
        <f>IF(H799=0,"No plan at start",M799/H799)</f>
        <v>No plan at start</v>
      </c>
    </row>
    <row r="800" spans="2:15" outlineLevel="1" collapsed="1" x14ac:dyDescent="0.2">
      <c r="B800" s="56" t="s">
        <v>121</v>
      </c>
      <c r="C800" s="49"/>
      <c r="D800" s="49">
        <f>SUBTOTAL(9,D788:D799)</f>
        <v>0</v>
      </c>
      <c r="E800" s="49">
        <f>SUBTOTAL(9,E788:E799)</f>
        <v>0</v>
      </c>
      <c r="F800" s="49">
        <f>SUBTOTAL(9,F788:F799)</f>
        <v>0</v>
      </c>
      <c r="G800" s="50">
        <f>IF(D800=0,0,ABS(F800/D800))</f>
        <v>0</v>
      </c>
      <c r="H800" s="49">
        <f>SUBTOTAL(9,H788:H799)</f>
        <v>6472.7</v>
      </c>
      <c r="I800" s="49">
        <f>SUBTOTAL(9,I788:I799)</f>
        <v>3588</v>
      </c>
      <c r="J800" s="51">
        <f>IF(H800=0,"No plan at start",I800/H800)</f>
        <v>0.55432817834906611</v>
      </c>
      <c r="K800" s="52">
        <f>SUBTOTAL(9,K788:K799)</f>
        <v>2884.7</v>
      </c>
      <c r="L800" s="49">
        <f>SUBTOTAL(9,L788:L799)</f>
        <v>0</v>
      </c>
      <c r="M800" s="49">
        <f>SUBTOTAL(9,M788:M799)</f>
        <v>3588</v>
      </c>
      <c r="N800" s="49">
        <f>SUBTOTAL(9,N788:N799)</f>
        <v>-2884.7</v>
      </c>
      <c r="O800" s="50">
        <f>IF(H800=0,"No plan at start",M800/H800)</f>
        <v>0.55432817834906611</v>
      </c>
    </row>
    <row r="801" spans="2:15" hidden="1" outlineLevel="2" x14ac:dyDescent="0.2">
      <c r="B801" s="49" t="s">
        <v>83</v>
      </c>
      <c r="C801" s="49" t="s">
        <v>52</v>
      </c>
      <c r="D801" s="49">
        <v>0</v>
      </c>
      <c r="E801" s="49">
        <v>0</v>
      </c>
      <c r="F801" s="49">
        <f>E801-D801</f>
        <v>0</v>
      </c>
      <c r="G801" s="50">
        <f>IF(D801=0,0,ABS(F801/D801))</f>
        <v>0</v>
      </c>
      <c r="H801" s="49">
        <v>17014.400000000001</v>
      </c>
      <c r="I801" s="49">
        <v>12558</v>
      </c>
      <c r="J801" s="51">
        <f>IF(H801=0,"No plan at start",I801/H801)</f>
        <v>0.73808068459657694</v>
      </c>
      <c r="K801" s="52">
        <f>H801-I801</f>
        <v>4456.4000000000015</v>
      </c>
      <c r="L801" s="49">
        <v>0</v>
      </c>
      <c r="M801" s="49">
        <f>I801+L801</f>
        <v>12558</v>
      </c>
      <c r="N801" s="49">
        <f>M801-H801</f>
        <v>-4456.4000000000015</v>
      </c>
      <c r="O801" s="50">
        <f>IF(H801=0,"No plan at start",M801/H801)</f>
        <v>0.73808068459657694</v>
      </c>
    </row>
    <row r="802" spans="2:15" hidden="1" outlineLevel="2" x14ac:dyDescent="0.2">
      <c r="B802" s="49" t="s">
        <v>83</v>
      </c>
      <c r="C802" s="49" t="s">
        <v>53</v>
      </c>
      <c r="D802" s="49">
        <v>0</v>
      </c>
      <c r="E802" s="49">
        <v>0</v>
      </c>
      <c r="F802" s="49">
        <f>E802-D802</f>
        <v>0</v>
      </c>
      <c r="G802" s="50">
        <f>IF(D802=0,0,ABS(F802/D802))</f>
        <v>0</v>
      </c>
      <c r="H802" s="49">
        <v>11388</v>
      </c>
      <c r="I802" s="49">
        <v>3081</v>
      </c>
      <c r="J802" s="51">
        <f>IF(H802=0,"No plan at start",I802/H802)</f>
        <v>0.27054794520547948</v>
      </c>
      <c r="K802" s="52">
        <f>H802-I802</f>
        <v>8307</v>
      </c>
      <c r="L802" s="49">
        <v>0</v>
      </c>
      <c r="M802" s="49">
        <f>I802+L802</f>
        <v>3081</v>
      </c>
      <c r="N802" s="49">
        <f>M802-H802</f>
        <v>-8307</v>
      </c>
      <c r="O802" s="50">
        <f>IF(H802=0,"No plan at start",M802/H802)</f>
        <v>0.27054794520547948</v>
      </c>
    </row>
    <row r="803" spans="2:15" hidden="1" outlineLevel="2" x14ac:dyDescent="0.2">
      <c r="B803" s="49" t="s">
        <v>83</v>
      </c>
      <c r="C803" s="49" t="s">
        <v>54</v>
      </c>
      <c r="D803" s="49">
        <v>0</v>
      </c>
      <c r="E803" s="49">
        <v>0</v>
      </c>
      <c r="F803" s="49">
        <f>E803-D803</f>
        <v>0</v>
      </c>
      <c r="G803" s="50">
        <f>IF(D803=0,0,ABS(F803/D803))</f>
        <v>0</v>
      </c>
      <c r="H803" s="49">
        <v>0</v>
      </c>
      <c r="I803" s="49">
        <v>0</v>
      </c>
      <c r="J803" s="51" t="str">
        <f>IF(H803=0,"No plan at start",I803/H803)</f>
        <v>No plan at start</v>
      </c>
      <c r="K803" s="52">
        <f>H803-I803</f>
        <v>0</v>
      </c>
      <c r="L803" s="49">
        <v>0</v>
      </c>
      <c r="M803" s="49">
        <f>I803+L803</f>
        <v>0</v>
      </c>
      <c r="N803" s="49">
        <f>M803-H803</f>
        <v>0</v>
      </c>
      <c r="O803" s="50" t="str">
        <f>IF(H803=0,"No plan at start",M803/H803)</f>
        <v>No plan at start</v>
      </c>
    </row>
    <row r="804" spans="2:15" hidden="1" outlineLevel="2" x14ac:dyDescent="0.2">
      <c r="B804" s="49" t="s">
        <v>83</v>
      </c>
      <c r="C804" s="49" t="s">
        <v>55</v>
      </c>
      <c r="D804" s="49">
        <v>0</v>
      </c>
      <c r="E804" s="49">
        <v>0</v>
      </c>
      <c r="F804" s="49">
        <f>E804-D804</f>
        <v>0</v>
      </c>
      <c r="G804" s="50">
        <f>IF(D804=0,0,ABS(F804/D804))</f>
        <v>0</v>
      </c>
      <c r="H804" s="49">
        <v>15028</v>
      </c>
      <c r="I804" s="49">
        <v>18265</v>
      </c>
      <c r="J804" s="51">
        <f>IF(H804=0,"No plan at start",I804/H804)</f>
        <v>1.2153979238754324</v>
      </c>
      <c r="K804" s="52">
        <f>H804-I804</f>
        <v>-3237</v>
      </c>
      <c r="L804" s="49">
        <v>0</v>
      </c>
      <c r="M804" s="49">
        <f>I804+L804</f>
        <v>18265</v>
      </c>
      <c r="N804" s="49">
        <f>M804-H804</f>
        <v>3237</v>
      </c>
      <c r="O804" s="50">
        <f>IF(H804=0,"No plan at start",M804/H804)</f>
        <v>1.2153979238754324</v>
      </c>
    </row>
    <row r="805" spans="2:15" hidden="1" outlineLevel="2" x14ac:dyDescent="0.2">
      <c r="B805" s="49" t="s">
        <v>83</v>
      </c>
      <c r="C805" s="49" t="s">
        <v>56</v>
      </c>
      <c r="D805" s="49">
        <v>0</v>
      </c>
      <c r="E805" s="49">
        <v>0</v>
      </c>
      <c r="F805" s="49">
        <f>E805-D805</f>
        <v>0</v>
      </c>
      <c r="G805" s="50">
        <f>IF(D805=0,0,ABS(F805/D805))</f>
        <v>0</v>
      </c>
      <c r="H805" s="49">
        <v>0</v>
      </c>
      <c r="I805" s="49">
        <v>223.6</v>
      </c>
      <c r="J805" s="51" t="str">
        <f>IF(H805=0,"No plan at start",I805/H805)</f>
        <v>No plan at start</v>
      </c>
      <c r="K805" s="52">
        <f>H805-I805</f>
        <v>-223.6</v>
      </c>
      <c r="L805" s="49">
        <v>0</v>
      </c>
      <c r="M805" s="49">
        <f>I805+L805</f>
        <v>223.6</v>
      </c>
      <c r="N805" s="49">
        <f>M805-H805</f>
        <v>223.6</v>
      </c>
      <c r="O805" s="50" t="str">
        <f>IF(H805=0,"No plan at start",M805/H805)</f>
        <v>No plan at start</v>
      </c>
    </row>
    <row r="806" spans="2:15" hidden="1" outlineLevel="2" x14ac:dyDescent="0.2">
      <c r="B806" s="49" t="s">
        <v>83</v>
      </c>
      <c r="C806" s="49" t="s">
        <v>57</v>
      </c>
      <c r="D806" s="49">
        <v>0</v>
      </c>
      <c r="E806" s="49">
        <v>0</v>
      </c>
      <c r="F806" s="49">
        <f>E806-D806</f>
        <v>0</v>
      </c>
      <c r="G806" s="50">
        <f>IF(D806=0,0,ABS(F806/D806))</f>
        <v>0</v>
      </c>
      <c r="H806" s="49">
        <v>0</v>
      </c>
      <c r="I806" s="49">
        <v>0</v>
      </c>
      <c r="J806" s="51" t="str">
        <f>IF(H806=0,"No plan at start",I806/H806)</f>
        <v>No plan at start</v>
      </c>
      <c r="K806" s="52">
        <f>H806-I806</f>
        <v>0</v>
      </c>
      <c r="L806" s="49">
        <v>0</v>
      </c>
      <c r="M806" s="49">
        <f>I806+L806</f>
        <v>0</v>
      </c>
      <c r="N806" s="49">
        <f>M806-H806</f>
        <v>0</v>
      </c>
      <c r="O806" s="50" t="str">
        <f>IF(H806=0,"No plan at start",M806/H806)</f>
        <v>No plan at start</v>
      </c>
    </row>
    <row r="807" spans="2:15" hidden="1" outlineLevel="2" x14ac:dyDescent="0.2">
      <c r="B807" s="49" t="s">
        <v>83</v>
      </c>
      <c r="C807" s="49" t="s">
        <v>48</v>
      </c>
      <c r="D807" s="49">
        <v>0</v>
      </c>
      <c r="E807" s="49">
        <v>0</v>
      </c>
      <c r="F807" s="49">
        <f>E807-D807</f>
        <v>0</v>
      </c>
      <c r="G807" s="50">
        <f>IF(D807=0,0,ABS(F807/D807))</f>
        <v>0</v>
      </c>
      <c r="H807" s="49">
        <v>0</v>
      </c>
      <c r="I807" s="49">
        <v>0</v>
      </c>
      <c r="J807" s="51" t="str">
        <f>IF(H807=0,"No plan at start",I807/H807)</f>
        <v>No plan at start</v>
      </c>
      <c r="K807" s="52">
        <f>H807-I807</f>
        <v>0</v>
      </c>
      <c r="L807" s="49">
        <v>0</v>
      </c>
      <c r="M807" s="49">
        <f>I807+L807</f>
        <v>0</v>
      </c>
      <c r="N807" s="49">
        <f>M807-H807</f>
        <v>0</v>
      </c>
      <c r="O807" s="50" t="str">
        <f>IF(H807=0,"No plan at start",M807/H807)</f>
        <v>No plan at start</v>
      </c>
    </row>
    <row r="808" spans="2:15" hidden="1" outlineLevel="2" x14ac:dyDescent="0.2">
      <c r="B808" s="49" t="s">
        <v>83</v>
      </c>
      <c r="C808" s="49" t="s">
        <v>58</v>
      </c>
      <c r="D808" s="49">
        <v>0</v>
      </c>
      <c r="E808" s="49">
        <v>0</v>
      </c>
      <c r="F808" s="49">
        <f>E808-D808</f>
        <v>0</v>
      </c>
      <c r="G808" s="50">
        <f>IF(D808=0,0,ABS(F808/D808))</f>
        <v>0</v>
      </c>
      <c r="H808" s="49">
        <v>0</v>
      </c>
      <c r="I808" s="49">
        <v>0</v>
      </c>
      <c r="J808" s="51" t="str">
        <f>IF(H808=0,"No plan at start",I808/H808)</f>
        <v>No plan at start</v>
      </c>
      <c r="K808" s="52">
        <f>H808-I808</f>
        <v>0</v>
      </c>
      <c r="L808" s="49">
        <v>0</v>
      </c>
      <c r="M808" s="49">
        <f>I808+L808</f>
        <v>0</v>
      </c>
      <c r="N808" s="49">
        <f>M808-H808</f>
        <v>0</v>
      </c>
      <c r="O808" s="50" t="str">
        <f>IF(H808=0,"No plan at start",M808/H808)</f>
        <v>No plan at start</v>
      </c>
    </row>
    <row r="809" spans="2:15" hidden="1" outlineLevel="2" x14ac:dyDescent="0.2">
      <c r="B809" s="49" t="s">
        <v>83</v>
      </c>
      <c r="C809" s="49" t="s">
        <v>59</v>
      </c>
      <c r="D809" s="49">
        <v>0</v>
      </c>
      <c r="E809" s="49">
        <v>0</v>
      </c>
      <c r="F809" s="49">
        <f>E809-D809</f>
        <v>0</v>
      </c>
      <c r="G809" s="50">
        <f>IF(D809=0,0,ABS(F809/D809))</f>
        <v>0</v>
      </c>
      <c r="H809" s="49">
        <v>0</v>
      </c>
      <c r="I809" s="49">
        <v>0</v>
      </c>
      <c r="J809" s="51" t="str">
        <f>IF(H809=0,"No plan at start",I809/H809)</f>
        <v>No plan at start</v>
      </c>
      <c r="K809" s="52">
        <f>H809-I809</f>
        <v>0</v>
      </c>
      <c r="L809" s="49">
        <v>0</v>
      </c>
      <c r="M809" s="49">
        <f>I809+L809</f>
        <v>0</v>
      </c>
      <c r="N809" s="49">
        <f>M809-H809</f>
        <v>0</v>
      </c>
      <c r="O809" s="50" t="str">
        <f>IF(H809=0,"No plan at start",M809/H809)</f>
        <v>No plan at start</v>
      </c>
    </row>
    <row r="810" spans="2:15" hidden="1" outlineLevel="2" x14ac:dyDescent="0.2">
      <c r="B810" s="49" t="s">
        <v>83</v>
      </c>
      <c r="C810" s="49" t="s">
        <v>60</v>
      </c>
      <c r="D810" s="49">
        <v>0</v>
      </c>
      <c r="E810" s="49">
        <v>0</v>
      </c>
      <c r="F810" s="49">
        <f>E810-D810</f>
        <v>0</v>
      </c>
      <c r="G810" s="50">
        <f>IF(D810=0,0,ABS(F810/D810))</f>
        <v>0</v>
      </c>
      <c r="H810" s="49">
        <v>0</v>
      </c>
      <c r="I810" s="49">
        <v>0</v>
      </c>
      <c r="J810" s="51" t="str">
        <f>IF(H810=0,"No plan at start",I810/H810)</f>
        <v>No plan at start</v>
      </c>
      <c r="K810" s="52">
        <f>H810-I810</f>
        <v>0</v>
      </c>
      <c r="L810" s="49">
        <v>0</v>
      </c>
      <c r="M810" s="49">
        <f>I810+L810</f>
        <v>0</v>
      </c>
      <c r="N810" s="49">
        <f>M810-H810</f>
        <v>0</v>
      </c>
      <c r="O810" s="50" t="str">
        <f>IF(H810=0,"No plan at start",M810/H810)</f>
        <v>No plan at start</v>
      </c>
    </row>
    <row r="811" spans="2:15" hidden="1" outlineLevel="2" x14ac:dyDescent="0.2">
      <c r="B811" s="49" t="s">
        <v>83</v>
      </c>
      <c r="C811" s="49" t="s">
        <v>61</v>
      </c>
      <c r="D811" s="49">
        <v>0</v>
      </c>
      <c r="E811" s="49">
        <v>0</v>
      </c>
      <c r="F811" s="49">
        <f>E811-D811</f>
        <v>0</v>
      </c>
      <c r="G811" s="50">
        <f>IF(D811=0,0,ABS(F811/D811))</f>
        <v>0</v>
      </c>
      <c r="H811" s="49">
        <v>0</v>
      </c>
      <c r="I811" s="49">
        <v>0</v>
      </c>
      <c r="J811" s="51" t="str">
        <f>IF(H811=0,"No plan at start",I811/H811)</f>
        <v>No plan at start</v>
      </c>
      <c r="K811" s="52">
        <f>H811-I811</f>
        <v>0</v>
      </c>
      <c r="L811" s="49">
        <v>0</v>
      </c>
      <c r="M811" s="49">
        <f>I811+L811</f>
        <v>0</v>
      </c>
      <c r="N811" s="49">
        <f>M811-H811</f>
        <v>0</v>
      </c>
      <c r="O811" s="50" t="str">
        <f>IF(H811=0,"No plan at start",M811/H811)</f>
        <v>No plan at start</v>
      </c>
    </row>
    <row r="812" spans="2:15" hidden="1" outlineLevel="2" x14ac:dyDescent="0.2">
      <c r="B812" s="49" t="s">
        <v>83</v>
      </c>
      <c r="C812" s="49" t="s">
        <v>62</v>
      </c>
      <c r="D812" s="49">
        <v>0</v>
      </c>
      <c r="E812" s="49">
        <v>0</v>
      </c>
      <c r="F812" s="49">
        <f>E812-D812</f>
        <v>0</v>
      </c>
      <c r="G812" s="50">
        <f>IF(D812=0,0,ABS(F812/D812))</f>
        <v>0</v>
      </c>
      <c r="H812" s="49">
        <v>0</v>
      </c>
      <c r="I812" s="49">
        <v>0</v>
      </c>
      <c r="J812" s="51" t="str">
        <f>IF(H812=0,"No plan at start",I812/H812)</f>
        <v>No plan at start</v>
      </c>
      <c r="K812" s="52">
        <f>H812-I812</f>
        <v>0</v>
      </c>
      <c r="L812" s="49">
        <v>0</v>
      </c>
      <c r="M812" s="49">
        <f>I812+L812</f>
        <v>0</v>
      </c>
      <c r="N812" s="49">
        <f>M812-H812</f>
        <v>0</v>
      </c>
      <c r="O812" s="50" t="str">
        <f>IF(H812=0,"No plan at start",M812/H812)</f>
        <v>No plan at start</v>
      </c>
    </row>
    <row r="813" spans="2:15" outlineLevel="1" collapsed="1" x14ac:dyDescent="0.2">
      <c r="B813" s="56" t="s">
        <v>122</v>
      </c>
      <c r="C813" s="49"/>
      <c r="D813" s="49">
        <f>SUBTOTAL(9,D801:D812)</f>
        <v>0</v>
      </c>
      <c r="E813" s="49">
        <f>SUBTOTAL(9,E801:E812)</f>
        <v>0</v>
      </c>
      <c r="F813" s="49">
        <f>SUBTOTAL(9,F801:F812)</f>
        <v>0</v>
      </c>
      <c r="G813" s="50">
        <f>IF(D813=0,0,ABS(F813/D813))</f>
        <v>0</v>
      </c>
      <c r="H813" s="49">
        <f>SUBTOTAL(9,H801:H812)</f>
        <v>43430.400000000001</v>
      </c>
      <c r="I813" s="49">
        <f>SUBTOTAL(9,I801:I812)</f>
        <v>34127.599999999999</v>
      </c>
      <c r="J813" s="51">
        <f>IF(H813=0,"No plan at start",I813/H813)</f>
        <v>0.78579980842911867</v>
      </c>
      <c r="K813" s="52">
        <f>SUBTOTAL(9,K801:K812)</f>
        <v>9302.8000000000011</v>
      </c>
      <c r="L813" s="49">
        <f>SUBTOTAL(9,L801:L812)</f>
        <v>0</v>
      </c>
      <c r="M813" s="49">
        <f>SUBTOTAL(9,M801:M812)</f>
        <v>34127.599999999999</v>
      </c>
      <c r="N813" s="49">
        <f>SUBTOTAL(9,N801:N812)</f>
        <v>-9302.8000000000011</v>
      </c>
      <c r="O813" s="50">
        <f>IF(H813=0,"No plan at start",M813/H813)</f>
        <v>0.78579980842911867</v>
      </c>
    </row>
    <row r="814" spans="2:15" hidden="1" outlineLevel="2" x14ac:dyDescent="0.2">
      <c r="B814" s="49" t="s">
        <v>84</v>
      </c>
      <c r="C814" s="49" t="s">
        <v>52</v>
      </c>
      <c r="D814" s="49">
        <v>0</v>
      </c>
      <c r="E814" s="49">
        <v>0</v>
      </c>
      <c r="F814" s="49">
        <f>E814-D814</f>
        <v>0</v>
      </c>
      <c r="G814" s="50">
        <f>IF(D814=0,0,ABS(F814/D814))</f>
        <v>0</v>
      </c>
      <c r="H814" s="49">
        <v>0</v>
      </c>
      <c r="I814" s="49">
        <v>0</v>
      </c>
      <c r="J814" s="51" t="str">
        <f>IF(H814=0,"No plan at start",I814/H814)</f>
        <v>No plan at start</v>
      </c>
      <c r="K814" s="52">
        <f>H814-I814</f>
        <v>0</v>
      </c>
      <c r="L814" s="49">
        <v>0</v>
      </c>
      <c r="M814" s="49">
        <f>I814+L814</f>
        <v>0</v>
      </c>
      <c r="N814" s="49">
        <f>M814-H814</f>
        <v>0</v>
      </c>
      <c r="O814" s="50" t="str">
        <f>IF(H814=0,"No plan at start",M814/H814)</f>
        <v>No plan at start</v>
      </c>
    </row>
    <row r="815" spans="2:15" hidden="1" outlineLevel="2" x14ac:dyDescent="0.2">
      <c r="B815" s="49" t="s">
        <v>84</v>
      </c>
      <c r="C815" s="49" t="s">
        <v>53</v>
      </c>
      <c r="D815" s="49">
        <v>0</v>
      </c>
      <c r="E815" s="49">
        <v>0</v>
      </c>
      <c r="F815" s="49">
        <f>E815-D815</f>
        <v>0</v>
      </c>
      <c r="G815" s="50">
        <f>IF(D815=0,0,ABS(F815/D815))</f>
        <v>0</v>
      </c>
      <c r="H815" s="49">
        <v>2745.6000000000004</v>
      </c>
      <c r="I815" s="49">
        <v>377</v>
      </c>
      <c r="J815" s="51">
        <f>IF(H815=0,"No plan at start",I815/H815)</f>
        <v>0.13731060606060605</v>
      </c>
      <c r="K815" s="52">
        <f>H815-I815</f>
        <v>2368.6000000000004</v>
      </c>
      <c r="L815" s="49">
        <v>2704</v>
      </c>
      <c r="M815" s="49">
        <f>I815+L815</f>
        <v>3081</v>
      </c>
      <c r="N815" s="49">
        <f>M815-H815</f>
        <v>335.39999999999964</v>
      </c>
      <c r="O815" s="50">
        <f>IF(H815=0,"No plan at start",M815/H815)</f>
        <v>1.1221590909090908</v>
      </c>
    </row>
    <row r="816" spans="2:15" hidden="1" outlineLevel="2" x14ac:dyDescent="0.2">
      <c r="B816" s="49" t="s">
        <v>84</v>
      </c>
      <c r="C816" s="49" t="s">
        <v>54</v>
      </c>
      <c r="D816" s="49">
        <v>0</v>
      </c>
      <c r="E816" s="49">
        <v>0</v>
      </c>
      <c r="F816" s="49">
        <f>E816-D816</f>
        <v>0</v>
      </c>
      <c r="G816" s="50">
        <f>IF(D816=0,0,ABS(F816/D816))</f>
        <v>0</v>
      </c>
      <c r="H816" s="49">
        <v>0</v>
      </c>
      <c r="I816" s="49">
        <v>0</v>
      </c>
      <c r="J816" s="51" t="str">
        <f>IF(H816=0,"No plan at start",I816/H816)</f>
        <v>No plan at start</v>
      </c>
      <c r="K816" s="52">
        <f>H816-I816</f>
        <v>0</v>
      </c>
      <c r="L816" s="49">
        <v>0</v>
      </c>
      <c r="M816" s="49">
        <f>I816+L816</f>
        <v>0</v>
      </c>
      <c r="N816" s="49">
        <f>M816-H816</f>
        <v>0</v>
      </c>
      <c r="O816" s="50" t="str">
        <f>IF(H816=0,"No plan at start",M816/H816)</f>
        <v>No plan at start</v>
      </c>
    </row>
    <row r="817" spans="2:15" hidden="1" outlineLevel="2" x14ac:dyDescent="0.2">
      <c r="B817" s="49" t="s">
        <v>84</v>
      </c>
      <c r="C817" s="49" t="s">
        <v>55</v>
      </c>
      <c r="D817" s="49">
        <v>0</v>
      </c>
      <c r="E817" s="49">
        <v>0</v>
      </c>
      <c r="F817" s="49">
        <f>E817-D817</f>
        <v>0</v>
      </c>
      <c r="G817" s="50">
        <f>IF(D817=0,0,ABS(F817/D817))</f>
        <v>0</v>
      </c>
      <c r="H817" s="49">
        <v>0</v>
      </c>
      <c r="I817" s="49">
        <v>104</v>
      </c>
      <c r="J817" s="51" t="str">
        <f>IF(H817=0,"No plan at start",I817/H817)</f>
        <v>No plan at start</v>
      </c>
      <c r="K817" s="52">
        <f>H817-I817</f>
        <v>-104</v>
      </c>
      <c r="L817" s="49">
        <v>0</v>
      </c>
      <c r="M817" s="49">
        <f>I817+L817</f>
        <v>104</v>
      </c>
      <c r="N817" s="49">
        <f>M817-H817</f>
        <v>104</v>
      </c>
      <c r="O817" s="50" t="str">
        <f>IF(H817=0,"No plan at start",M817/H817)</f>
        <v>No plan at start</v>
      </c>
    </row>
    <row r="818" spans="2:15" hidden="1" outlineLevel="2" x14ac:dyDescent="0.2">
      <c r="B818" s="49" t="s">
        <v>84</v>
      </c>
      <c r="C818" s="49" t="s">
        <v>56</v>
      </c>
      <c r="D818" s="49">
        <v>0</v>
      </c>
      <c r="E818" s="49">
        <v>0</v>
      </c>
      <c r="F818" s="49">
        <f>E818-D818</f>
        <v>0</v>
      </c>
      <c r="G818" s="50">
        <f>IF(D818=0,0,ABS(F818/D818))</f>
        <v>0</v>
      </c>
      <c r="H818" s="49">
        <v>0</v>
      </c>
      <c r="I818" s="49">
        <v>0</v>
      </c>
      <c r="J818" s="51" t="str">
        <f>IF(H818=0,"No plan at start",I818/H818)</f>
        <v>No plan at start</v>
      </c>
      <c r="K818" s="52">
        <f>H818-I818</f>
        <v>0</v>
      </c>
      <c r="L818" s="49">
        <v>0</v>
      </c>
      <c r="M818" s="49">
        <f>I818+L818</f>
        <v>0</v>
      </c>
      <c r="N818" s="49">
        <f>M818-H818</f>
        <v>0</v>
      </c>
      <c r="O818" s="50" t="str">
        <f>IF(H818=0,"No plan at start",M818/H818)</f>
        <v>No plan at start</v>
      </c>
    </row>
    <row r="819" spans="2:15" hidden="1" outlineLevel="2" x14ac:dyDescent="0.2">
      <c r="B819" s="49" t="s">
        <v>84</v>
      </c>
      <c r="C819" s="49" t="s">
        <v>57</v>
      </c>
      <c r="D819" s="49">
        <v>0</v>
      </c>
      <c r="E819" s="49">
        <v>0</v>
      </c>
      <c r="F819" s="49">
        <f>E819-D819</f>
        <v>0</v>
      </c>
      <c r="G819" s="50">
        <f>IF(D819=0,0,ABS(F819/D819))</f>
        <v>0</v>
      </c>
      <c r="H819" s="49">
        <v>0</v>
      </c>
      <c r="I819" s="49">
        <v>0</v>
      </c>
      <c r="J819" s="51" t="str">
        <f>IF(H819=0,"No plan at start",I819/H819)</f>
        <v>No plan at start</v>
      </c>
      <c r="K819" s="52">
        <f>H819-I819</f>
        <v>0</v>
      </c>
      <c r="L819" s="49">
        <v>0</v>
      </c>
      <c r="M819" s="49">
        <f>I819+L819</f>
        <v>0</v>
      </c>
      <c r="N819" s="49">
        <f>M819-H819</f>
        <v>0</v>
      </c>
      <c r="O819" s="50" t="str">
        <f>IF(H819=0,"No plan at start",M819/H819)</f>
        <v>No plan at start</v>
      </c>
    </row>
    <row r="820" spans="2:15" hidden="1" outlineLevel="2" x14ac:dyDescent="0.2">
      <c r="B820" s="49" t="s">
        <v>84</v>
      </c>
      <c r="C820" s="49" t="s">
        <v>48</v>
      </c>
      <c r="D820" s="49">
        <v>0</v>
      </c>
      <c r="E820" s="49">
        <v>0</v>
      </c>
      <c r="F820" s="49">
        <f>E820-D820</f>
        <v>0</v>
      </c>
      <c r="G820" s="50">
        <f>IF(D820=0,0,ABS(F820/D820))</f>
        <v>0</v>
      </c>
      <c r="H820" s="49">
        <v>0</v>
      </c>
      <c r="I820" s="49">
        <v>0</v>
      </c>
      <c r="J820" s="51" t="str">
        <f>IF(H820=0,"No plan at start",I820/H820)</f>
        <v>No plan at start</v>
      </c>
      <c r="K820" s="52">
        <f>H820-I820</f>
        <v>0</v>
      </c>
      <c r="L820" s="49">
        <v>0</v>
      </c>
      <c r="M820" s="49">
        <f>I820+L820</f>
        <v>0</v>
      </c>
      <c r="N820" s="49">
        <f>M820-H820</f>
        <v>0</v>
      </c>
      <c r="O820" s="50" t="str">
        <f>IF(H820=0,"No plan at start",M820/H820)</f>
        <v>No plan at start</v>
      </c>
    </row>
    <row r="821" spans="2:15" hidden="1" outlineLevel="2" x14ac:dyDescent="0.2">
      <c r="B821" s="49" t="s">
        <v>84</v>
      </c>
      <c r="C821" s="49" t="s">
        <v>58</v>
      </c>
      <c r="D821" s="49">
        <v>0</v>
      </c>
      <c r="E821" s="49">
        <v>0</v>
      </c>
      <c r="F821" s="49">
        <f>E821-D821</f>
        <v>0</v>
      </c>
      <c r="G821" s="50">
        <f>IF(D821=0,0,ABS(F821/D821))</f>
        <v>0</v>
      </c>
      <c r="H821" s="49">
        <v>0</v>
      </c>
      <c r="I821" s="49">
        <v>0</v>
      </c>
      <c r="J821" s="51" t="str">
        <f>IF(H821=0,"No plan at start",I821/H821)</f>
        <v>No plan at start</v>
      </c>
      <c r="K821" s="52">
        <f>H821-I821</f>
        <v>0</v>
      </c>
      <c r="L821" s="49">
        <v>0</v>
      </c>
      <c r="M821" s="49">
        <f>I821+L821</f>
        <v>0</v>
      </c>
      <c r="N821" s="49">
        <f>M821-H821</f>
        <v>0</v>
      </c>
      <c r="O821" s="50" t="str">
        <f>IF(H821=0,"No plan at start",M821/H821)</f>
        <v>No plan at start</v>
      </c>
    </row>
    <row r="822" spans="2:15" hidden="1" outlineLevel="2" x14ac:dyDescent="0.2">
      <c r="B822" s="49" t="s">
        <v>84</v>
      </c>
      <c r="C822" s="49" t="s">
        <v>59</v>
      </c>
      <c r="D822" s="49">
        <v>0</v>
      </c>
      <c r="E822" s="49">
        <v>0</v>
      </c>
      <c r="F822" s="49">
        <f>E822-D822</f>
        <v>0</v>
      </c>
      <c r="G822" s="50">
        <f>IF(D822=0,0,ABS(F822/D822))</f>
        <v>0</v>
      </c>
      <c r="H822" s="49">
        <v>0</v>
      </c>
      <c r="I822" s="49">
        <v>0</v>
      </c>
      <c r="J822" s="51" t="str">
        <f>IF(H822=0,"No plan at start",I822/H822)</f>
        <v>No plan at start</v>
      </c>
      <c r="K822" s="52">
        <f>H822-I822</f>
        <v>0</v>
      </c>
      <c r="L822" s="49">
        <v>0</v>
      </c>
      <c r="M822" s="49">
        <f>I822+L822</f>
        <v>0</v>
      </c>
      <c r="N822" s="49">
        <f>M822-H822</f>
        <v>0</v>
      </c>
      <c r="O822" s="50" t="str">
        <f>IF(H822=0,"No plan at start",M822/H822)</f>
        <v>No plan at start</v>
      </c>
    </row>
    <row r="823" spans="2:15" hidden="1" outlineLevel="2" x14ac:dyDescent="0.2">
      <c r="B823" s="49" t="s">
        <v>84</v>
      </c>
      <c r="C823" s="49" t="s">
        <v>60</v>
      </c>
      <c r="D823" s="49">
        <v>0</v>
      </c>
      <c r="E823" s="49">
        <v>0</v>
      </c>
      <c r="F823" s="49">
        <f>E823-D823</f>
        <v>0</v>
      </c>
      <c r="G823" s="50">
        <f>IF(D823=0,0,ABS(F823/D823))</f>
        <v>0</v>
      </c>
      <c r="H823" s="49">
        <v>0</v>
      </c>
      <c r="I823" s="49">
        <v>0</v>
      </c>
      <c r="J823" s="51" t="str">
        <f>IF(H823=0,"No plan at start",I823/H823)</f>
        <v>No plan at start</v>
      </c>
      <c r="K823" s="52">
        <f>H823-I823</f>
        <v>0</v>
      </c>
      <c r="L823" s="49">
        <v>0</v>
      </c>
      <c r="M823" s="49">
        <f>I823+L823</f>
        <v>0</v>
      </c>
      <c r="N823" s="49">
        <f>M823-H823</f>
        <v>0</v>
      </c>
      <c r="O823" s="50" t="str">
        <f>IF(H823=0,"No plan at start",M823/H823)</f>
        <v>No plan at start</v>
      </c>
    </row>
    <row r="824" spans="2:15" hidden="1" outlineLevel="2" x14ac:dyDescent="0.2">
      <c r="B824" s="49" t="s">
        <v>84</v>
      </c>
      <c r="C824" s="49" t="s">
        <v>61</v>
      </c>
      <c r="D824" s="49">
        <v>0</v>
      </c>
      <c r="E824" s="49">
        <v>0</v>
      </c>
      <c r="F824" s="49">
        <f>E824-D824</f>
        <v>0</v>
      </c>
      <c r="G824" s="50">
        <f>IF(D824=0,0,ABS(F824/D824))</f>
        <v>0</v>
      </c>
      <c r="H824" s="49">
        <v>0</v>
      </c>
      <c r="I824" s="49">
        <v>0</v>
      </c>
      <c r="J824" s="51" t="str">
        <f>IF(H824=0,"No plan at start",I824/H824)</f>
        <v>No plan at start</v>
      </c>
      <c r="K824" s="52">
        <f>H824-I824</f>
        <v>0</v>
      </c>
      <c r="L824" s="49">
        <v>0</v>
      </c>
      <c r="M824" s="49">
        <f>I824+L824</f>
        <v>0</v>
      </c>
      <c r="N824" s="49">
        <f>M824-H824</f>
        <v>0</v>
      </c>
      <c r="O824" s="50" t="str">
        <f>IF(H824=0,"No plan at start",M824/H824)</f>
        <v>No plan at start</v>
      </c>
    </row>
    <row r="825" spans="2:15" hidden="1" outlineLevel="2" x14ac:dyDescent="0.2">
      <c r="B825" s="49" t="s">
        <v>84</v>
      </c>
      <c r="C825" s="49" t="s">
        <v>62</v>
      </c>
      <c r="D825" s="49">
        <v>0</v>
      </c>
      <c r="E825" s="49">
        <v>0</v>
      </c>
      <c r="F825" s="49">
        <f>E825-D825</f>
        <v>0</v>
      </c>
      <c r="G825" s="50">
        <f>IF(D825=0,0,ABS(F825/D825))</f>
        <v>0</v>
      </c>
      <c r="H825" s="49">
        <v>0</v>
      </c>
      <c r="I825" s="49">
        <v>0</v>
      </c>
      <c r="J825" s="51" t="str">
        <f>IF(H825=0,"No plan at start",I825/H825)</f>
        <v>No plan at start</v>
      </c>
      <c r="K825" s="52">
        <f>H825-I825</f>
        <v>0</v>
      </c>
      <c r="L825" s="49">
        <v>0</v>
      </c>
      <c r="M825" s="49">
        <f>I825+L825</f>
        <v>0</v>
      </c>
      <c r="N825" s="49">
        <f>M825-H825</f>
        <v>0</v>
      </c>
      <c r="O825" s="50" t="str">
        <f>IF(H825=0,"No plan at start",M825/H825)</f>
        <v>No plan at start</v>
      </c>
    </row>
    <row r="826" spans="2:15" outlineLevel="1" collapsed="1" x14ac:dyDescent="0.2">
      <c r="B826" s="56" t="s">
        <v>123</v>
      </c>
      <c r="C826" s="49"/>
      <c r="D826" s="49">
        <f>SUBTOTAL(9,D814:D825)</f>
        <v>0</v>
      </c>
      <c r="E826" s="49">
        <f>SUBTOTAL(9,E814:E825)</f>
        <v>0</v>
      </c>
      <c r="F826" s="49">
        <f>SUBTOTAL(9,F814:F825)</f>
        <v>0</v>
      </c>
      <c r="G826" s="50">
        <f>IF(D826=0,0,ABS(F826/D826))</f>
        <v>0</v>
      </c>
      <c r="H826" s="49">
        <f>SUBTOTAL(9,H814:H825)</f>
        <v>2745.6000000000004</v>
      </c>
      <c r="I826" s="49">
        <f>SUBTOTAL(9,I814:I825)</f>
        <v>481</v>
      </c>
      <c r="J826" s="51">
        <f>IF(H826=0,"No plan at start",I826/H826)</f>
        <v>0.17518939393939392</v>
      </c>
      <c r="K826" s="52">
        <f>SUBTOTAL(9,K814:K825)</f>
        <v>2264.6000000000004</v>
      </c>
      <c r="L826" s="49">
        <f>SUBTOTAL(9,L814:L825)</f>
        <v>2704</v>
      </c>
      <c r="M826" s="49">
        <f>SUBTOTAL(9,M814:M825)</f>
        <v>3185</v>
      </c>
      <c r="N826" s="49">
        <f>SUBTOTAL(9,N814:N825)</f>
        <v>439.39999999999964</v>
      </c>
      <c r="O826" s="50">
        <f>IF(H826=0,"No plan at start",M826/H826)</f>
        <v>1.1600378787878787</v>
      </c>
    </row>
    <row r="827" spans="2:15" hidden="1" outlineLevel="2" x14ac:dyDescent="0.2">
      <c r="B827" s="49" t="s">
        <v>85</v>
      </c>
      <c r="C827" s="49" t="s">
        <v>52</v>
      </c>
      <c r="D827" s="49">
        <v>0</v>
      </c>
      <c r="E827" s="49">
        <v>0</v>
      </c>
      <c r="F827" s="49">
        <f>E827-D827</f>
        <v>0</v>
      </c>
      <c r="G827" s="50">
        <f>IF(D827=0,0,ABS(F827/D827))</f>
        <v>0</v>
      </c>
      <c r="H827" s="49">
        <v>0</v>
      </c>
      <c r="I827" s="49">
        <v>0</v>
      </c>
      <c r="J827" s="51" t="str">
        <f>IF(H827=0,"No plan at start",I827/H827)</f>
        <v>No plan at start</v>
      </c>
      <c r="K827" s="52">
        <f>H827-I827</f>
        <v>0</v>
      </c>
      <c r="L827" s="49">
        <v>0</v>
      </c>
      <c r="M827" s="49">
        <f>I827+L827</f>
        <v>0</v>
      </c>
      <c r="N827" s="49">
        <f>M827-H827</f>
        <v>0</v>
      </c>
      <c r="O827" s="50" t="str">
        <f>IF(H827=0,"No plan at start",M827/H827)</f>
        <v>No plan at start</v>
      </c>
    </row>
    <row r="828" spans="2:15" hidden="1" outlineLevel="2" x14ac:dyDescent="0.2">
      <c r="B828" s="49" t="s">
        <v>85</v>
      </c>
      <c r="C828" s="49" t="s">
        <v>53</v>
      </c>
      <c r="D828" s="49">
        <v>0</v>
      </c>
      <c r="E828" s="49">
        <v>0</v>
      </c>
      <c r="F828" s="49">
        <f>E828-D828</f>
        <v>0</v>
      </c>
      <c r="G828" s="50">
        <f>IF(D828=0,0,ABS(F828/D828))</f>
        <v>0</v>
      </c>
      <c r="H828" s="49">
        <v>0</v>
      </c>
      <c r="I828" s="49">
        <v>0</v>
      </c>
      <c r="J828" s="51" t="str">
        <f>IF(H828=0,"No plan at start",I828/H828)</f>
        <v>No plan at start</v>
      </c>
      <c r="K828" s="52">
        <f>H828-I828</f>
        <v>0</v>
      </c>
      <c r="L828" s="49">
        <v>0</v>
      </c>
      <c r="M828" s="49">
        <f>I828+L828</f>
        <v>0</v>
      </c>
      <c r="N828" s="49">
        <f>M828-H828</f>
        <v>0</v>
      </c>
      <c r="O828" s="50" t="str">
        <f>IF(H828=0,"No plan at start",M828/H828)</f>
        <v>No plan at start</v>
      </c>
    </row>
    <row r="829" spans="2:15" hidden="1" outlineLevel="2" x14ac:dyDescent="0.2">
      <c r="B829" s="49" t="s">
        <v>85</v>
      </c>
      <c r="C829" s="49" t="s">
        <v>54</v>
      </c>
      <c r="D829" s="49">
        <v>0</v>
      </c>
      <c r="E829" s="49">
        <v>0</v>
      </c>
      <c r="F829" s="49">
        <f>E829-D829</f>
        <v>0</v>
      </c>
      <c r="G829" s="50">
        <f>IF(D829=0,0,ABS(F829/D829))</f>
        <v>0</v>
      </c>
      <c r="H829" s="49">
        <v>0</v>
      </c>
      <c r="I829" s="49">
        <v>0</v>
      </c>
      <c r="J829" s="51" t="str">
        <f>IF(H829=0,"No plan at start",I829/H829)</f>
        <v>No plan at start</v>
      </c>
      <c r="K829" s="52">
        <f>H829-I829</f>
        <v>0</v>
      </c>
      <c r="L829" s="49">
        <v>0</v>
      </c>
      <c r="M829" s="49">
        <f>I829+L829</f>
        <v>0</v>
      </c>
      <c r="N829" s="49">
        <f>M829-H829</f>
        <v>0</v>
      </c>
      <c r="O829" s="50" t="str">
        <f>IF(H829=0,"No plan at start",M829/H829)</f>
        <v>No plan at start</v>
      </c>
    </row>
    <row r="830" spans="2:15" hidden="1" outlineLevel="2" x14ac:dyDescent="0.2">
      <c r="B830" s="49" t="s">
        <v>85</v>
      </c>
      <c r="C830" s="49" t="s">
        <v>55</v>
      </c>
      <c r="D830" s="49">
        <v>0</v>
      </c>
      <c r="E830" s="49">
        <v>0</v>
      </c>
      <c r="F830" s="49">
        <f>E830-D830</f>
        <v>0</v>
      </c>
      <c r="G830" s="50">
        <f>IF(D830=0,0,ABS(F830/D830))</f>
        <v>0</v>
      </c>
      <c r="H830" s="49">
        <v>0</v>
      </c>
      <c r="I830" s="49">
        <v>0</v>
      </c>
      <c r="J830" s="51" t="str">
        <f>IF(H830=0,"No plan at start",I830/H830)</f>
        <v>No plan at start</v>
      </c>
      <c r="K830" s="52">
        <f>H830-I830</f>
        <v>0</v>
      </c>
      <c r="L830" s="49">
        <v>0</v>
      </c>
      <c r="M830" s="49">
        <f>I830+L830</f>
        <v>0</v>
      </c>
      <c r="N830" s="49">
        <f>M830-H830</f>
        <v>0</v>
      </c>
      <c r="O830" s="50" t="str">
        <f>IF(H830=0,"No plan at start",M830/H830)</f>
        <v>No plan at start</v>
      </c>
    </row>
    <row r="831" spans="2:15" hidden="1" outlineLevel="2" x14ac:dyDescent="0.2">
      <c r="B831" s="49" t="s">
        <v>85</v>
      </c>
      <c r="C831" s="49" t="s">
        <v>56</v>
      </c>
      <c r="D831" s="49">
        <v>0</v>
      </c>
      <c r="E831" s="49">
        <v>0</v>
      </c>
      <c r="F831" s="49">
        <f>E831-D831</f>
        <v>0</v>
      </c>
      <c r="G831" s="50">
        <f>IF(D831=0,0,ABS(F831/D831))</f>
        <v>0</v>
      </c>
      <c r="H831" s="49">
        <v>0</v>
      </c>
      <c r="I831" s="49">
        <v>0</v>
      </c>
      <c r="J831" s="51" t="str">
        <f>IF(H831=0,"No plan at start",I831/H831)</f>
        <v>No plan at start</v>
      </c>
      <c r="K831" s="52">
        <f>H831-I831</f>
        <v>0</v>
      </c>
      <c r="L831" s="49">
        <v>0</v>
      </c>
      <c r="M831" s="49">
        <f>I831+L831</f>
        <v>0</v>
      </c>
      <c r="N831" s="49">
        <f>M831-H831</f>
        <v>0</v>
      </c>
      <c r="O831" s="50" t="str">
        <f>IF(H831=0,"No plan at start",M831/H831)</f>
        <v>No plan at start</v>
      </c>
    </row>
    <row r="832" spans="2:15" hidden="1" outlineLevel="2" x14ac:dyDescent="0.2">
      <c r="B832" s="49" t="s">
        <v>85</v>
      </c>
      <c r="C832" s="49" t="s">
        <v>57</v>
      </c>
      <c r="D832" s="49">
        <v>0</v>
      </c>
      <c r="E832" s="49">
        <v>0</v>
      </c>
      <c r="F832" s="49">
        <f>E832-D832</f>
        <v>0</v>
      </c>
      <c r="G832" s="50">
        <f>IF(D832=0,0,ABS(F832/D832))</f>
        <v>0</v>
      </c>
      <c r="H832" s="49">
        <v>0</v>
      </c>
      <c r="I832" s="49">
        <v>0</v>
      </c>
      <c r="J832" s="51" t="str">
        <f>IF(H832=0,"No plan at start",I832/H832)</f>
        <v>No plan at start</v>
      </c>
      <c r="K832" s="52">
        <f>H832-I832</f>
        <v>0</v>
      </c>
      <c r="L832" s="49">
        <v>0</v>
      </c>
      <c r="M832" s="49">
        <f>I832+L832</f>
        <v>0</v>
      </c>
      <c r="N832" s="49">
        <f>M832-H832</f>
        <v>0</v>
      </c>
      <c r="O832" s="50" t="str">
        <f>IF(H832=0,"No plan at start",M832/H832)</f>
        <v>No plan at start</v>
      </c>
    </row>
    <row r="833" spans="2:15" hidden="1" outlineLevel="2" x14ac:dyDescent="0.2">
      <c r="B833" s="49" t="s">
        <v>85</v>
      </c>
      <c r="C833" s="49" t="s">
        <v>48</v>
      </c>
      <c r="D833" s="49">
        <v>0</v>
      </c>
      <c r="E833" s="49">
        <v>0</v>
      </c>
      <c r="F833" s="49">
        <f>E833-D833</f>
        <v>0</v>
      </c>
      <c r="G833" s="50">
        <f>IF(D833=0,0,ABS(F833/D833))</f>
        <v>0</v>
      </c>
      <c r="H833" s="49">
        <v>0</v>
      </c>
      <c r="I833" s="49">
        <v>0</v>
      </c>
      <c r="J833" s="51" t="str">
        <f>IF(H833=0,"No plan at start",I833/H833)</f>
        <v>No plan at start</v>
      </c>
      <c r="K833" s="52">
        <f>H833-I833</f>
        <v>0</v>
      </c>
      <c r="L833" s="49">
        <v>0</v>
      </c>
      <c r="M833" s="49">
        <f>I833+L833</f>
        <v>0</v>
      </c>
      <c r="N833" s="49">
        <f>M833-H833</f>
        <v>0</v>
      </c>
      <c r="O833" s="50" t="str">
        <f>IF(H833=0,"No plan at start",M833/H833)</f>
        <v>No plan at start</v>
      </c>
    </row>
    <row r="834" spans="2:15" hidden="1" outlineLevel="2" x14ac:dyDescent="0.2">
      <c r="B834" s="49" t="s">
        <v>85</v>
      </c>
      <c r="C834" s="49" t="s">
        <v>58</v>
      </c>
      <c r="D834" s="49">
        <v>0</v>
      </c>
      <c r="E834" s="49">
        <v>0</v>
      </c>
      <c r="F834" s="49">
        <f>E834-D834</f>
        <v>0</v>
      </c>
      <c r="G834" s="50">
        <f>IF(D834=0,0,ABS(F834/D834))</f>
        <v>0</v>
      </c>
      <c r="H834" s="49">
        <v>0</v>
      </c>
      <c r="I834" s="49">
        <v>0</v>
      </c>
      <c r="J834" s="51" t="str">
        <f>IF(H834=0,"No plan at start",I834/H834)</f>
        <v>No plan at start</v>
      </c>
      <c r="K834" s="52">
        <f>H834-I834</f>
        <v>0</v>
      </c>
      <c r="L834" s="49">
        <v>0</v>
      </c>
      <c r="M834" s="49">
        <f>I834+L834</f>
        <v>0</v>
      </c>
      <c r="N834" s="49">
        <f>M834-H834</f>
        <v>0</v>
      </c>
      <c r="O834" s="50" t="str">
        <f>IF(H834=0,"No plan at start",M834/H834)</f>
        <v>No plan at start</v>
      </c>
    </row>
    <row r="835" spans="2:15" hidden="1" outlineLevel="2" x14ac:dyDescent="0.2">
      <c r="B835" s="49" t="s">
        <v>85</v>
      </c>
      <c r="C835" s="49" t="s">
        <v>59</v>
      </c>
      <c r="D835" s="49">
        <v>0</v>
      </c>
      <c r="E835" s="49">
        <v>0</v>
      </c>
      <c r="F835" s="49">
        <f>E835-D835</f>
        <v>0</v>
      </c>
      <c r="G835" s="50">
        <f>IF(D835=0,0,ABS(F835/D835))</f>
        <v>0</v>
      </c>
      <c r="H835" s="49">
        <v>0</v>
      </c>
      <c r="I835" s="49">
        <v>0</v>
      </c>
      <c r="J835" s="51" t="str">
        <f>IF(H835=0,"No plan at start",I835/H835)</f>
        <v>No plan at start</v>
      </c>
      <c r="K835" s="52">
        <f>H835-I835</f>
        <v>0</v>
      </c>
      <c r="L835" s="49">
        <v>0</v>
      </c>
      <c r="M835" s="49">
        <f>I835+L835</f>
        <v>0</v>
      </c>
      <c r="N835" s="49">
        <f>M835-H835</f>
        <v>0</v>
      </c>
      <c r="O835" s="50" t="str">
        <f>IF(H835=0,"No plan at start",M835/H835)</f>
        <v>No plan at start</v>
      </c>
    </row>
    <row r="836" spans="2:15" hidden="1" outlineLevel="2" x14ac:dyDescent="0.2">
      <c r="B836" s="49" t="s">
        <v>85</v>
      </c>
      <c r="C836" s="49" t="s">
        <v>60</v>
      </c>
      <c r="D836" s="49">
        <v>0</v>
      </c>
      <c r="E836" s="49">
        <v>0</v>
      </c>
      <c r="F836" s="49">
        <f>E836-D836</f>
        <v>0</v>
      </c>
      <c r="G836" s="50">
        <f>IF(D836=0,0,ABS(F836/D836))</f>
        <v>0</v>
      </c>
      <c r="H836" s="49">
        <v>0</v>
      </c>
      <c r="I836" s="49">
        <v>0</v>
      </c>
      <c r="J836" s="51" t="str">
        <f>IF(H836=0,"No plan at start",I836/H836)</f>
        <v>No plan at start</v>
      </c>
      <c r="K836" s="52">
        <f>H836-I836</f>
        <v>0</v>
      </c>
      <c r="L836" s="49">
        <v>0</v>
      </c>
      <c r="M836" s="49">
        <f>I836+L836</f>
        <v>0</v>
      </c>
      <c r="N836" s="49">
        <f>M836-H836</f>
        <v>0</v>
      </c>
      <c r="O836" s="50" t="str">
        <f>IF(H836=0,"No plan at start",M836/H836)</f>
        <v>No plan at start</v>
      </c>
    </row>
    <row r="837" spans="2:15" hidden="1" outlineLevel="2" x14ac:dyDescent="0.2">
      <c r="B837" s="49" t="s">
        <v>85</v>
      </c>
      <c r="C837" s="49" t="s">
        <v>61</v>
      </c>
      <c r="D837" s="49">
        <v>0</v>
      </c>
      <c r="E837" s="49">
        <v>0</v>
      </c>
      <c r="F837" s="49">
        <f>E837-D837</f>
        <v>0</v>
      </c>
      <c r="G837" s="50">
        <f>IF(D837=0,0,ABS(F837/D837))</f>
        <v>0</v>
      </c>
      <c r="H837" s="49">
        <v>0</v>
      </c>
      <c r="I837" s="49">
        <v>0</v>
      </c>
      <c r="J837" s="51" t="str">
        <f>IF(H837=0,"No plan at start",I837/H837)</f>
        <v>No plan at start</v>
      </c>
      <c r="K837" s="52">
        <f>H837-I837</f>
        <v>0</v>
      </c>
      <c r="L837" s="49">
        <v>0</v>
      </c>
      <c r="M837" s="49">
        <f>I837+L837</f>
        <v>0</v>
      </c>
      <c r="N837" s="49">
        <f>M837-H837</f>
        <v>0</v>
      </c>
      <c r="O837" s="50" t="str">
        <f>IF(H837=0,"No plan at start",M837/H837)</f>
        <v>No plan at start</v>
      </c>
    </row>
    <row r="838" spans="2:15" hidden="1" outlineLevel="2" x14ac:dyDescent="0.2">
      <c r="B838" s="49" t="s">
        <v>85</v>
      </c>
      <c r="C838" s="49" t="s">
        <v>62</v>
      </c>
      <c r="D838" s="49">
        <v>0</v>
      </c>
      <c r="E838" s="49">
        <v>0</v>
      </c>
      <c r="F838" s="49">
        <f>E838-D838</f>
        <v>0</v>
      </c>
      <c r="G838" s="50">
        <f>IF(D838=0,0,ABS(F838/D838))</f>
        <v>0</v>
      </c>
      <c r="H838" s="49">
        <v>0</v>
      </c>
      <c r="I838" s="49">
        <v>0</v>
      </c>
      <c r="J838" s="51" t="str">
        <f>IF(H838=0,"No plan at start",I838/H838)</f>
        <v>No plan at start</v>
      </c>
      <c r="K838" s="52">
        <f>H838-I838</f>
        <v>0</v>
      </c>
      <c r="L838" s="49">
        <v>0</v>
      </c>
      <c r="M838" s="49">
        <f>I838+L838</f>
        <v>0</v>
      </c>
      <c r="N838" s="49">
        <f>M838-H838</f>
        <v>0</v>
      </c>
      <c r="O838" s="50" t="str">
        <f>IF(H838=0,"No plan at start",M838/H838)</f>
        <v>No plan at start</v>
      </c>
    </row>
    <row r="839" spans="2:15" outlineLevel="1" collapsed="1" x14ac:dyDescent="0.2">
      <c r="B839" s="56" t="s">
        <v>124</v>
      </c>
      <c r="C839" s="49"/>
      <c r="D839" s="49">
        <f>SUBTOTAL(9,D827:D838)</f>
        <v>0</v>
      </c>
      <c r="E839" s="49">
        <f>SUBTOTAL(9,E827:E838)</f>
        <v>0</v>
      </c>
      <c r="F839" s="49">
        <f>SUBTOTAL(9,F827:F838)</f>
        <v>0</v>
      </c>
      <c r="G839" s="50">
        <f>IF(D839=0,0,ABS(F839/D839))</f>
        <v>0</v>
      </c>
      <c r="H839" s="49">
        <f>SUBTOTAL(9,H827:H838)</f>
        <v>0</v>
      </c>
      <c r="I839" s="49">
        <f>SUBTOTAL(9,I827:I838)</f>
        <v>0</v>
      </c>
      <c r="J839" s="51" t="str">
        <f>IF(H839=0,"No plan at start",I839/H839)</f>
        <v>No plan at start</v>
      </c>
      <c r="K839" s="52">
        <f>SUBTOTAL(9,K827:K838)</f>
        <v>0</v>
      </c>
      <c r="L839" s="49">
        <f>SUBTOTAL(9,L827:L838)</f>
        <v>0</v>
      </c>
      <c r="M839" s="49">
        <f>SUBTOTAL(9,M827:M838)</f>
        <v>0</v>
      </c>
      <c r="N839" s="49">
        <f>SUBTOTAL(9,N827:N838)</f>
        <v>0</v>
      </c>
      <c r="O839" s="50" t="str">
        <f>IF(H839=0,"No plan at start",M839/H839)</f>
        <v>No plan at start</v>
      </c>
    </row>
    <row r="840" spans="2:15" hidden="1" outlineLevel="2" x14ac:dyDescent="0.2">
      <c r="B840" s="49" t="s">
        <v>86</v>
      </c>
      <c r="C840" s="49" t="s">
        <v>52</v>
      </c>
      <c r="D840" s="49">
        <v>0</v>
      </c>
      <c r="E840" s="49">
        <v>0</v>
      </c>
      <c r="F840" s="49">
        <f>E840-D840</f>
        <v>0</v>
      </c>
      <c r="G840" s="50">
        <f>IF(D840=0,0,ABS(F840/D840))</f>
        <v>0</v>
      </c>
      <c r="H840" s="49">
        <v>0</v>
      </c>
      <c r="I840" s="49">
        <v>0</v>
      </c>
      <c r="J840" s="51" t="str">
        <f>IF(H840=0,"No plan at start",I840/H840)</f>
        <v>No plan at start</v>
      </c>
      <c r="K840" s="52">
        <f>H840-I840</f>
        <v>0</v>
      </c>
      <c r="L840" s="49">
        <v>0</v>
      </c>
      <c r="M840" s="49">
        <f>I840+L840</f>
        <v>0</v>
      </c>
      <c r="N840" s="49">
        <f>M840-H840</f>
        <v>0</v>
      </c>
      <c r="O840" s="50" t="str">
        <f>IF(H840=0,"No plan at start",M840/H840)</f>
        <v>No plan at start</v>
      </c>
    </row>
    <row r="841" spans="2:15" hidden="1" outlineLevel="2" x14ac:dyDescent="0.2">
      <c r="B841" s="49" t="s">
        <v>86</v>
      </c>
      <c r="C841" s="49" t="s">
        <v>53</v>
      </c>
      <c r="D841" s="49">
        <v>0</v>
      </c>
      <c r="E841" s="49">
        <v>0</v>
      </c>
      <c r="F841" s="49">
        <f>E841-D841</f>
        <v>0</v>
      </c>
      <c r="G841" s="50">
        <f>IF(D841=0,0,ABS(F841/D841))</f>
        <v>0</v>
      </c>
      <c r="H841" s="49">
        <v>0</v>
      </c>
      <c r="I841" s="49">
        <v>0</v>
      </c>
      <c r="J841" s="51" t="str">
        <f>IF(H841=0,"No plan at start",I841/H841)</f>
        <v>No plan at start</v>
      </c>
      <c r="K841" s="52">
        <f>H841-I841</f>
        <v>0</v>
      </c>
      <c r="L841" s="49">
        <v>0</v>
      </c>
      <c r="M841" s="49">
        <f>I841+L841</f>
        <v>0</v>
      </c>
      <c r="N841" s="49">
        <f>M841-H841</f>
        <v>0</v>
      </c>
      <c r="O841" s="50" t="str">
        <f>IF(H841=0,"No plan at start",M841/H841)</f>
        <v>No plan at start</v>
      </c>
    </row>
    <row r="842" spans="2:15" hidden="1" outlineLevel="2" x14ac:dyDescent="0.2">
      <c r="B842" s="49" t="s">
        <v>86</v>
      </c>
      <c r="C842" s="49" t="s">
        <v>54</v>
      </c>
      <c r="D842" s="49">
        <v>0</v>
      </c>
      <c r="E842" s="49">
        <v>0</v>
      </c>
      <c r="F842" s="49">
        <f>E842-D842</f>
        <v>0</v>
      </c>
      <c r="G842" s="50">
        <f>IF(D842=0,0,ABS(F842/D842))</f>
        <v>0</v>
      </c>
      <c r="H842" s="49">
        <v>0</v>
      </c>
      <c r="I842" s="49">
        <v>0</v>
      </c>
      <c r="J842" s="51" t="str">
        <f>IF(H842=0,"No plan at start",I842/H842)</f>
        <v>No plan at start</v>
      </c>
      <c r="K842" s="52">
        <f>H842-I842</f>
        <v>0</v>
      </c>
      <c r="L842" s="49">
        <v>0</v>
      </c>
      <c r="M842" s="49">
        <f>I842+L842</f>
        <v>0</v>
      </c>
      <c r="N842" s="49">
        <f>M842-H842</f>
        <v>0</v>
      </c>
      <c r="O842" s="50" t="str">
        <f>IF(H842=0,"No plan at start",M842/H842)</f>
        <v>No plan at start</v>
      </c>
    </row>
    <row r="843" spans="2:15" hidden="1" outlineLevel="2" x14ac:dyDescent="0.2">
      <c r="B843" s="49" t="s">
        <v>86</v>
      </c>
      <c r="C843" s="49" t="s">
        <v>55</v>
      </c>
      <c r="D843" s="49">
        <v>0</v>
      </c>
      <c r="E843" s="49">
        <v>0</v>
      </c>
      <c r="F843" s="49">
        <f>E843-D843</f>
        <v>0</v>
      </c>
      <c r="G843" s="50">
        <f>IF(D843=0,0,ABS(F843/D843))</f>
        <v>0</v>
      </c>
      <c r="H843" s="49">
        <v>0</v>
      </c>
      <c r="I843" s="49">
        <v>0</v>
      </c>
      <c r="J843" s="51" t="str">
        <f>IF(H843=0,"No plan at start",I843/H843)</f>
        <v>No plan at start</v>
      </c>
      <c r="K843" s="52">
        <f>H843-I843</f>
        <v>0</v>
      </c>
      <c r="L843" s="49">
        <v>0</v>
      </c>
      <c r="M843" s="49">
        <f>I843+L843</f>
        <v>0</v>
      </c>
      <c r="N843" s="49">
        <f>M843-H843</f>
        <v>0</v>
      </c>
      <c r="O843" s="50" t="str">
        <f>IF(H843=0,"No plan at start",M843/H843)</f>
        <v>No plan at start</v>
      </c>
    </row>
    <row r="844" spans="2:15" hidden="1" outlineLevel="2" x14ac:dyDescent="0.2">
      <c r="B844" s="49" t="s">
        <v>86</v>
      </c>
      <c r="C844" s="49" t="s">
        <v>56</v>
      </c>
      <c r="D844" s="49">
        <v>0</v>
      </c>
      <c r="E844" s="49">
        <v>0</v>
      </c>
      <c r="F844" s="49">
        <f>E844-D844</f>
        <v>0</v>
      </c>
      <c r="G844" s="50">
        <f>IF(D844=0,0,ABS(F844/D844))</f>
        <v>0</v>
      </c>
      <c r="H844" s="49">
        <v>0</v>
      </c>
      <c r="I844" s="49">
        <v>0</v>
      </c>
      <c r="J844" s="51" t="str">
        <f>IF(H844=0,"No plan at start",I844/H844)</f>
        <v>No plan at start</v>
      </c>
      <c r="K844" s="52">
        <f>H844-I844</f>
        <v>0</v>
      </c>
      <c r="L844" s="49">
        <v>0</v>
      </c>
      <c r="M844" s="49">
        <f>I844+L844</f>
        <v>0</v>
      </c>
      <c r="N844" s="49">
        <f>M844-H844</f>
        <v>0</v>
      </c>
      <c r="O844" s="50" t="str">
        <f>IF(H844=0,"No plan at start",M844/H844)</f>
        <v>No plan at start</v>
      </c>
    </row>
    <row r="845" spans="2:15" hidden="1" outlineLevel="2" x14ac:dyDescent="0.2">
      <c r="B845" s="49" t="s">
        <v>86</v>
      </c>
      <c r="C845" s="49" t="s">
        <v>57</v>
      </c>
      <c r="D845" s="49">
        <v>0</v>
      </c>
      <c r="E845" s="49">
        <v>0</v>
      </c>
      <c r="F845" s="49">
        <f>E845-D845</f>
        <v>0</v>
      </c>
      <c r="G845" s="50">
        <f>IF(D845=0,0,ABS(F845/D845))</f>
        <v>0</v>
      </c>
      <c r="H845" s="49">
        <v>0</v>
      </c>
      <c r="I845" s="49">
        <v>0</v>
      </c>
      <c r="J845" s="51" t="str">
        <f>IF(H845=0,"No plan at start",I845/H845)</f>
        <v>No plan at start</v>
      </c>
      <c r="K845" s="52">
        <f>H845-I845</f>
        <v>0</v>
      </c>
      <c r="L845" s="49">
        <v>0</v>
      </c>
      <c r="M845" s="49">
        <f>I845+L845</f>
        <v>0</v>
      </c>
      <c r="N845" s="49">
        <f>M845-H845</f>
        <v>0</v>
      </c>
      <c r="O845" s="50" t="str">
        <f>IF(H845=0,"No plan at start",M845/H845)</f>
        <v>No plan at start</v>
      </c>
    </row>
    <row r="846" spans="2:15" hidden="1" outlineLevel="2" x14ac:dyDescent="0.2">
      <c r="B846" s="49" t="s">
        <v>86</v>
      </c>
      <c r="C846" s="49" t="s">
        <v>48</v>
      </c>
      <c r="D846" s="49">
        <v>0</v>
      </c>
      <c r="E846" s="49">
        <v>0</v>
      </c>
      <c r="F846" s="49">
        <f>E846-D846</f>
        <v>0</v>
      </c>
      <c r="G846" s="50">
        <f>IF(D846=0,0,ABS(F846/D846))</f>
        <v>0</v>
      </c>
      <c r="H846" s="49">
        <v>0</v>
      </c>
      <c r="I846" s="49">
        <v>0</v>
      </c>
      <c r="J846" s="51" t="str">
        <f>IF(H846=0,"No plan at start",I846/H846)</f>
        <v>No plan at start</v>
      </c>
      <c r="K846" s="52">
        <f>H846-I846</f>
        <v>0</v>
      </c>
      <c r="L846" s="49">
        <v>0</v>
      </c>
      <c r="M846" s="49">
        <f>I846+L846</f>
        <v>0</v>
      </c>
      <c r="N846" s="49">
        <f>M846-H846</f>
        <v>0</v>
      </c>
      <c r="O846" s="50" t="str">
        <f>IF(H846=0,"No plan at start",M846/H846)</f>
        <v>No plan at start</v>
      </c>
    </row>
    <row r="847" spans="2:15" hidden="1" outlineLevel="2" x14ac:dyDescent="0.2">
      <c r="B847" s="49" t="s">
        <v>86</v>
      </c>
      <c r="C847" s="49" t="s">
        <v>58</v>
      </c>
      <c r="D847" s="49">
        <v>0</v>
      </c>
      <c r="E847" s="49">
        <v>0</v>
      </c>
      <c r="F847" s="49">
        <f>E847-D847</f>
        <v>0</v>
      </c>
      <c r="G847" s="50">
        <f>IF(D847=0,0,ABS(F847/D847))</f>
        <v>0</v>
      </c>
      <c r="H847" s="49">
        <v>0</v>
      </c>
      <c r="I847" s="49">
        <v>0</v>
      </c>
      <c r="J847" s="51" t="str">
        <f>IF(H847=0,"No plan at start",I847/H847)</f>
        <v>No plan at start</v>
      </c>
      <c r="K847" s="52">
        <f>H847-I847</f>
        <v>0</v>
      </c>
      <c r="L847" s="49">
        <v>0</v>
      </c>
      <c r="M847" s="49">
        <f>I847+L847</f>
        <v>0</v>
      </c>
      <c r="N847" s="49">
        <f>M847-H847</f>
        <v>0</v>
      </c>
      <c r="O847" s="50" t="str">
        <f>IF(H847=0,"No plan at start",M847/H847)</f>
        <v>No plan at start</v>
      </c>
    </row>
    <row r="848" spans="2:15" hidden="1" outlineLevel="2" x14ac:dyDescent="0.2">
      <c r="B848" s="49" t="s">
        <v>86</v>
      </c>
      <c r="C848" s="49" t="s">
        <v>59</v>
      </c>
      <c r="D848" s="49">
        <v>0</v>
      </c>
      <c r="E848" s="49">
        <v>0</v>
      </c>
      <c r="F848" s="49">
        <f>E848-D848</f>
        <v>0</v>
      </c>
      <c r="G848" s="50">
        <f>IF(D848=0,0,ABS(F848/D848))</f>
        <v>0</v>
      </c>
      <c r="H848" s="49">
        <v>0</v>
      </c>
      <c r="I848" s="49">
        <v>0</v>
      </c>
      <c r="J848" s="51" t="str">
        <f>IF(H848=0,"No plan at start",I848/H848)</f>
        <v>No plan at start</v>
      </c>
      <c r="K848" s="52">
        <f>H848-I848</f>
        <v>0</v>
      </c>
      <c r="L848" s="49">
        <v>0</v>
      </c>
      <c r="M848" s="49">
        <f>I848+L848</f>
        <v>0</v>
      </c>
      <c r="N848" s="49">
        <f>M848-H848</f>
        <v>0</v>
      </c>
      <c r="O848" s="50" t="str">
        <f>IF(H848=0,"No plan at start",M848/H848)</f>
        <v>No plan at start</v>
      </c>
    </row>
    <row r="849" spans="2:15" hidden="1" outlineLevel="2" x14ac:dyDescent="0.2">
      <c r="B849" s="49" t="s">
        <v>86</v>
      </c>
      <c r="C849" s="49" t="s">
        <v>60</v>
      </c>
      <c r="D849" s="49">
        <v>0</v>
      </c>
      <c r="E849" s="49">
        <v>0</v>
      </c>
      <c r="F849" s="49">
        <f>E849-D849</f>
        <v>0</v>
      </c>
      <c r="G849" s="50">
        <f>IF(D849=0,0,ABS(F849/D849))</f>
        <v>0</v>
      </c>
      <c r="H849" s="49">
        <v>0</v>
      </c>
      <c r="I849" s="49">
        <v>0</v>
      </c>
      <c r="J849" s="51" t="str">
        <f>IF(H849=0,"No plan at start",I849/H849)</f>
        <v>No plan at start</v>
      </c>
      <c r="K849" s="52">
        <f>H849-I849</f>
        <v>0</v>
      </c>
      <c r="L849" s="49">
        <v>0</v>
      </c>
      <c r="M849" s="49">
        <f>I849+L849</f>
        <v>0</v>
      </c>
      <c r="N849" s="49">
        <f>M849-H849</f>
        <v>0</v>
      </c>
      <c r="O849" s="50" t="str">
        <f>IF(H849=0,"No plan at start",M849/H849)</f>
        <v>No plan at start</v>
      </c>
    </row>
    <row r="850" spans="2:15" hidden="1" outlineLevel="2" x14ac:dyDescent="0.2">
      <c r="B850" s="49" t="s">
        <v>86</v>
      </c>
      <c r="C850" s="49" t="s">
        <v>61</v>
      </c>
      <c r="D850" s="49">
        <v>0</v>
      </c>
      <c r="E850" s="49">
        <v>0</v>
      </c>
      <c r="F850" s="49">
        <f>E850-D850</f>
        <v>0</v>
      </c>
      <c r="G850" s="50">
        <f>IF(D850=0,0,ABS(F850/D850))</f>
        <v>0</v>
      </c>
      <c r="H850" s="49">
        <v>0</v>
      </c>
      <c r="I850" s="49">
        <v>0</v>
      </c>
      <c r="J850" s="51" t="str">
        <f>IF(H850=0,"No plan at start",I850/H850)</f>
        <v>No plan at start</v>
      </c>
      <c r="K850" s="52">
        <f>H850-I850</f>
        <v>0</v>
      </c>
      <c r="L850" s="49">
        <v>0</v>
      </c>
      <c r="M850" s="49">
        <f>I850+L850</f>
        <v>0</v>
      </c>
      <c r="N850" s="49">
        <f>M850-H850</f>
        <v>0</v>
      </c>
      <c r="O850" s="50" t="str">
        <f>IF(H850=0,"No plan at start",M850/H850)</f>
        <v>No plan at start</v>
      </c>
    </row>
    <row r="851" spans="2:15" hidden="1" outlineLevel="2" x14ac:dyDescent="0.2">
      <c r="B851" s="49" t="s">
        <v>86</v>
      </c>
      <c r="C851" s="49" t="s">
        <v>62</v>
      </c>
      <c r="D851" s="49">
        <v>0</v>
      </c>
      <c r="E851" s="49">
        <v>0</v>
      </c>
      <c r="F851" s="49">
        <f>E851-D851</f>
        <v>0</v>
      </c>
      <c r="G851" s="50">
        <f>IF(D851=0,0,ABS(F851/D851))</f>
        <v>0</v>
      </c>
      <c r="H851" s="49">
        <v>0</v>
      </c>
      <c r="I851" s="49">
        <v>0</v>
      </c>
      <c r="J851" s="51" t="str">
        <f>IF(H851=0,"No plan at start",I851/H851)</f>
        <v>No plan at start</v>
      </c>
      <c r="K851" s="52">
        <f>H851-I851</f>
        <v>0</v>
      </c>
      <c r="L851" s="49">
        <v>0</v>
      </c>
      <c r="M851" s="49">
        <f>I851+L851</f>
        <v>0</v>
      </c>
      <c r="N851" s="49">
        <f>M851-H851</f>
        <v>0</v>
      </c>
      <c r="O851" s="50" t="str">
        <f>IF(H851=0,"No plan at start",M851/H851)</f>
        <v>No plan at start</v>
      </c>
    </row>
    <row r="852" spans="2:15" outlineLevel="1" collapsed="1" x14ac:dyDescent="0.2">
      <c r="B852" s="56" t="s">
        <v>125</v>
      </c>
      <c r="C852" s="49"/>
      <c r="D852" s="49">
        <f>SUBTOTAL(9,D840:D851)</f>
        <v>0</v>
      </c>
      <c r="E852" s="49">
        <f>SUBTOTAL(9,E840:E851)</f>
        <v>0</v>
      </c>
      <c r="F852" s="49">
        <f>SUBTOTAL(9,F840:F851)</f>
        <v>0</v>
      </c>
      <c r="G852" s="50">
        <f>IF(D852=0,0,ABS(F852/D852))</f>
        <v>0</v>
      </c>
      <c r="H852" s="49">
        <f>SUBTOTAL(9,H840:H851)</f>
        <v>0</v>
      </c>
      <c r="I852" s="49">
        <f>SUBTOTAL(9,I840:I851)</f>
        <v>0</v>
      </c>
      <c r="J852" s="51" t="str">
        <f>IF(H852=0,"No plan at start",I852/H852)</f>
        <v>No plan at start</v>
      </c>
      <c r="K852" s="52">
        <f>SUBTOTAL(9,K840:K851)</f>
        <v>0</v>
      </c>
      <c r="L852" s="49">
        <f>SUBTOTAL(9,L840:L851)</f>
        <v>0</v>
      </c>
      <c r="M852" s="49">
        <f>SUBTOTAL(9,M840:M851)</f>
        <v>0</v>
      </c>
      <c r="N852" s="49">
        <f>SUBTOTAL(9,N840:N851)</f>
        <v>0</v>
      </c>
      <c r="O852" s="50" t="str">
        <f>IF(H852=0,"No plan at start",M852/H852)</f>
        <v>No plan at start</v>
      </c>
    </row>
    <row r="853" spans="2:15" hidden="1" outlineLevel="2" x14ac:dyDescent="0.2">
      <c r="B853" s="49" t="s">
        <v>87</v>
      </c>
      <c r="C853" s="49" t="s">
        <v>52</v>
      </c>
      <c r="D853" s="49">
        <v>0</v>
      </c>
      <c r="E853" s="49">
        <v>0</v>
      </c>
      <c r="F853" s="49">
        <f>E853-D853</f>
        <v>0</v>
      </c>
      <c r="G853" s="50">
        <f>IF(D853=0,0,ABS(F853/D853))</f>
        <v>0</v>
      </c>
      <c r="H853" s="49">
        <v>0</v>
      </c>
      <c r="I853" s="49">
        <v>0</v>
      </c>
      <c r="J853" s="51" t="str">
        <f>IF(H853=0,"No plan at start",I853/H853)</f>
        <v>No plan at start</v>
      </c>
      <c r="K853" s="52">
        <f>H853-I853</f>
        <v>0</v>
      </c>
      <c r="L853" s="49">
        <v>0</v>
      </c>
      <c r="M853" s="49">
        <f>I853+L853</f>
        <v>0</v>
      </c>
      <c r="N853" s="49">
        <f>M853-H853</f>
        <v>0</v>
      </c>
      <c r="O853" s="50" t="str">
        <f>IF(H853=0,"No plan at start",M853/H853)</f>
        <v>No plan at start</v>
      </c>
    </row>
    <row r="854" spans="2:15" hidden="1" outlineLevel="2" x14ac:dyDescent="0.2">
      <c r="B854" s="49" t="s">
        <v>87</v>
      </c>
      <c r="C854" s="49" t="s">
        <v>53</v>
      </c>
      <c r="D854" s="49">
        <v>0</v>
      </c>
      <c r="E854" s="49">
        <v>0</v>
      </c>
      <c r="F854" s="49">
        <f>E854-D854</f>
        <v>0</v>
      </c>
      <c r="G854" s="50">
        <f>IF(D854=0,0,ABS(F854/D854))</f>
        <v>0</v>
      </c>
      <c r="H854" s="49">
        <v>0</v>
      </c>
      <c r="I854" s="49">
        <v>0</v>
      </c>
      <c r="J854" s="51" t="str">
        <f>IF(H854=0,"No plan at start",I854/H854)</f>
        <v>No plan at start</v>
      </c>
      <c r="K854" s="52">
        <f>H854-I854</f>
        <v>0</v>
      </c>
      <c r="L854" s="49">
        <v>0</v>
      </c>
      <c r="M854" s="49">
        <f>I854+L854</f>
        <v>0</v>
      </c>
      <c r="N854" s="49">
        <f>M854-H854</f>
        <v>0</v>
      </c>
      <c r="O854" s="50" t="str">
        <f>IF(H854=0,"No plan at start",M854/H854)</f>
        <v>No plan at start</v>
      </c>
    </row>
    <row r="855" spans="2:15" hidden="1" outlineLevel="2" x14ac:dyDescent="0.2">
      <c r="B855" s="49" t="s">
        <v>87</v>
      </c>
      <c r="C855" s="49" t="s">
        <v>54</v>
      </c>
      <c r="D855" s="49">
        <v>0</v>
      </c>
      <c r="E855" s="49">
        <v>0</v>
      </c>
      <c r="F855" s="49">
        <f>E855-D855</f>
        <v>0</v>
      </c>
      <c r="G855" s="50">
        <f>IF(D855=0,0,ABS(F855/D855))</f>
        <v>0</v>
      </c>
      <c r="H855" s="49">
        <v>0</v>
      </c>
      <c r="I855" s="49">
        <v>0</v>
      </c>
      <c r="J855" s="51" t="str">
        <f>IF(H855=0,"No plan at start",I855/H855)</f>
        <v>No plan at start</v>
      </c>
      <c r="K855" s="52">
        <f>H855-I855</f>
        <v>0</v>
      </c>
      <c r="L855" s="49">
        <v>0</v>
      </c>
      <c r="M855" s="49">
        <f>I855+L855</f>
        <v>0</v>
      </c>
      <c r="N855" s="49">
        <f>M855-H855</f>
        <v>0</v>
      </c>
      <c r="O855" s="50" t="str">
        <f>IF(H855=0,"No plan at start",M855/H855)</f>
        <v>No plan at start</v>
      </c>
    </row>
    <row r="856" spans="2:15" hidden="1" outlineLevel="2" x14ac:dyDescent="0.2">
      <c r="B856" s="49" t="s">
        <v>87</v>
      </c>
      <c r="C856" s="49" t="s">
        <v>55</v>
      </c>
      <c r="D856" s="49">
        <v>0</v>
      </c>
      <c r="E856" s="49">
        <v>0</v>
      </c>
      <c r="F856" s="49">
        <f>E856-D856</f>
        <v>0</v>
      </c>
      <c r="G856" s="50">
        <f>IF(D856=0,0,ABS(F856/D856))</f>
        <v>0</v>
      </c>
      <c r="H856" s="49">
        <v>0</v>
      </c>
      <c r="I856" s="49">
        <v>0</v>
      </c>
      <c r="J856" s="51" t="str">
        <f>IF(H856=0,"No plan at start",I856/H856)</f>
        <v>No plan at start</v>
      </c>
      <c r="K856" s="52">
        <f>H856-I856</f>
        <v>0</v>
      </c>
      <c r="L856" s="49">
        <v>0</v>
      </c>
      <c r="M856" s="49">
        <f>I856+L856</f>
        <v>0</v>
      </c>
      <c r="N856" s="49">
        <f>M856-H856</f>
        <v>0</v>
      </c>
      <c r="O856" s="50" t="str">
        <f>IF(H856=0,"No plan at start",M856/H856)</f>
        <v>No plan at start</v>
      </c>
    </row>
    <row r="857" spans="2:15" hidden="1" outlineLevel="2" x14ac:dyDescent="0.2">
      <c r="B857" s="49" t="s">
        <v>87</v>
      </c>
      <c r="C857" s="49" t="s">
        <v>56</v>
      </c>
      <c r="D857" s="49">
        <v>0</v>
      </c>
      <c r="E857" s="49">
        <v>0</v>
      </c>
      <c r="F857" s="49">
        <f>E857-D857</f>
        <v>0</v>
      </c>
      <c r="G857" s="50">
        <f>IF(D857=0,0,ABS(F857/D857))</f>
        <v>0</v>
      </c>
      <c r="H857" s="49">
        <v>0</v>
      </c>
      <c r="I857" s="49">
        <v>0</v>
      </c>
      <c r="J857" s="51" t="str">
        <f>IF(H857=0,"No plan at start",I857/H857)</f>
        <v>No plan at start</v>
      </c>
      <c r="K857" s="52">
        <f>H857-I857</f>
        <v>0</v>
      </c>
      <c r="L857" s="49">
        <v>0</v>
      </c>
      <c r="M857" s="49">
        <f>I857+L857</f>
        <v>0</v>
      </c>
      <c r="N857" s="49">
        <f>M857-H857</f>
        <v>0</v>
      </c>
      <c r="O857" s="50" t="str">
        <f>IF(H857=0,"No plan at start",M857/H857)</f>
        <v>No plan at start</v>
      </c>
    </row>
    <row r="858" spans="2:15" hidden="1" outlineLevel="2" x14ac:dyDescent="0.2">
      <c r="B858" s="49" t="s">
        <v>87</v>
      </c>
      <c r="C858" s="49" t="s">
        <v>57</v>
      </c>
      <c r="D858" s="49">
        <v>0</v>
      </c>
      <c r="E858" s="49">
        <v>0</v>
      </c>
      <c r="F858" s="49">
        <f>E858-D858</f>
        <v>0</v>
      </c>
      <c r="G858" s="50">
        <f>IF(D858=0,0,ABS(F858/D858))</f>
        <v>0</v>
      </c>
      <c r="H858" s="49">
        <v>0</v>
      </c>
      <c r="I858" s="49">
        <v>0</v>
      </c>
      <c r="J858" s="51" t="str">
        <f>IF(H858=0,"No plan at start",I858/H858)</f>
        <v>No plan at start</v>
      </c>
      <c r="K858" s="52">
        <f>H858-I858</f>
        <v>0</v>
      </c>
      <c r="L858" s="49">
        <v>0</v>
      </c>
      <c r="M858" s="49">
        <f>I858+L858</f>
        <v>0</v>
      </c>
      <c r="N858" s="49">
        <f>M858-H858</f>
        <v>0</v>
      </c>
      <c r="O858" s="50" t="str">
        <f>IF(H858=0,"No plan at start",M858/H858)</f>
        <v>No plan at start</v>
      </c>
    </row>
    <row r="859" spans="2:15" hidden="1" outlineLevel="2" x14ac:dyDescent="0.2">
      <c r="B859" s="49" t="s">
        <v>87</v>
      </c>
      <c r="C859" s="49" t="s">
        <v>48</v>
      </c>
      <c r="D859" s="49">
        <v>0</v>
      </c>
      <c r="E859" s="49">
        <v>0</v>
      </c>
      <c r="F859" s="49">
        <f>E859-D859</f>
        <v>0</v>
      </c>
      <c r="G859" s="50">
        <f>IF(D859=0,0,ABS(F859/D859))</f>
        <v>0</v>
      </c>
      <c r="H859" s="49">
        <v>0</v>
      </c>
      <c r="I859" s="49">
        <v>0</v>
      </c>
      <c r="J859" s="51" t="str">
        <f>IF(H859=0,"No plan at start",I859/H859)</f>
        <v>No plan at start</v>
      </c>
      <c r="K859" s="52">
        <f>H859-I859</f>
        <v>0</v>
      </c>
      <c r="L859" s="49">
        <v>0</v>
      </c>
      <c r="M859" s="49">
        <f>I859+L859</f>
        <v>0</v>
      </c>
      <c r="N859" s="49">
        <f>M859-H859</f>
        <v>0</v>
      </c>
      <c r="O859" s="50" t="str">
        <f>IF(H859=0,"No plan at start",M859/H859)</f>
        <v>No plan at start</v>
      </c>
    </row>
    <row r="860" spans="2:15" hidden="1" outlineLevel="2" x14ac:dyDescent="0.2">
      <c r="B860" s="49" t="s">
        <v>87</v>
      </c>
      <c r="C860" s="49" t="s">
        <v>58</v>
      </c>
      <c r="D860" s="49">
        <v>0</v>
      </c>
      <c r="E860" s="49">
        <v>0</v>
      </c>
      <c r="F860" s="49">
        <f>E860-D860</f>
        <v>0</v>
      </c>
      <c r="G860" s="50">
        <f>IF(D860=0,0,ABS(F860/D860))</f>
        <v>0</v>
      </c>
      <c r="H860" s="49">
        <v>0</v>
      </c>
      <c r="I860" s="49">
        <v>0</v>
      </c>
      <c r="J860" s="51" t="str">
        <f>IF(H860=0,"No plan at start",I860/H860)</f>
        <v>No plan at start</v>
      </c>
      <c r="K860" s="52">
        <f>H860-I860</f>
        <v>0</v>
      </c>
      <c r="L860" s="49">
        <v>0</v>
      </c>
      <c r="M860" s="49">
        <f>I860+L860</f>
        <v>0</v>
      </c>
      <c r="N860" s="49">
        <f>M860-H860</f>
        <v>0</v>
      </c>
      <c r="O860" s="50" t="str">
        <f>IF(H860=0,"No plan at start",M860/H860)</f>
        <v>No plan at start</v>
      </c>
    </row>
    <row r="861" spans="2:15" hidden="1" outlineLevel="2" x14ac:dyDescent="0.2">
      <c r="B861" s="49" t="s">
        <v>87</v>
      </c>
      <c r="C861" s="49" t="s">
        <v>59</v>
      </c>
      <c r="D861" s="49">
        <v>0</v>
      </c>
      <c r="E861" s="49">
        <v>0</v>
      </c>
      <c r="F861" s="49">
        <f>E861-D861</f>
        <v>0</v>
      </c>
      <c r="G861" s="50">
        <f>IF(D861=0,0,ABS(F861/D861))</f>
        <v>0</v>
      </c>
      <c r="H861" s="49">
        <v>0</v>
      </c>
      <c r="I861" s="49">
        <v>0</v>
      </c>
      <c r="J861" s="51" t="str">
        <f>IF(H861=0,"No plan at start",I861/H861)</f>
        <v>No plan at start</v>
      </c>
      <c r="K861" s="52">
        <f>H861-I861</f>
        <v>0</v>
      </c>
      <c r="L861" s="49">
        <v>0</v>
      </c>
      <c r="M861" s="49">
        <f>I861+L861</f>
        <v>0</v>
      </c>
      <c r="N861" s="49">
        <f>M861-H861</f>
        <v>0</v>
      </c>
      <c r="O861" s="50" t="str">
        <f>IF(H861=0,"No plan at start",M861/H861)</f>
        <v>No plan at start</v>
      </c>
    </row>
    <row r="862" spans="2:15" hidden="1" outlineLevel="2" x14ac:dyDescent="0.2">
      <c r="B862" s="49" t="s">
        <v>87</v>
      </c>
      <c r="C862" s="49" t="s">
        <v>60</v>
      </c>
      <c r="D862" s="49">
        <v>0</v>
      </c>
      <c r="E862" s="49">
        <v>0</v>
      </c>
      <c r="F862" s="49">
        <f>E862-D862</f>
        <v>0</v>
      </c>
      <c r="G862" s="50">
        <f>IF(D862=0,0,ABS(F862/D862))</f>
        <v>0</v>
      </c>
      <c r="H862" s="49">
        <v>0</v>
      </c>
      <c r="I862" s="49">
        <v>0</v>
      </c>
      <c r="J862" s="51" t="str">
        <f>IF(H862=0,"No plan at start",I862/H862)</f>
        <v>No plan at start</v>
      </c>
      <c r="K862" s="52">
        <f>H862-I862</f>
        <v>0</v>
      </c>
      <c r="L862" s="49">
        <v>0</v>
      </c>
      <c r="M862" s="49">
        <f>I862+L862</f>
        <v>0</v>
      </c>
      <c r="N862" s="49">
        <f>M862-H862</f>
        <v>0</v>
      </c>
      <c r="O862" s="50" t="str">
        <f>IF(H862=0,"No plan at start",M862/H862)</f>
        <v>No plan at start</v>
      </c>
    </row>
    <row r="863" spans="2:15" hidden="1" outlineLevel="2" x14ac:dyDescent="0.2">
      <c r="B863" s="49" t="s">
        <v>87</v>
      </c>
      <c r="C863" s="49" t="s">
        <v>61</v>
      </c>
      <c r="D863" s="49">
        <v>0</v>
      </c>
      <c r="E863" s="49">
        <v>0</v>
      </c>
      <c r="F863" s="49">
        <f>E863-D863</f>
        <v>0</v>
      </c>
      <c r="G863" s="50">
        <f>IF(D863=0,0,ABS(F863/D863))</f>
        <v>0</v>
      </c>
      <c r="H863" s="49">
        <v>0</v>
      </c>
      <c r="I863" s="49">
        <v>0</v>
      </c>
      <c r="J863" s="51" t="str">
        <f>IF(H863=0,"No plan at start",I863/H863)</f>
        <v>No plan at start</v>
      </c>
      <c r="K863" s="52">
        <f>H863-I863</f>
        <v>0</v>
      </c>
      <c r="L863" s="49">
        <v>0</v>
      </c>
      <c r="M863" s="49">
        <f>I863+L863</f>
        <v>0</v>
      </c>
      <c r="N863" s="49">
        <f>M863-H863</f>
        <v>0</v>
      </c>
      <c r="O863" s="50" t="str">
        <f>IF(H863=0,"No plan at start",M863/H863)</f>
        <v>No plan at start</v>
      </c>
    </row>
    <row r="864" spans="2:15" hidden="1" outlineLevel="2" x14ac:dyDescent="0.2">
      <c r="B864" s="49" t="s">
        <v>87</v>
      </c>
      <c r="C864" s="49" t="s">
        <v>62</v>
      </c>
      <c r="D864" s="49">
        <v>0</v>
      </c>
      <c r="E864" s="49">
        <v>0</v>
      </c>
      <c r="F864" s="49">
        <f>E864-D864</f>
        <v>0</v>
      </c>
      <c r="G864" s="50">
        <f>IF(D864=0,0,ABS(F864/D864))</f>
        <v>0</v>
      </c>
      <c r="H864" s="49">
        <v>0</v>
      </c>
      <c r="I864" s="49">
        <v>0</v>
      </c>
      <c r="J864" s="51" t="str">
        <f>IF(H864=0,"No plan at start",I864/H864)</f>
        <v>No plan at start</v>
      </c>
      <c r="K864" s="52">
        <f>H864-I864</f>
        <v>0</v>
      </c>
      <c r="L864" s="49">
        <v>0</v>
      </c>
      <c r="M864" s="49">
        <f>I864+L864</f>
        <v>0</v>
      </c>
      <c r="N864" s="49">
        <f>M864-H864</f>
        <v>0</v>
      </c>
      <c r="O864" s="50" t="str">
        <f>IF(H864=0,"No plan at start",M864/H864)</f>
        <v>No plan at start</v>
      </c>
    </row>
    <row r="865" spans="2:15" outlineLevel="1" collapsed="1" x14ac:dyDescent="0.2">
      <c r="B865" s="56" t="s">
        <v>126</v>
      </c>
      <c r="C865" s="49"/>
      <c r="D865" s="49">
        <f>SUBTOTAL(9,D853:D864)</f>
        <v>0</v>
      </c>
      <c r="E865" s="49">
        <f>SUBTOTAL(9,E853:E864)</f>
        <v>0</v>
      </c>
      <c r="F865" s="49">
        <f>SUBTOTAL(9,F853:F864)</f>
        <v>0</v>
      </c>
      <c r="G865" s="50">
        <f>IF(D865=0,0,ABS(F865/D865))</f>
        <v>0</v>
      </c>
      <c r="H865" s="49">
        <f>SUBTOTAL(9,H853:H864)</f>
        <v>0</v>
      </c>
      <c r="I865" s="49">
        <f>SUBTOTAL(9,I853:I864)</f>
        <v>0</v>
      </c>
      <c r="J865" s="51" t="str">
        <f>IF(H865=0,"No plan at start",I865/H865)</f>
        <v>No plan at start</v>
      </c>
      <c r="K865" s="52">
        <f>SUBTOTAL(9,K853:K864)</f>
        <v>0</v>
      </c>
      <c r="L865" s="49">
        <f>SUBTOTAL(9,L853:L864)</f>
        <v>0</v>
      </c>
      <c r="M865" s="49">
        <f>SUBTOTAL(9,M853:M864)</f>
        <v>0</v>
      </c>
      <c r="N865" s="49">
        <f>SUBTOTAL(9,N853:N864)</f>
        <v>0</v>
      </c>
      <c r="O865" s="50" t="str">
        <f>IF(H865=0,"No plan at start",M865/H865)</f>
        <v>No plan at start</v>
      </c>
    </row>
    <row r="866" spans="2:15" hidden="1" outlineLevel="2" x14ac:dyDescent="0.2">
      <c r="B866" s="49" t="s">
        <v>88</v>
      </c>
      <c r="C866" s="49" t="s">
        <v>52</v>
      </c>
      <c r="D866" s="49">
        <v>0</v>
      </c>
      <c r="E866" s="49">
        <v>0</v>
      </c>
      <c r="F866" s="49">
        <f>E866-D866</f>
        <v>0</v>
      </c>
      <c r="G866" s="50">
        <f>IF(D866=0,0,ABS(F866/D866))</f>
        <v>0</v>
      </c>
      <c r="H866" s="49">
        <v>0</v>
      </c>
      <c r="I866" s="49">
        <v>0</v>
      </c>
      <c r="J866" s="51" t="str">
        <f>IF(H866=0,"No plan at start",I866/H866)</f>
        <v>No plan at start</v>
      </c>
      <c r="K866" s="52">
        <f>H866-I866</f>
        <v>0</v>
      </c>
      <c r="L866" s="49">
        <v>0</v>
      </c>
      <c r="M866" s="49">
        <f>I866+L866</f>
        <v>0</v>
      </c>
      <c r="N866" s="49">
        <f>M866-H866</f>
        <v>0</v>
      </c>
      <c r="O866" s="50" t="str">
        <f>IF(H866=0,"No plan at start",M866/H866)</f>
        <v>No plan at start</v>
      </c>
    </row>
    <row r="867" spans="2:15" hidden="1" outlineLevel="2" x14ac:dyDescent="0.2">
      <c r="B867" s="49" t="s">
        <v>88</v>
      </c>
      <c r="C867" s="49" t="s">
        <v>53</v>
      </c>
      <c r="D867" s="49">
        <v>0</v>
      </c>
      <c r="E867" s="49">
        <v>0</v>
      </c>
      <c r="F867" s="49">
        <f>E867-D867</f>
        <v>0</v>
      </c>
      <c r="G867" s="50">
        <f>IF(D867=0,0,ABS(F867/D867))</f>
        <v>0</v>
      </c>
      <c r="H867" s="49">
        <v>0</v>
      </c>
      <c r="I867" s="49">
        <v>0</v>
      </c>
      <c r="J867" s="51" t="str">
        <f>IF(H867=0,"No plan at start",I867/H867)</f>
        <v>No plan at start</v>
      </c>
      <c r="K867" s="52">
        <f>H867-I867</f>
        <v>0</v>
      </c>
      <c r="L867" s="49">
        <v>0</v>
      </c>
      <c r="M867" s="49">
        <f>I867+L867</f>
        <v>0</v>
      </c>
      <c r="N867" s="49">
        <f>M867-H867</f>
        <v>0</v>
      </c>
      <c r="O867" s="50" t="str">
        <f>IF(H867=0,"No plan at start",M867/H867)</f>
        <v>No plan at start</v>
      </c>
    </row>
    <row r="868" spans="2:15" hidden="1" outlineLevel="2" x14ac:dyDescent="0.2">
      <c r="B868" s="49" t="s">
        <v>88</v>
      </c>
      <c r="C868" s="49" t="s">
        <v>54</v>
      </c>
      <c r="D868" s="49">
        <v>0</v>
      </c>
      <c r="E868" s="49">
        <v>0</v>
      </c>
      <c r="F868" s="49">
        <f>E868-D868</f>
        <v>0</v>
      </c>
      <c r="G868" s="50">
        <f>IF(D868=0,0,ABS(F868/D868))</f>
        <v>0</v>
      </c>
      <c r="H868" s="49">
        <v>0</v>
      </c>
      <c r="I868" s="49">
        <v>0</v>
      </c>
      <c r="J868" s="51" t="str">
        <f>IF(H868=0,"No plan at start",I868/H868)</f>
        <v>No plan at start</v>
      </c>
      <c r="K868" s="52">
        <f>H868-I868</f>
        <v>0</v>
      </c>
      <c r="L868" s="49">
        <v>0</v>
      </c>
      <c r="M868" s="49">
        <f>I868+L868</f>
        <v>0</v>
      </c>
      <c r="N868" s="49">
        <f>M868-H868</f>
        <v>0</v>
      </c>
      <c r="O868" s="50" t="str">
        <f>IF(H868=0,"No plan at start",M868/H868)</f>
        <v>No plan at start</v>
      </c>
    </row>
    <row r="869" spans="2:15" hidden="1" outlineLevel="2" x14ac:dyDescent="0.2">
      <c r="B869" s="49" t="s">
        <v>88</v>
      </c>
      <c r="C869" s="49" t="s">
        <v>55</v>
      </c>
      <c r="D869" s="49">
        <v>0</v>
      </c>
      <c r="E869" s="49">
        <v>0</v>
      </c>
      <c r="F869" s="49">
        <f>E869-D869</f>
        <v>0</v>
      </c>
      <c r="G869" s="50">
        <f>IF(D869=0,0,ABS(F869/D869))</f>
        <v>0</v>
      </c>
      <c r="H869" s="49">
        <v>0</v>
      </c>
      <c r="I869" s="49">
        <v>0</v>
      </c>
      <c r="J869" s="51" t="str">
        <f>IF(H869=0,"No plan at start",I869/H869)</f>
        <v>No plan at start</v>
      </c>
      <c r="K869" s="52">
        <f>H869-I869</f>
        <v>0</v>
      </c>
      <c r="L869" s="49">
        <v>0</v>
      </c>
      <c r="M869" s="49">
        <f>I869+L869</f>
        <v>0</v>
      </c>
      <c r="N869" s="49">
        <f>M869-H869</f>
        <v>0</v>
      </c>
      <c r="O869" s="50" t="str">
        <f>IF(H869=0,"No plan at start",M869/H869)</f>
        <v>No plan at start</v>
      </c>
    </row>
    <row r="870" spans="2:15" hidden="1" outlineLevel="2" x14ac:dyDescent="0.2">
      <c r="B870" s="49" t="s">
        <v>88</v>
      </c>
      <c r="C870" s="49" t="s">
        <v>56</v>
      </c>
      <c r="D870" s="49">
        <v>0</v>
      </c>
      <c r="E870" s="49">
        <v>0</v>
      </c>
      <c r="F870" s="49">
        <f>E870-D870</f>
        <v>0</v>
      </c>
      <c r="G870" s="50">
        <f>IF(D870=0,0,ABS(F870/D870))</f>
        <v>0</v>
      </c>
      <c r="H870" s="49">
        <v>0</v>
      </c>
      <c r="I870" s="49">
        <v>0</v>
      </c>
      <c r="J870" s="51" t="str">
        <f>IF(H870=0,"No plan at start",I870/H870)</f>
        <v>No plan at start</v>
      </c>
      <c r="K870" s="52">
        <f>H870-I870</f>
        <v>0</v>
      </c>
      <c r="L870" s="49">
        <v>0</v>
      </c>
      <c r="M870" s="49">
        <f>I870+L870</f>
        <v>0</v>
      </c>
      <c r="N870" s="49">
        <f>M870-H870</f>
        <v>0</v>
      </c>
      <c r="O870" s="50" t="str">
        <f>IF(H870=0,"No plan at start",M870/H870)</f>
        <v>No plan at start</v>
      </c>
    </row>
    <row r="871" spans="2:15" hidden="1" outlineLevel="2" x14ac:dyDescent="0.2">
      <c r="B871" s="49" t="s">
        <v>88</v>
      </c>
      <c r="C871" s="49" t="s">
        <v>57</v>
      </c>
      <c r="D871" s="49">
        <v>0</v>
      </c>
      <c r="E871" s="49">
        <v>0</v>
      </c>
      <c r="F871" s="49">
        <f>E871-D871</f>
        <v>0</v>
      </c>
      <c r="G871" s="50">
        <f>IF(D871=0,0,ABS(F871/D871))</f>
        <v>0</v>
      </c>
      <c r="H871" s="49">
        <v>0</v>
      </c>
      <c r="I871" s="49">
        <v>0</v>
      </c>
      <c r="J871" s="51" t="str">
        <f>IF(H871=0,"No plan at start",I871/H871)</f>
        <v>No plan at start</v>
      </c>
      <c r="K871" s="52">
        <f>H871-I871</f>
        <v>0</v>
      </c>
      <c r="L871" s="49">
        <v>0</v>
      </c>
      <c r="M871" s="49">
        <f>I871+L871</f>
        <v>0</v>
      </c>
      <c r="N871" s="49">
        <f>M871-H871</f>
        <v>0</v>
      </c>
      <c r="O871" s="50" t="str">
        <f>IF(H871=0,"No plan at start",M871/H871)</f>
        <v>No plan at start</v>
      </c>
    </row>
    <row r="872" spans="2:15" hidden="1" outlineLevel="2" x14ac:dyDescent="0.2">
      <c r="B872" s="49" t="s">
        <v>88</v>
      </c>
      <c r="C872" s="49" t="s">
        <v>48</v>
      </c>
      <c r="D872" s="49">
        <v>0</v>
      </c>
      <c r="E872" s="49">
        <v>0</v>
      </c>
      <c r="F872" s="49">
        <f>E872-D872</f>
        <v>0</v>
      </c>
      <c r="G872" s="50">
        <f>IF(D872=0,0,ABS(F872/D872))</f>
        <v>0</v>
      </c>
      <c r="H872" s="49">
        <v>0</v>
      </c>
      <c r="I872" s="49">
        <v>0</v>
      </c>
      <c r="J872" s="51" t="str">
        <f>IF(H872=0,"No plan at start",I872/H872)</f>
        <v>No plan at start</v>
      </c>
      <c r="K872" s="52">
        <f>H872-I872</f>
        <v>0</v>
      </c>
      <c r="L872" s="49">
        <v>0</v>
      </c>
      <c r="M872" s="49">
        <f>I872+L872</f>
        <v>0</v>
      </c>
      <c r="N872" s="49">
        <f>M872-H872</f>
        <v>0</v>
      </c>
      <c r="O872" s="50" t="str">
        <f>IF(H872=0,"No plan at start",M872/H872)</f>
        <v>No plan at start</v>
      </c>
    </row>
    <row r="873" spans="2:15" hidden="1" outlineLevel="2" x14ac:dyDescent="0.2">
      <c r="B873" s="49" t="s">
        <v>88</v>
      </c>
      <c r="C873" s="49" t="s">
        <v>58</v>
      </c>
      <c r="D873" s="49">
        <v>0</v>
      </c>
      <c r="E873" s="49">
        <v>0</v>
      </c>
      <c r="F873" s="49">
        <f>E873-D873</f>
        <v>0</v>
      </c>
      <c r="G873" s="50">
        <f>IF(D873=0,0,ABS(F873/D873))</f>
        <v>0</v>
      </c>
      <c r="H873" s="49">
        <v>0</v>
      </c>
      <c r="I873" s="49">
        <v>0</v>
      </c>
      <c r="J873" s="51" t="str">
        <f>IF(H873=0,"No plan at start",I873/H873)</f>
        <v>No plan at start</v>
      </c>
      <c r="K873" s="52">
        <f>H873-I873</f>
        <v>0</v>
      </c>
      <c r="L873" s="49">
        <v>0</v>
      </c>
      <c r="M873" s="49">
        <f>I873+L873</f>
        <v>0</v>
      </c>
      <c r="N873" s="49">
        <f>M873-H873</f>
        <v>0</v>
      </c>
      <c r="O873" s="50" t="str">
        <f>IF(H873=0,"No plan at start",M873/H873)</f>
        <v>No plan at start</v>
      </c>
    </row>
    <row r="874" spans="2:15" hidden="1" outlineLevel="2" x14ac:dyDescent="0.2">
      <c r="B874" s="49" t="s">
        <v>88</v>
      </c>
      <c r="C874" s="49" t="s">
        <v>59</v>
      </c>
      <c r="D874" s="49">
        <v>0</v>
      </c>
      <c r="E874" s="49">
        <v>0</v>
      </c>
      <c r="F874" s="49">
        <f>E874-D874</f>
        <v>0</v>
      </c>
      <c r="G874" s="50">
        <f>IF(D874=0,0,ABS(F874/D874))</f>
        <v>0</v>
      </c>
      <c r="H874" s="49">
        <v>0</v>
      </c>
      <c r="I874" s="49">
        <v>0</v>
      </c>
      <c r="J874" s="51" t="str">
        <f>IF(H874=0,"No plan at start",I874/H874)</f>
        <v>No plan at start</v>
      </c>
      <c r="K874" s="52">
        <f>H874-I874</f>
        <v>0</v>
      </c>
      <c r="L874" s="49">
        <v>0</v>
      </c>
      <c r="M874" s="49">
        <f>I874+L874</f>
        <v>0</v>
      </c>
      <c r="N874" s="49">
        <f>M874-H874</f>
        <v>0</v>
      </c>
      <c r="O874" s="50" t="str">
        <f>IF(H874=0,"No plan at start",M874/H874)</f>
        <v>No plan at start</v>
      </c>
    </row>
    <row r="875" spans="2:15" hidden="1" outlineLevel="2" x14ac:dyDescent="0.2">
      <c r="B875" s="49" t="s">
        <v>88</v>
      </c>
      <c r="C875" s="49" t="s">
        <v>60</v>
      </c>
      <c r="D875" s="49">
        <v>0</v>
      </c>
      <c r="E875" s="49">
        <v>0</v>
      </c>
      <c r="F875" s="49">
        <f>E875-D875</f>
        <v>0</v>
      </c>
      <c r="G875" s="50">
        <f>IF(D875=0,0,ABS(F875/D875))</f>
        <v>0</v>
      </c>
      <c r="H875" s="49">
        <v>0</v>
      </c>
      <c r="I875" s="49">
        <v>0</v>
      </c>
      <c r="J875" s="51" t="str">
        <f>IF(H875=0,"No plan at start",I875/H875)</f>
        <v>No plan at start</v>
      </c>
      <c r="K875" s="52">
        <f>H875-I875</f>
        <v>0</v>
      </c>
      <c r="L875" s="49">
        <v>0</v>
      </c>
      <c r="M875" s="49">
        <f>I875+L875</f>
        <v>0</v>
      </c>
      <c r="N875" s="49">
        <f>M875-H875</f>
        <v>0</v>
      </c>
      <c r="O875" s="50" t="str">
        <f>IF(H875=0,"No plan at start",M875/H875)</f>
        <v>No plan at start</v>
      </c>
    </row>
    <row r="876" spans="2:15" hidden="1" outlineLevel="2" x14ac:dyDescent="0.2">
      <c r="B876" s="49" t="s">
        <v>88</v>
      </c>
      <c r="C876" s="49" t="s">
        <v>61</v>
      </c>
      <c r="D876" s="49">
        <v>0</v>
      </c>
      <c r="E876" s="49">
        <v>0</v>
      </c>
      <c r="F876" s="49">
        <f>E876-D876</f>
        <v>0</v>
      </c>
      <c r="G876" s="50">
        <f>IF(D876=0,0,ABS(F876/D876))</f>
        <v>0</v>
      </c>
      <c r="H876" s="49">
        <v>0</v>
      </c>
      <c r="I876" s="49">
        <v>0</v>
      </c>
      <c r="J876" s="51" t="str">
        <f>IF(H876=0,"No plan at start",I876/H876)</f>
        <v>No plan at start</v>
      </c>
      <c r="K876" s="52">
        <f>H876-I876</f>
        <v>0</v>
      </c>
      <c r="L876" s="49">
        <v>0</v>
      </c>
      <c r="M876" s="49">
        <f>I876+L876</f>
        <v>0</v>
      </c>
      <c r="N876" s="49">
        <f>M876-H876</f>
        <v>0</v>
      </c>
      <c r="O876" s="50" t="str">
        <f>IF(H876=0,"No plan at start",M876/H876)</f>
        <v>No plan at start</v>
      </c>
    </row>
    <row r="877" spans="2:15" hidden="1" outlineLevel="2" x14ac:dyDescent="0.2">
      <c r="B877" s="49" t="s">
        <v>88</v>
      </c>
      <c r="C877" s="49" t="s">
        <v>62</v>
      </c>
      <c r="D877" s="49">
        <v>0</v>
      </c>
      <c r="E877" s="49">
        <v>0</v>
      </c>
      <c r="F877" s="49">
        <f>E877-D877</f>
        <v>0</v>
      </c>
      <c r="G877" s="50">
        <f>IF(D877=0,0,ABS(F877/D877))</f>
        <v>0</v>
      </c>
      <c r="H877" s="49">
        <v>0</v>
      </c>
      <c r="I877" s="49">
        <v>0</v>
      </c>
      <c r="J877" s="51" t="str">
        <f>IF(H877=0,"No plan at start",I877/H877)</f>
        <v>No plan at start</v>
      </c>
      <c r="K877" s="52">
        <f>H877-I877</f>
        <v>0</v>
      </c>
      <c r="L877" s="49">
        <v>0</v>
      </c>
      <c r="M877" s="49">
        <f>I877+L877</f>
        <v>0</v>
      </c>
      <c r="N877" s="49">
        <f>M877-H877</f>
        <v>0</v>
      </c>
      <c r="O877" s="50" t="str">
        <f>IF(H877=0,"No plan at start",M877/H877)</f>
        <v>No plan at start</v>
      </c>
    </row>
    <row r="878" spans="2:15" outlineLevel="1" collapsed="1" x14ac:dyDescent="0.2">
      <c r="B878" s="56" t="s">
        <v>127</v>
      </c>
      <c r="C878" s="49"/>
      <c r="D878" s="49">
        <f>SUBTOTAL(9,D866:D877)</f>
        <v>0</v>
      </c>
      <c r="E878" s="49">
        <f>SUBTOTAL(9,E866:E877)</f>
        <v>0</v>
      </c>
      <c r="F878" s="49">
        <f>SUBTOTAL(9,F866:F877)</f>
        <v>0</v>
      </c>
      <c r="G878" s="50">
        <f>IF(D878=0,0,ABS(F878/D878))</f>
        <v>0</v>
      </c>
      <c r="H878" s="49">
        <f>SUBTOTAL(9,H866:H877)</f>
        <v>0</v>
      </c>
      <c r="I878" s="49">
        <f>SUBTOTAL(9,I866:I877)</f>
        <v>0</v>
      </c>
      <c r="J878" s="51" t="str">
        <f>IF(H878=0,"No plan at start",I878/H878)</f>
        <v>No plan at start</v>
      </c>
      <c r="K878" s="52">
        <f>SUBTOTAL(9,K866:K877)</f>
        <v>0</v>
      </c>
      <c r="L878" s="49">
        <f>SUBTOTAL(9,L866:L877)</f>
        <v>0</v>
      </c>
      <c r="M878" s="49">
        <f>SUBTOTAL(9,M866:M877)</f>
        <v>0</v>
      </c>
      <c r="N878" s="49">
        <f>SUBTOTAL(9,N866:N877)</f>
        <v>0</v>
      </c>
      <c r="O878" s="50" t="str">
        <f>IF(H878=0,"No plan at start",M878/H878)</f>
        <v>No plan at start</v>
      </c>
    </row>
    <row r="879" spans="2:15" hidden="1" outlineLevel="2" x14ac:dyDescent="0.2">
      <c r="B879" s="49" t="s">
        <v>89</v>
      </c>
      <c r="C879" s="49" t="s">
        <v>52</v>
      </c>
      <c r="D879" s="49">
        <v>0</v>
      </c>
      <c r="E879" s="49">
        <v>0</v>
      </c>
      <c r="F879" s="49">
        <f>E879-D879</f>
        <v>0</v>
      </c>
      <c r="G879" s="50">
        <f>IF(D879=0,0,ABS(F879/D879))</f>
        <v>0</v>
      </c>
      <c r="H879" s="49">
        <v>0</v>
      </c>
      <c r="I879" s="49">
        <v>0</v>
      </c>
      <c r="J879" s="51" t="str">
        <f>IF(H879=0,"No plan at start",I879/H879)</f>
        <v>No plan at start</v>
      </c>
      <c r="K879" s="52">
        <f>H879-I879</f>
        <v>0</v>
      </c>
      <c r="L879" s="49">
        <v>0</v>
      </c>
      <c r="M879" s="49">
        <f>I879+L879</f>
        <v>0</v>
      </c>
      <c r="N879" s="49">
        <f>M879-H879</f>
        <v>0</v>
      </c>
      <c r="O879" s="50" t="str">
        <f>IF(H879=0,"No plan at start",M879/H879)</f>
        <v>No plan at start</v>
      </c>
    </row>
    <row r="880" spans="2:15" hidden="1" outlineLevel="2" x14ac:dyDescent="0.2">
      <c r="B880" s="49" t="s">
        <v>89</v>
      </c>
      <c r="C880" s="49" t="s">
        <v>53</v>
      </c>
      <c r="D880" s="49">
        <v>0</v>
      </c>
      <c r="E880" s="49">
        <v>0</v>
      </c>
      <c r="F880" s="49">
        <f>E880-D880</f>
        <v>0</v>
      </c>
      <c r="G880" s="50">
        <f>IF(D880=0,0,ABS(F880/D880))</f>
        <v>0</v>
      </c>
      <c r="H880" s="49">
        <v>0</v>
      </c>
      <c r="I880" s="49">
        <v>0</v>
      </c>
      <c r="J880" s="51" t="str">
        <f>IF(H880=0,"No plan at start",I880/H880)</f>
        <v>No plan at start</v>
      </c>
      <c r="K880" s="52">
        <f>H880-I880</f>
        <v>0</v>
      </c>
      <c r="L880" s="49">
        <v>0</v>
      </c>
      <c r="M880" s="49">
        <f>I880+L880</f>
        <v>0</v>
      </c>
      <c r="N880" s="49">
        <f>M880-H880</f>
        <v>0</v>
      </c>
      <c r="O880" s="50" t="str">
        <f>IF(H880=0,"No plan at start",M880/H880)</f>
        <v>No plan at start</v>
      </c>
    </row>
    <row r="881" spans="2:15" hidden="1" outlineLevel="2" x14ac:dyDescent="0.2">
      <c r="B881" s="49" t="s">
        <v>89</v>
      </c>
      <c r="C881" s="49" t="s">
        <v>54</v>
      </c>
      <c r="D881" s="49">
        <v>0</v>
      </c>
      <c r="E881" s="49">
        <v>0</v>
      </c>
      <c r="F881" s="49">
        <f>E881-D881</f>
        <v>0</v>
      </c>
      <c r="G881" s="50">
        <f>IF(D881=0,0,ABS(F881/D881))</f>
        <v>0</v>
      </c>
      <c r="H881" s="49">
        <v>0</v>
      </c>
      <c r="I881" s="49">
        <v>0</v>
      </c>
      <c r="J881" s="51" t="str">
        <f>IF(H881=0,"No plan at start",I881/H881)</f>
        <v>No plan at start</v>
      </c>
      <c r="K881" s="52">
        <f>H881-I881</f>
        <v>0</v>
      </c>
      <c r="L881" s="49">
        <v>0</v>
      </c>
      <c r="M881" s="49">
        <f>I881+L881</f>
        <v>0</v>
      </c>
      <c r="N881" s="49">
        <f>M881-H881</f>
        <v>0</v>
      </c>
      <c r="O881" s="50" t="str">
        <f>IF(H881=0,"No plan at start",M881/H881)</f>
        <v>No plan at start</v>
      </c>
    </row>
    <row r="882" spans="2:15" hidden="1" outlineLevel="2" x14ac:dyDescent="0.2">
      <c r="B882" s="49" t="s">
        <v>89</v>
      </c>
      <c r="C882" s="49" t="s">
        <v>55</v>
      </c>
      <c r="D882" s="49">
        <v>0</v>
      </c>
      <c r="E882" s="49">
        <v>0</v>
      </c>
      <c r="F882" s="49">
        <f>E882-D882</f>
        <v>0</v>
      </c>
      <c r="G882" s="50">
        <f>IF(D882=0,0,ABS(F882/D882))</f>
        <v>0</v>
      </c>
      <c r="H882" s="49">
        <v>0</v>
      </c>
      <c r="I882" s="49">
        <v>0</v>
      </c>
      <c r="J882" s="51" t="str">
        <f>IF(H882=0,"No plan at start",I882/H882)</f>
        <v>No plan at start</v>
      </c>
      <c r="K882" s="52">
        <f>H882-I882</f>
        <v>0</v>
      </c>
      <c r="L882" s="49">
        <v>0</v>
      </c>
      <c r="M882" s="49">
        <f>I882+L882</f>
        <v>0</v>
      </c>
      <c r="N882" s="49">
        <f>M882-H882</f>
        <v>0</v>
      </c>
      <c r="O882" s="50" t="str">
        <f>IF(H882=0,"No plan at start",M882/H882)</f>
        <v>No plan at start</v>
      </c>
    </row>
    <row r="883" spans="2:15" hidden="1" outlineLevel="2" x14ac:dyDescent="0.2">
      <c r="B883" s="49" t="s">
        <v>89</v>
      </c>
      <c r="C883" s="49" t="s">
        <v>56</v>
      </c>
      <c r="D883" s="49">
        <v>0</v>
      </c>
      <c r="E883" s="49">
        <v>0</v>
      </c>
      <c r="F883" s="49">
        <f>E883-D883</f>
        <v>0</v>
      </c>
      <c r="G883" s="50">
        <f>IF(D883=0,0,ABS(F883/D883))</f>
        <v>0</v>
      </c>
      <c r="H883" s="49">
        <v>0</v>
      </c>
      <c r="I883" s="49">
        <v>0</v>
      </c>
      <c r="J883" s="51" t="str">
        <f>IF(H883=0,"No plan at start",I883/H883)</f>
        <v>No plan at start</v>
      </c>
      <c r="K883" s="52">
        <f>H883-I883</f>
        <v>0</v>
      </c>
      <c r="L883" s="49">
        <v>0</v>
      </c>
      <c r="M883" s="49">
        <f>I883+L883</f>
        <v>0</v>
      </c>
      <c r="N883" s="49">
        <f>M883-H883</f>
        <v>0</v>
      </c>
      <c r="O883" s="50" t="str">
        <f>IF(H883=0,"No plan at start",M883/H883)</f>
        <v>No plan at start</v>
      </c>
    </row>
    <row r="884" spans="2:15" hidden="1" outlineLevel="2" x14ac:dyDescent="0.2">
      <c r="B884" s="49" t="s">
        <v>89</v>
      </c>
      <c r="C884" s="49" t="s">
        <v>57</v>
      </c>
      <c r="D884" s="49">
        <v>0</v>
      </c>
      <c r="E884" s="49">
        <v>0</v>
      </c>
      <c r="F884" s="49">
        <f>E884-D884</f>
        <v>0</v>
      </c>
      <c r="G884" s="50">
        <f>IF(D884=0,0,ABS(F884/D884))</f>
        <v>0</v>
      </c>
      <c r="H884" s="49">
        <v>0</v>
      </c>
      <c r="I884" s="49">
        <v>0</v>
      </c>
      <c r="J884" s="51" t="str">
        <f>IF(H884=0,"No plan at start",I884/H884)</f>
        <v>No plan at start</v>
      </c>
      <c r="K884" s="52">
        <f>H884-I884</f>
        <v>0</v>
      </c>
      <c r="L884" s="49">
        <v>0</v>
      </c>
      <c r="M884" s="49">
        <f>I884+L884</f>
        <v>0</v>
      </c>
      <c r="N884" s="49">
        <f>M884-H884</f>
        <v>0</v>
      </c>
      <c r="O884" s="50" t="str">
        <f>IF(H884=0,"No plan at start",M884/H884)</f>
        <v>No plan at start</v>
      </c>
    </row>
    <row r="885" spans="2:15" hidden="1" outlineLevel="2" x14ac:dyDescent="0.2">
      <c r="B885" s="49" t="s">
        <v>89</v>
      </c>
      <c r="C885" s="49" t="s">
        <v>48</v>
      </c>
      <c r="D885" s="49">
        <v>0</v>
      </c>
      <c r="E885" s="49">
        <v>0</v>
      </c>
      <c r="F885" s="49">
        <f>E885-D885</f>
        <v>0</v>
      </c>
      <c r="G885" s="50">
        <f>IF(D885=0,0,ABS(F885/D885))</f>
        <v>0</v>
      </c>
      <c r="H885" s="49">
        <v>0</v>
      </c>
      <c r="I885" s="49">
        <v>0</v>
      </c>
      <c r="J885" s="51" t="str">
        <f>IF(H885=0,"No plan at start",I885/H885)</f>
        <v>No plan at start</v>
      </c>
      <c r="K885" s="52">
        <f>H885-I885</f>
        <v>0</v>
      </c>
      <c r="L885" s="49">
        <v>0</v>
      </c>
      <c r="M885" s="49">
        <f>I885+L885</f>
        <v>0</v>
      </c>
      <c r="N885" s="49">
        <f>M885-H885</f>
        <v>0</v>
      </c>
      <c r="O885" s="50" t="str">
        <f>IF(H885=0,"No plan at start",M885/H885)</f>
        <v>No plan at start</v>
      </c>
    </row>
    <row r="886" spans="2:15" hidden="1" outlineLevel="2" x14ac:dyDescent="0.2">
      <c r="B886" s="49" t="s">
        <v>89</v>
      </c>
      <c r="C886" s="49" t="s">
        <v>58</v>
      </c>
      <c r="D886" s="49">
        <v>0</v>
      </c>
      <c r="E886" s="49">
        <v>0</v>
      </c>
      <c r="F886" s="49">
        <f>E886-D886</f>
        <v>0</v>
      </c>
      <c r="G886" s="50">
        <f>IF(D886=0,0,ABS(F886/D886))</f>
        <v>0</v>
      </c>
      <c r="H886" s="49">
        <v>0</v>
      </c>
      <c r="I886" s="49">
        <v>0</v>
      </c>
      <c r="J886" s="51" t="str">
        <f>IF(H886=0,"No plan at start",I886/H886)</f>
        <v>No plan at start</v>
      </c>
      <c r="K886" s="52">
        <f>H886-I886</f>
        <v>0</v>
      </c>
      <c r="L886" s="49">
        <v>0</v>
      </c>
      <c r="M886" s="49">
        <f>I886+L886</f>
        <v>0</v>
      </c>
      <c r="N886" s="49">
        <f>M886-H886</f>
        <v>0</v>
      </c>
      <c r="O886" s="50" t="str">
        <f>IF(H886=0,"No plan at start",M886/H886)</f>
        <v>No plan at start</v>
      </c>
    </row>
    <row r="887" spans="2:15" hidden="1" outlineLevel="2" x14ac:dyDescent="0.2">
      <c r="B887" s="49" t="s">
        <v>89</v>
      </c>
      <c r="C887" s="49" t="s">
        <v>59</v>
      </c>
      <c r="D887" s="49">
        <v>0</v>
      </c>
      <c r="E887" s="49">
        <v>0</v>
      </c>
      <c r="F887" s="49">
        <f>E887-D887</f>
        <v>0</v>
      </c>
      <c r="G887" s="50">
        <f>IF(D887=0,0,ABS(F887/D887))</f>
        <v>0</v>
      </c>
      <c r="H887" s="49">
        <v>0</v>
      </c>
      <c r="I887" s="49">
        <v>0</v>
      </c>
      <c r="J887" s="51" t="str">
        <f>IF(H887=0,"No plan at start",I887/H887)</f>
        <v>No plan at start</v>
      </c>
      <c r="K887" s="52">
        <f>H887-I887</f>
        <v>0</v>
      </c>
      <c r="L887" s="49">
        <v>0</v>
      </c>
      <c r="M887" s="49">
        <f>I887+L887</f>
        <v>0</v>
      </c>
      <c r="N887" s="49">
        <f>M887-H887</f>
        <v>0</v>
      </c>
      <c r="O887" s="50" t="str">
        <f>IF(H887=0,"No plan at start",M887/H887)</f>
        <v>No plan at start</v>
      </c>
    </row>
    <row r="888" spans="2:15" hidden="1" outlineLevel="2" x14ac:dyDescent="0.2">
      <c r="B888" s="49" t="s">
        <v>89</v>
      </c>
      <c r="C888" s="49" t="s">
        <v>60</v>
      </c>
      <c r="D888" s="49">
        <v>0</v>
      </c>
      <c r="E888" s="49">
        <v>0</v>
      </c>
      <c r="F888" s="49">
        <f>E888-D888</f>
        <v>0</v>
      </c>
      <c r="G888" s="50">
        <f>IF(D888=0,0,ABS(F888/D888))</f>
        <v>0</v>
      </c>
      <c r="H888" s="49">
        <v>0</v>
      </c>
      <c r="I888" s="49">
        <v>0</v>
      </c>
      <c r="J888" s="51" t="str">
        <f>IF(H888=0,"No plan at start",I888/H888)</f>
        <v>No plan at start</v>
      </c>
      <c r="K888" s="52">
        <f>H888-I888</f>
        <v>0</v>
      </c>
      <c r="L888" s="49">
        <v>0</v>
      </c>
      <c r="M888" s="49">
        <f>I888+L888</f>
        <v>0</v>
      </c>
      <c r="N888" s="49">
        <f>M888-H888</f>
        <v>0</v>
      </c>
      <c r="O888" s="50" t="str">
        <f>IF(H888=0,"No plan at start",M888/H888)</f>
        <v>No plan at start</v>
      </c>
    </row>
    <row r="889" spans="2:15" hidden="1" outlineLevel="2" x14ac:dyDescent="0.2">
      <c r="B889" s="49" t="s">
        <v>89</v>
      </c>
      <c r="C889" s="49" t="s">
        <v>61</v>
      </c>
      <c r="D889" s="49">
        <v>0</v>
      </c>
      <c r="E889" s="49">
        <v>0</v>
      </c>
      <c r="F889" s="49">
        <f>E889-D889</f>
        <v>0</v>
      </c>
      <c r="G889" s="50">
        <f>IF(D889=0,0,ABS(F889/D889))</f>
        <v>0</v>
      </c>
      <c r="H889" s="49">
        <v>0</v>
      </c>
      <c r="I889" s="49">
        <v>0</v>
      </c>
      <c r="J889" s="51" t="str">
        <f>IF(H889=0,"No plan at start",I889/H889)</f>
        <v>No plan at start</v>
      </c>
      <c r="K889" s="52">
        <f>H889-I889</f>
        <v>0</v>
      </c>
      <c r="L889" s="49">
        <v>0</v>
      </c>
      <c r="M889" s="49">
        <f>I889+L889</f>
        <v>0</v>
      </c>
      <c r="N889" s="49">
        <f>M889-H889</f>
        <v>0</v>
      </c>
      <c r="O889" s="50" t="str">
        <f>IF(H889=0,"No plan at start",M889/H889)</f>
        <v>No plan at start</v>
      </c>
    </row>
    <row r="890" spans="2:15" hidden="1" outlineLevel="2" x14ac:dyDescent="0.2">
      <c r="B890" s="49" t="s">
        <v>89</v>
      </c>
      <c r="C890" s="49" t="s">
        <v>62</v>
      </c>
      <c r="D890" s="49">
        <v>0</v>
      </c>
      <c r="E890" s="49">
        <v>0</v>
      </c>
      <c r="F890" s="49">
        <f>E890-D890</f>
        <v>0</v>
      </c>
      <c r="G890" s="50">
        <f>IF(D890=0,0,ABS(F890/D890))</f>
        <v>0</v>
      </c>
      <c r="H890" s="49">
        <v>0</v>
      </c>
      <c r="I890" s="49">
        <v>0</v>
      </c>
      <c r="J890" s="51" t="str">
        <f>IF(H890=0,"No plan at start",I890/H890)</f>
        <v>No plan at start</v>
      </c>
      <c r="K890" s="52">
        <f>H890-I890</f>
        <v>0</v>
      </c>
      <c r="L890" s="49">
        <v>0</v>
      </c>
      <c r="M890" s="49">
        <f>I890+L890</f>
        <v>0</v>
      </c>
      <c r="N890" s="49">
        <f>M890-H890</f>
        <v>0</v>
      </c>
      <c r="O890" s="50" t="str">
        <f>IF(H890=0,"No plan at start",M890/H890)</f>
        <v>No plan at start</v>
      </c>
    </row>
    <row r="891" spans="2:15" outlineLevel="1" collapsed="1" x14ac:dyDescent="0.2">
      <c r="B891" s="56" t="s">
        <v>128</v>
      </c>
      <c r="C891" s="49"/>
      <c r="D891" s="49">
        <f>SUBTOTAL(9,D879:D890)</f>
        <v>0</v>
      </c>
      <c r="E891" s="49">
        <f>SUBTOTAL(9,E879:E890)</f>
        <v>0</v>
      </c>
      <c r="F891" s="49">
        <f>SUBTOTAL(9,F879:F890)</f>
        <v>0</v>
      </c>
      <c r="G891" s="50">
        <f>IF(D891=0,0,ABS(F891/D891))</f>
        <v>0</v>
      </c>
      <c r="H891" s="49">
        <f>SUBTOTAL(9,H879:H890)</f>
        <v>0</v>
      </c>
      <c r="I891" s="49">
        <f>SUBTOTAL(9,I879:I890)</f>
        <v>0</v>
      </c>
      <c r="J891" s="51" t="str">
        <f>IF(H891=0,"No plan at start",I891/H891)</f>
        <v>No plan at start</v>
      </c>
      <c r="K891" s="52">
        <f>SUBTOTAL(9,K879:K890)</f>
        <v>0</v>
      </c>
      <c r="L891" s="49">
        <f>SUBTOTAL(9,L879:L890)</f>
        <v>0</v>
      </c>
      <c r="M891" s="49">
        <f>SUBTOTAL(9,M879:M890)</f>
        <v>0</v>
      </c>
      <c r="N891" s="49">
        <f>SUBTOTAL(9,N879:N890)</f>
        <v>0</v>
      </c>
      <c r="O891" s="50" t="str">
        <f>IF(H891=0,"No plan at start",M891/H891)</f>
        <v>No plan at start</v>
      </c>
    </row>
    <row r="892" spans="2:15" hidden="1" outlineLevel="2" x14ac:dyDescent="0.2">
      <c r="B892" s="49" t="s">
        <v>90</v>
      </c>
      <c r="C892" s="49" t="s">
        <v>52</v>
      </c>
      <c r="D892" s="49">
        <v>0</v>
      </c>
      <c r="E892" s="49">
        <v>0</v>
      </c>
      <c r="F892" s="49">
        <f>E892-D892</f>
        <v>0</v>
      </c>
      <c r="G892" s="50">
        <f>IF(D892=0,0,ABS(F892/D892))</f>
        <v>0</v>
      </c>
      <c r="H892" s="49">
        <v>0</v>
      </c>
      <c r="I892" s="49">
        <v>1092</v>
      </c>
      <c r="J892" s="51" t="str">
        <f>IF(H892=0,"No plan at start",I892/H892)</f>
        <v>No plan at start</v>
      </c>
      <c r="K892" s="52">
        <f>H892-I892</f>
        <v>-1092</v>
      </c>
      <c r="L892" s="49">
        <v>0</v>
      </c>
      <c r="M892" s="49">
        <f>I892+L892</f>
        <v>1092</v>
      </c>
      <c r="N892" s="49">
        <f>M892-H892</f>
        <v>1092</v>
      </c>
      <c r="O892" s="50" t="str">
        <f>IF(H892=0,"No plan at start",M892/H892)</f>
        <v>No plan at start</v>
      </c>
    </row>
    <row r="893" spans="2:15" hidden="1" outlineLevel="2" x14ac:dyDescent="0.2">
      <c r="B893" s="49" t="s">
        <v>90</v>
      </c>
      <c r="C893" s="49" t="s">
        <v>53</v>
      </c>
      <c r="D893" s="49">
        <v>416</v>
      </c>
      <c r="E893" s="49">
        <v>0</v>
      </c>
      <c r="F893" s="49">
        <f>E893-D893</f>
        <v>-416</v>
      </c>
      <c r="G893" s="50">
        <f>IF(D893=0,0,ABS(F893/D893))</f>
        <v>1</v>
      </c>
      <c r="H893" s="49">
        <v>7987.2</v>
      </c>
      <c r="I893" s="49">
        <v>0</v>
      </c>
      <c r="J893" s="51">
        <f>IF(H893=0,"No plan at start",I893/H893)</f>
        <v>0</v>
      </c>
      <c r="K893" s="52">
        <f>H893-I893</f>
        <v>7987.2</v>
      </c>
      <c r="L893" s="49">
        <v>0</v>
      </c>
      <c r="M893" s="49">
        <f>I893+L893</f>
        <v>0</v>
      </c>
      <c r="N893" s="49">
        <f>M893-H893</f>
        <v>-7987.2</v>
      </c>
      <c r="O893" s="50">
        <f>IF(H893=0,"No plan at start",M893/H893)</f>
        <v>0</v>
      </c>
    </row>
    <row r="894" spans="2:15" hidden="1" outlineLevel="2" x14ac:dyDescent="0.2">
      <c r="B894" s="49" t="s">
        <v>90</v>
      </c>
      <c r="C894" s="49" t="s">
        <v>54</v>
      </c>
      <c r="D894" s="49">
        <v>0</v>
      </c>
      <c r="E894" s="49">
        <v>0</v>
      </c>
      <c r="F894" s="49">
        <f>E894-D894</f>
        <v>0</v>
      </c>
      <c r="G894" s="50">
        <f>IF(D894=0,0,ABS(F894/D894))</f>
        <v>0</v>
      </c>
      <c r="H894" s="49">
        <v>0</v>
      </c>
      <c r="I894" s="49">
        <v>0</v>
      </c>
      <c r="J894" s="51" t="str">
        <f>IF(H894=0,"No plan at start",I894/H894)</f>
        <v>No plan at start</v>
      </c>
      <c r="K894" s="52">
        <f>H894-I894</f>
        <v>0</v>
      </c>
      <c r="L894" s="49">
        <v>0</v>
      </c>
      <c r="M894" s="49">
        <f>I894+L894</f>
        <v>0</v>
      </c>
      <c r="N894" s="49">
        <f>M894-H894</f>
        <v>0</v>
      </c>
      <c r="O894" s="50" t="str">
        <f>IF(H894=0,"No plan at start",M894/H894)</f>
        <v>No plan at start</v>
      </c>
    </row>
    <row r="895" spans="2:15" hidden="1" outlineLevel="2" x14ac:dyDescent="0.2">
      <c r="B895" s="49" t="s">
        <v>90</v>
      </c>
      <c r="C895" s="49" t="s">
        <v>55</v>
      </c>
      <c r="D895" s="49">
        <v>0</v>
      </c>
      <c r="E895" s="49">
        <v>0</v>
      </c>
      <c r="F895" s="49">
        <f>E895-D895</f>
        <v>0</v>
      </c>
      <c r="G895" s="50">
        <f>IF(D895=0,0,ABS(F895/D895))</f>
        <v>0</v>
      </c>
      <c r="H895" s="49">
        <v>0</v>
      </c>
      <c r="I895" s="49">
        <v>3887</v>
      </c>
      <c r="J895" s="51" t="str">
        <f>IF(H895=0,"No plan at start",I895/H895)</f>
        <v>No plan at start</v>
      </c>
      <c r="K895" s="52">
        <f>H895-I895</f>
        <v>-3887</v>
      </c>
      <c r="L895" s="49">
        <v>0</v>
      </c>
      <c r="M895" s="49">
        <f>I895+L895</f>
        <v>3887</v>
      </c>
      <c r="N895" s="49">
        <f>M895-H895</f>
        <v>3887</v>
      </c>
      <c r="O895" s="50" t="str">
        <f>IF(H895=0,"No plan at start",M895/H895)</f>
        <v>No plan at start</v>
      </c>
    </row>
    <row r="896" spans="2:15" hidden="1" outlineLevel="2" x14ac:dyDescent="0.2">
      <c r="B896" s="49" t="s">
        <v>90</v>
      </c>
      <c r="C896" s="49" t="s">
        <v>56</v>
      </c>
      <c r="D896" s="49">
        <v>0</v>
      </c>
      <c r="E896" s="49">
        <v>0</v>
      </c>
      <c r="F896" s="49">
        <f>E896-D896</f>
        <v>0</v>
      </c>
      <c r="G896" s="50">
        <f>IF(D896=0,0,ABS(F896/D896))</f>
        <v>0</v>
      </c>
      <c r="H896" s="49">
        <v>0</v>
      </c>
      <c r="I896" s="49">
        <v>9737.7799999999952</v>
      </c>
      <c r="J896" s="51" t="str">
        <f>IF(H896=0,"No plan at start",I896/H896)</f>
        <v>No plan at start</v>
      </c>
      <c r="K896" s="52">
        <f>H896-I896</f>
        <v>-9737.7799999999952</v>
      </c>
      <c r="L896" s="49">
        <v>0</v>
      </c>
      <c r="M896" s="49">
        <f>I896+L896</f>
        <v>9737.7799999999952</v>
      </c>
      <c r="N896" s="49">
        <f>M896-H896</f>
        <v>9737.7799999999952</v>
      </c>
      <c r="O896" s="50" t="str">
        <f>IF(H896=0,"No plan at start",M896/H896)</f>
        <v>No plan at start</v>
      </c>
    </row>
    <row r="897" spans="2:15" hidden="1" outlineLevel="2" x14ac:dyDescent="0.2">
      <c r="B897" s="49" t="s">
        <v>90</v>
      </c>
      <c r="C897" s="49" t="s">
        <v>57</v>
      </c>
      <c r="D897" s="49">
        <v>0</v>
      </c>
      <c r="E897" s="49">
        <v>0</v>
      </c>
      <c r="F897" s="49">
        <f>E897-D897</f>
        <v>0</v>
      </c>
      <c r="G897" s="50">
        <f>IF(D897=0,0,ABS(F897/D897))</f>
        <v>0</v>
      </c>
      <c r="H897" s="49">
        <v>0</v>
      </c>
      <c r="I897" s="49">
        <v>0</v>
      </c>
      <c r="J897" s="51" t="str">
        <f>IF(H897=0,"No plan at start",I897/H897)</f>
        <v>No plan at start</v>
      </c>
      <c r="K897" s="52">
        <f>H897-I897</f>
        <v>0</v>
      </c>
      <c r="L897" s="49">
        <v>0</v>
      </c>
      <c r="M897" s="49">
        <f>I897+L897</f>
        <v>0</v>
      </c>
      <c r="N897" s="49">
        <f>M897-H897</f>
        <v>0</v>
      </c>
      <c r="O897" s="50" t="str">
        <f>IF(H897=0,"No plan at start",M897/H897)</f>
        <v>No plan at start</v>
      </c>
    </row>
    <row r="898" spans="2:15" hidden="1" outlineLevel="2" x14ac:dyDescent="0.2">
      <c r="B898" s="49" t="s">
        <v>90</v>
      </c>
      <c r="C898" s="49" t="s">
        <v>48</v>
      </c>
      <c r="D898" s="49">
        <v>0</v>
      </c>
      <c r="E898" s="49">
        <v>0</v>
      </c>
      <c r="F898" s="49">
        <f>E898-D898</f>
        <v>0</v>
      </c>
      <c r="G898" s="50">
        <f>IF(D898=0,0,ABS(F898/D898))</f>
        <v>0</v>
      </c>
      <c r="H898" s="49">
        <v>0</v>
      </c>
      <c r="I898" s="49">
        <v>0</v>
      </c>
      <c r="J898" s="51" t="str">
        <f>IF(H898=0,"No plan at start",I898/H898)</f>
        <v>No plan at start</v>
      </c>
      <c r="K898" s="52">
        <f>H898-I898</f>
        <v>0</v>
      </c>
      <c r="L898" s="49">
        <v>0</v>
      </c>
      <c r="M898" s="49">
        <f>I898+L898</f>
        <v>0</v>
      </c>
      <c r="N898" s="49">
        <f>M898-H898</f>
        <v>0</v>
      </c>
      <c r="O898" s="50" t="str">
        <f>IF(H898=0,"No plan at start",M898/H898)</f>
        <v>No plan at start</v>
      </c>
    </row>
    <row r="899" spans="2:15" hidden="1" outlineLevel="2" x14ac:dyDescent="0.2">
      <c r="B899" s="49" t="s">
        <v>90</v>
      </c>
      <c r="C899" s="49" t="s">
        <v>58</v>
      </c>
      <c r="D899" s="49">
        <v>0</v>
      </c>
      <c r="E899" s="49">
        <v>0</v>
      </c>
      <c r="F899" s="49">
        <f>E899-D899</f>
        <v>0</v>
      </c>
      <c r="G899" s="50">
        <f>IF(D899=0,0,ABS(F899/D899))</f>
        <v>0</v>
      </c>
      <c r="H899" s="49">
        <v>0</v>
      </c>
      <c r="I899" s="49">
        <v>0</v>
      </c>
      <c r="J899" s="51" t="str">
        <f>IF(H899=0,"No plan at start",I899/H899)</f>
        <v>No plan at start</v>
      </c>
      <c r="K899" s="52">
        <f>H899-I899</f>
        <v>0</v>
      </c>
      <c r="L899" s="49">
        <v>0</v>
      </c>
      <c r="M899" s="49">
        <f>I899+L899</f>
        <v>0</v>
      </c>
      <c r="N899" s="49">
        <f>M899-H899</f>
        <v>0</v>
      </c>
      <c r="O899" s="50" t="str">
        <f>IF(H899=0,"No plan at start",M899/H899)</f>
        <v>No plan at start</v>
      </c>
    </row>
    <row r="900" spans="2:15" hidden="1" outlineLevel="2" x14ac:dyDescent="0.2">
      <c r="B900" s="49" t="s">
        <v>90</v>
      </c>
      <c r="C900" s="49" t="s">
        <v>59</v>
      </c>
      <c r="D900" s="49">
        <v>0</v>
      </c>
      <c r="E900" s="49">
        <v>0</v>
      </c>
      <c r="F900" s="49">
        <f>E900-D900</f>
        <v>0</v>
      </c>
      <c r="G900" s="50">
        <f>IF(D900=0,0,ABS(F900/D900))</f>
        <v>0</v>
      </c>
      <c r="H900" s="49">
        <v>0</v>
      </c>
      <c r="I900" s="49">
        <v>0</v>
      </c>
      <c r="J900" s="51" t="str">
        <f>IF(H900=0,"No plan at start",I900/H900)</f>
        <v>No plan at start</v>
      </c>
      <c r="K900" s="52">
        <f>H900-I900</f>
        <v>0</v>
      </c>
      <c r="L900" s="49">
        <v>0</v>
      </c>
      <c r="M900" s="49">
        <f>I900+L900</f>
        <v>0</v>
      </c>
      <c r="N900" s="49">
        <f>M900-H900</f>
        <v>0</v>
      </c>
      <c r="O900" s="50" t="str">
        <f>IF(H900=0,"No plan at start",M900/H900)</f>
        <v>No plan at start</v>
      </c>
    </row>
    <row r="901" spans="2:15" hidden="1" outlineLevel="2" x14ac:dyDescent="0.2">
      <c r="B901" s="49" t="s">
        <v>90</v>
      </c>
      <c r="C901" s="49" t="s">
        <v>60</v>
      </c>
      <c r="D901" s="49">
        <v>0</v>
      </c>
      <c r="E901" s="49">
        <v>0</v>
      </c>
      <c r="F901" s="49">
        <f>E901-D901</f>
        <v>0</v>
      </c>
      <c r="G901" s="50">
        <f>IF(D901=0,0,ABS(F901/D901))</f>
        <v>0</v>
      </c>
      <c r="H901" s="49">
        <v>0</v>
      </c>
      <c r="I901" s="49">
        <v>0</v>
      </c>
      <c r="J901" s="51" t="str">
        <f>IF(H901=0,"No plan at start",I901/H901)</f>
        <v>No plan at start</v>
      </c>
      <c r="K901" s="52">
        <f>H901-I901</f>
        <v>0</v>
      </c>
      <c r="L901" s="49">
        <v>0</v>
      </c>
      <c r="M901" s="49">
        <f>I901+L901</f>
        <v>0</v>
      </c>
      <c r="N901" s="49">
        <f>M901-H901</f>
        <v>0</v>
      </c>
      <c r="O901" s="50" t="str">
        <f>IF(H901=0,"No plan at start",M901/H901)</f>
        <v>No plan at start</v>
      </c>
    </row>
    <row r="902" spans="2:15" hidden="1" outlineLevel="2" x14ac:dyDescent="0.2">
      <c r="B902" s="49" t="s">
        <v>90</v>
      </c>
      <c r="C902" s="49" t="s">
        <v>61</v>
      </c>
      <c r="D902" s="49">
        <v>0</v>
      </c>
      <c r="E902" s="49">
        <v>0</v>
      </c>
      <c r="F902" s="49">
        <f>E902-D902</f>
        <v>0</v>
      </c>
      <c r="G902" s="50">
        <f>IF(D902=0,0,ABS(F902/D902))</f>
        <v>0</v>
      </c>
      <c r="H902" s="49">
        <v>0</v>
      </c>
      <c r="I902" s="49">
        <v>0</v>
      </c>
      <c r="J902" s="51" t="str">
        <f>IF(H902=0,"No plan at start",I902/H902)</f>
        <v>No plan at start</v>
      </c>
      <c r="K902" s="52">
        <f>H902-I902</f>
        <v>0</v>
      </c>
      <c r="L902" s="49">
        <v>0</v>
      </c>
      <c r="M902" s="49">
        <f>I902+L902</f>
        <v>0</v>
      </c>
      <c r="N902" s="49">
        <f>M902-H902</f>
        <v>0</v>
      </c>
      <c r="O902" s="50" t="str">
        <f>IF(H902=0,"No plan at start",M902/H902)</f>
        <v>No plan at start</v>
      </c>
    </row>
    <row r="903" spans="2:15" hidden="1" outlineLevel="2" x14ac:dyDescent="0.2">
      <c r="B903" s="49" t="s">
        <v>90</v>
      </c>
      <c r="C903" s="49" t="s">
        <v>62</v>
      </c>
      <c r="D903" s="49">
        <v>0</v>
      </c>
      <c r="E903" s="49">
        <v>0</v>
      </c>
      <c r="F903" s="49">
        <f>E903-D903</f>
        <v>0</v>
      </c>
      <c r="G903" s="50">
        <f>IF(D903=0,0,ABS(F903/D903))</f>
        <v>0</v>
      </c>
      <c r="H903" s="49">
        <v>0</v>
      </c>
      <c r="I903" s="49">
        <v>0</v>
      </c>
      <c r="J903" s="51" t="str">
        <f>IF(H903=0,"No plan at start",I903/H903)</f>
        <v>No plan at start</v>
      </c>
      <c r="K903" s="52">
        <f>H903-I903</f>
        <v>0</v>
      </c>
      <c r="L903" s="49">
        <v>0</v>
      </c>
      <c r="M903" s="49">
        <f>I903+L903</f>
        <v>0</v>
      </c>
      <c r="N903" s="49">
        <f>M903-H903</f>
        <v>0</v>
      </c>
      <c r="O903" s="50" t="str">
        <f>IF(H903=0,"No plan at start",M903/H903)</f>
        <v>No plan at start</v>
      </c>
    </row>
    <row r="904" spans="2:15" outlineLevel="1" collapsed="1" x14ac:dyDescent="0.2">
      <c r="B904" s="56" t="s">
        <v>129</v>
      </c>
      <c r="C904" s="49"/>
      <c r="D904" s="49">
        <f>SUBTOTAL(9,D892:D903)</f>
        <v>416</v>
      </c>
      <c r="E904" s="49">
        <f>SUBTOTAL(9,E892:E903)</f>
        <v>0</v>
      </c>
      <c r="F904" s="49">
        <f>SUBTOTAL(9,F892:F903)</f>
        <v>-416</v>
      </c>
      <c r="G904" s="50">
        <f>IF(D904=0,0,ABS(F904/D904))</f>
        <v>1</v>
      </c>
      <c r="H904" s="49">
        <f>SUBTOTAL(9,H892:H903)</f>
        <v>7987.2</v>
      </c>
      <c r="I904" s="49">
        <f>SUBTOTAL(9,I892:I903)</f>
        <v>14716.779999999995</v>
      </c>
      <c r="J904" s="51">
        <f>IF(H904=0,"No plan at start",I904/H904)</f>
        <v>1.8425455729166662</v>
      </c>
      <c r="K904" s="52">
        <f>SUBTOTAL(9,K892:K903)</f>
        <v>-6729.5799999999954</v>
      </c>
      <c r="L904" s="49">
        <f>SUBTOTAL(9,L892:L903)</f>
        <v>0</v>
      </c>
      <c r="M904" s="49">
        <f>SUBTOTAL(9,M892:M903)</f>
        <v>14716.779999999995</v>
      </c>
      <c r="N904" s="49">
        <f>SUBTOTAL(9,N892:N903)</f>
        <v>6729.5799999999954</v>
      </c>
      <c r="O904" s="50">
        <f>IF(H904=0,"No plan at start",M904/H904)</f>
        <v>1.8425455729166662</v>
      </c>
    </row>
    <row r="905" spans="2:15" hidden="1" outlineLevel="2" x14ac:dyDescent="0.2">
      <c r="B905" s="49" t="s">
        <v>91</v>
      </c>
      <c r="C905" s="49" t="s">
        <v>52</v>
      </c>
      <c r="D905" s="49">
        <v>0</v>
      </c>
      <c r="E905" s="49">
        <v>0</v>
      </c>
      <c r="F905" s="49">
        <f>E905-D905</f>
        <v>0</v>
      </c>
      <c r="G905" s="50">
        <f>IF(D905=0,0,ABS(F905/D905))</f>
        <v>0</v>
      </c>
      <c r="H905" s="49">
        <v>0</v>
      </c>
      <c r="I905" s="49">
        <v>0</v>
      </c>
      <c r="J905" s="51" t="str">
        <f>IF(H905=0,"No plan at start",I905/H905)</f>
        <v>No plan at start</v>
      </c>
      <c r="K905" s="52">
        <f>H905-I905</f>
        <v>0</v>
      </c>
      <c r="L905" s="49">
        <v>0</v>
      </c>
      <c r="M905" s="49">
        <f>I905+L905</f>
        <v>0</v>
      </c>
      <c r="N905" s="49">
        <f>M905-H905</f>
        <v>0</v>
      </c>
      <c r="O905" s="50" t="str">
        <f>IF(H905=0,"No plan at start",M905/H905)</f>
        <v>No plan at start</v>
      </c>
    </row>
    <row r="906" spans="2:15" hidden="1" outlineLevel="2" x14ac:dyDescent="0.2">
      <c r="B906" s="49" t="s">
        <v>91</v>
      </c>
      <c r="C906" s="49" t="s">
        <v>53</v>
      </c>
      <c r="D906" s="49">
        <v>0</v>
      </c>
      <c r="E906" s="49">
        <v>0</v>
      </c>
      <c r="F906" s="49">
        <f>E906-D906</f>
        <v>0</v>
      </c>
      <c r="G906" s="50">
        <f>IF(D906=0,0,ABS(F906/D906))</f>
        <v>0</v>
      </c>
      <c r="H906" s="49">
        <v>0</v>
      </c>
      <c r="I906" s="49">
        <v>0</v>
      </c>
      <c r="J906" s="51" t="str">
        <f>IF(H906=0,"No plan at start",I906/H906)</f>
        <v>No plan at start</v>
      </c>
      <c r="K906" s="52">
        <f>H906-I906</f>
        <v>0</v>
      </c>
      <c r="L906" s="49">
        <v>0</v>
      </c>
      <c r="M906" s="49">
        <f>I906+L906</f>
        <v>0</v>
      </c>
      <c r="N906" s="49">
        <f>M906-H906</f>
        <v>0</v>
      </c>
      <c r="O906" s="50" t="str">
        <f>IF(H906=0,"No plan at start",M906/H906)</f>
        <v>No plan at start</v>
      </c>
    </row>
    <row r="907" spans="2:15" hidden="1" outlineLevel="2" x14ac:dyDescent="0.2">
      <c r="B907" s="49" t="s">
        <v>91</v>
      </c>
      <c r="C907" s="49" t="s">
        <v>54</v>
      </c>
      <c r="D907" s="49">
        <v>0</v>
      </c>
      <c r="E907" s="49">
        <v>0</v>
      </c>
      <c r="F907" s="49">
        <f>E907-D907</f>
        <v>0</v>
      </c>
      <c r="G907" s="50">
        <f>IF(D907=0,0,ABS(F907/D907))</f>
        <v>0</v>
      </c>
      <c r="H907" s="49">
        <v>0</v>
      </c>
      <c r="I907" s="49">
        <v>0</v>
      </c>
      <c r="J907" s="51" t="str">
        <f>IF(H907=0,"No plan at start",I907/H907)</f>
        <v>No plan at start</v>
      </c>
      <c r="K907" s="52">
        <f>H907-I907</f>
        <v>0</v>
      </c>
      <c r="L907" s="49">
        <v>0</v>
      </c>
      <c r="M907" s="49">
        <f>I907+L907</f>
        <v>0</v>
      </c>
      <c r="N907" s="49">
        <f>M907-H907</f>
        <v>0</v>
      </c>
      <c r="O907" s="50" t="str">
        <f>IF(H907=0,"No plan at start",M907/H907)</f>
        <v>No plan at start</v>
      </c>
    </row>
    <row r="908" spans="2:15" hidden="1" outlineLevel="2" x14ac:dyDescent="0.2">
      <c r="B908" s="49" t="s">
        <v>91</v>
      </c>
      <c r="C908" s="49" t="s">
        <v>55</v>
      </c>
      <c r="D908" s="49">
        <v>0</v>
      </c>
      <c r="E908" s="49">
        <v>0</v>
      </c>
      <c r="F908" s="49">
        <f>E908-D908</f>
        <v>0</v>
      </c>
      <c r="G908" s="50">
        <f>IF(D908=0,0,ABS(F908/D908))</f>
        <v>0</v>
      </c>
      <c r="H908" s="49">
        <v>0</v>
      </c>
      <c r="I908" s="49">
        <v>0</v>
      </c>
      <c r="J908" s="51" t="str">
        <f>IF(H908=0,"No plan at start",I908/H908)</f>
        <v>No plan at start</v>
      </c>
      <c r="K908" s="52">
        <f>H908-I908</f>
        <v>0</v>
      </c>
      <c r="L908" s="49">
        <v>0</v>
      </c>
      <c r="M908" s="49">
        <f>I908+L908</f>
        <v>0</v>
      </c>
      <c r="N908" s="49">
        <f>M908-H908</f>
        <v>0</v>
      </c>
      <c r="O908" s="50" t="str">
        <f>IF(H908=0,"No plan at start",M908/H908)</f>
        <v>No plan at start</v>
      </c>
    </row>
    <row r="909" spans="2:15" hidden="1" outlineLevel="2" x14ac:dyDescent="0.2">
      <c r="B909" s="49" t="s">
        <v>91</v>
      </c>
      <c r="C909" s="49" t="s">
        <v>56</v>
      </c>
      <c r="D909" s="49">
        <v>0</v>
      </c>
      <c r="E909" s="49">
        <v>0</v>
      </c>
      <c r="F909" s="49">
        <f>E909-D909</f>
        <v>0</v>
      </c>
      <c r="G909" s="50">
        <f>IF(D909=0,0,ABS(F909/D909))</f>
        <v>0</v>
      </c>
      <c r="H909" s="49">
        <v>0</v>
      </c>
      <c r="I909" s="49">
        <v>0</v>
      </c>
      <c r="J909" s="51" t="str">
        <f>IF(H909=0,"No plan at start",I909/H909)</f>
        <v>No plan at start</v>
      </c>
      <c r="K909" s="52">
        <f>H909-I909</f>
        <v>0</v>
      </c>
      <c r="L909" s="49">
        <v>0</v>
      </c>
      <c r="M909" s="49">
        <f>I909+L909</f>
        <v>0</v>
      </c>
      <c r="N909" s="49">
        <f>M909-H909</f>
        <v>0</v>
      </c>
      <c r="O909" s="50" t="str">
        <f>IF(H909=0,"No plan at start",M909/H909)</f>
        <v>No plan at start</v>
      </c>
    </row>
    <row r="910" spans="2:15" hidden="1" outlineLevel="2" x14ac:dyDescent="0.2">
      <c r="B910" s="49" t="s">
        <v>91</v>
      </c>
      <c r="C910" s="49" t="s">
        <v>57</v>
      </c>
      <c r="D910" s="49">
        <v>0</v>
      </c>
      <c r="E910" s="49">
        <v>0</v>
      </c>
      <c r="F910" s="49">
        <f>E910-D910</f>
        <v>0</v>
      </c>
      <c r="G910" s="50">
        <f>IF(D910=0,0,ABS(F910/D910))</f>
        <v>0</v>
      </c>
      <c r="H910" s="49">
        <v>0</v>
      </c>
      <c r="I910" s="49">
        <v>0</v>
      </c>
      <c r="J910" s="51" t="str">
        <f>IF(H910=0,"No plan at start",I910/H910)</f>
        <v>No plan at start</v>
      </c>
      <c r="K910" s="52">
        <f>H910-I910</f>
        <v>0</v>
      </c>
      <c r="L910" s="49">
        <v>0</v>
      </c>
      <c r="M910" s="49">
        <f>I910+L910</f>
        <v>0</v>
      </c>
      <c r="N910" s="49">
        <f>M910-H910</f>
        <v>0</v>
      </c>
      <c r="O910" s="50" t="str">
        <f>IF(H910=0,"No plan at start",M910/H910)</f>
        <v>No plan at start</v>
      </c>
    </row>
    <row r="911" spans="2:15" hidden="1" outlineLevel="2" x14ac:dyDescent="0.2">
      <c r="B911" s="49" t="s">
        <v>91</v>
      </c>
      <c r="C911" s="49" t="s">
        <v>48</v>
      </c>
      <c r="D911" s="49">
        <v>0</v>
      </c>
      <c r="E911" s="49">
        <v>0</v>
      </c>
      <c r="F911" s="49">
        <f>E911-D911</f>
        <v>0</v>
      </c>
      <c r="G911" s="50">
        <f>IF(D911=0,0,ABS(F911/D911))</f>
        <v>0</v>
      </c>
      <c r="H911" s="49">
        <v>0</v>
      </c>
      <c r="I911" s="49">
        <v>0</v>
      </c>
      <c r="J911" s="51" t="str">
        <f>IF(H911=0,"No plan at start",I911/H911)</f>
        <v>No plan at start</v>
      </c>
      <c r="K911" s="52">
        <f>H911-I911</f>
        <v>0</v>
      </c>
      <c r="L911" s="49">
        <v>0</v>
      </c>
      <c r="M911" s="49">
        <f>I911+L911</f>
        <v>0</v>
      </c>
      <c r="N911" s="49">
        <f>M911-H911</f>
        <v>0</v>
      </c>
      <c r="O911" s="50" t="str">
        <f>IF(H911=0,"No plan at start",M911/H911)</f>
        <v>No plan at start</v>
      </c>
    </row>
    <row r="912" spans="2:15" hidden="1" outlineLevel="2" x14ac:dyDescent="0.2">
      <c r="B912" s="49" t="s">
        <v>91</v>
      </c>
      <c r="C912" s="49" t="s">
        <v>58</v>
      </c>
      <c r="D912" s="49">
        <v>0</v>
      </c>
      <c r="E912" s="49">
        <v>0</v>
      </c>
      <c r="F912" s="49">
        <f>E912-D912</f>
        <v>0</v>
      </c>
      <c r="G912" s="50">
        <f>IF(D912=0,0,ABS(F912/D912))</f>
        <v>0</v>
      </c>
      <c r="H912" s="49">
        <v>0</v>
      </c>
      <c r="I912" s="49">
        <v>0</v>
      </c>
      <c r="J912" s="51" t="str">
        <f>IF(H912=0,"No plan at start",I912/H912)</f>
        <v>No plan at start</v>
      </c>
      <c r="K912" s="52">
        <f>H912-I912</f>
        <v>0</v>
      </c>
      <c r="L912" s="49">
        <v>0</v>
      </c>
      <c r="M912" s="49">
        <f>I912+L912</f>
        <v>0</v>
      </c>
      <c r="N912" s="49">
        <f>M912-H912</f>
        <v>0</v>
      </c>
      <c r="O912" s="50" t="str">
        <f>IF(H912=0,"No plan at start",M912/H912)</f>
        <v>No plan at start</v>
      </c>
    </row>
    <row r="913" spans="2:15" hidden="1" outlineLevel="2" x14ac:dyDescent="0.2">
      <c r="B913" s="49" t="s">
        <v>91</v>
      </c>
      <c r="C913" s="49" t="s">
        <v>59</v>
      </c>
      <c r="D913" s="49">
        <v>0</v>
      </c>
      <c r="E913" s="49">
        <v>0</v>
      </c>
      <c r="F913" s="49">
        <f>E913-D913</f>
        <v>0</v>
      </c>
      <c r="G913" s="50">
        <f>IF(D913=0,0,ABS(F913/D913))</f>
        <v>0</v>
      </c>
      <c r="H913" s="49">
        <v>0</v>
      </c>
      <c r="I913" s="49">
        <v>0</v>
      </c>
      <c r="J913" s="51" t="str">
        <f>IF(H913=0,"No plan at start",I913/H913)</f>
        <v>No plan at start</v>
      </c>
      <c r="K913" s="52">
        <f>H913-I913</f>
        <v>0</v>
      </c>
      <c r="L913" s="49">
        <v>0</v>
      </c>
      <c r="M913" s="49">
        <f>I913+L913</f>
        <v>0</v>
      </c>
      <c r="N913" s="49">
        <f>M913-H913</f>
        <v>0</v>
      </c>
      <c r="O913" s="50" t="str">
        <f>IF(H913=0,"No plan at start",M913/H913)</f>
        <v>No plan at start</v>
      </c>
    </row>
    <row r="914" spans="2:15" hidden="1" outlineLevel="2" x14ac:dyDescent="0.2">
      <c r="B914" s="49" t="s">
        <v>91</v>
      </c>
      <c r="C914" s="49" t="s">
        <v>60</v>
      </c>
      <c r="D914" s="49">
        <v>0</v>
      </c>
      <c r="E914" s="49">
        <v>0</v>
      </c>
      <c r="F914" s="49">
        <f>E914-D914</f>
        <v>0</v>
      </c>
      <c r="G914" s="50">
        <f>IF(D914=0,0,ABS(F914/D914))</f>
        <v>0</v>
      </c>
      <c r="H914" s="49">
        <v>0</v>
      </c>
      <c r="I914" s="49">
        <v>0</v>
      </c>
      <c r="J914" s="51" t="str">
        <f>IF(H914=0,"No plan at start",I914/H914)</f>
        <v>No plan at start</v>
      </c>
      <c r="K914" s="52">
        <f>H914-I914</f>
        <v>0</v>
      </c>
      <c r="L914" s="49">
        <v>0</v>
      </c>
      <c r="M914" s="49">
        <f>I914+L914</f>
        <v>0</v>
      </c>
      <c r="N914" s="49">
        <f>M914-H914</f>
        <v>0</v>
      </c>
      <c r="O914" s="50" t="str">
        <f>IF(H914=0,"No plan at start",M914/H914)</f>
        <v>No plan at start</v>
      </c>
    </row>
    <row r="915" spans="2:15" hidden="1" outlineLevel="2" x14ac:dyDescent="0.2">
      <c r="B915" s="49" t="s">
        <v>91</v>
      </c>
      <c r="C915" s="49" t="s">
        <v>61</v>
      </c>
      <c r="D915" s="49">
        <v>0</v>
      </c>
      <c r="E915" s="49">
        <v>0</v>
      </c>
      <c r="F915" s="49">
        <f>E915-D915</f>
        <v>0</v>
      </c>
      <c r="G915" s="50">
        <f>IF(D915=0,0,ABS(F915/D915))</f>
        <v>0</v>
      </c>
      <c r="H915" s="49">
        <v>0</v>
      </c>
      <c r="I915" s="49">
        <v>0</v>
      </c>
      <c r="J915" s="51" t="str">
        <f>IF(H915=0,"No plan at start",I915/H915)</f>
        <v>No plan at start</v>
      </c>
      <c r="K915" s="52">
        <f>H915-I915</f>
        <v>0</v>
      </c>
      <c r="L915" s="49">
        <v>0</v>
      </c>
      <c r="M915" s="49">
        <f>I915+L915</f>
        <v>0</v>
      </c>
      <c r="N915" s="49">
        <f>M915-H915</f>
        <v>0</v>
      </c>
      <c r="O915" s="50" t="str">
        <f>IF(H915=0,"No plan at start",M915/H915)</f>
        <v>No plan at start</v>
      </c>
    </row>
    <row r="916" spans="2:15" hidden="1" outlineLevel="2" x14ac:dyDescent="0.2">
      <c r="B916" s="49" t="s">
        <v>91</v>
      </c>
      <c r="C916" s="49" t="s">
        <v>62</v>
      </c>
      <c r="D916" s="49">
        <v>0</v>
      </c>
      <c r="E916" s="49">
        <v>0</v>
      </c>
      <c r="F916" s="49">
        <f>E916-D916</f>
        <v>0</v>
      </c>
      <c r="G916" s="50">
        <f>IF(D916=0,0,ABS(F916/D916))</f>
        <v>0</v>
      </c>
      <c r="H916" s="49">
        <v>0</v>
      </c>
      <c r="I916" s="49">
        <v>0</v>
      </c>
      <c r="J916" s="51" t="str">
        <f>IF(H916=0,"No plan at start",I916/H916)</f>
        <v>No plan at start</v>
      </c>
      <c r="K916" s="52">
        <f>H916-I916</f>
        <v>0</v>
      </c>
      <c r="L916" s="49">
        <v>0</v>
      </c>
      <c r="M916" s="49">
        <f>I916+L916</f>
        <v>0</v>
      </c>
      <c r="N916" s="49">
        <f>M916-H916</f>
        <v>0</v>
      </c>
      <c r="O916" s="50" t="str">
        <f>IF(H916=0,"No plan at start",M916/H916)</f>
        <v>No plan at start</v>
      </c>
    </row>
    <row r="917" spans="2:15" outlineLevel="1" collapsed="1" x14ac:dyDescent="0.2">
      <c r="B917" s="56" t="s">
        <v>130</v>
      </c>
      <c r="C917" s="49"/>
      <c r="D917" s="49">
        <f>SUBTOTAL(9,D905:D916)</f>
        <v>0</v>
      </c>
      <c r="E917" s="49">
        <f>SUBTOTAL(9,E905:E916)</f>
        <v>0</v>
      </c>
      <c r="F917" s="49">
        <f>SUBTOTAL(9,F905:F916)</f>
        <v>0</v>
      </c>
      <c r="G917" s="50">
        <f>IF(D917=0,0,ABS(F917/D917))</f>
        <v>0</v>
      </c>
      <c r="H917" s="49">
        <f>SUBTOTAL(9,H905:H916)</f>
        <v>0</v>
      </c>
      <c r="I917" s="49">
        <f>SUBTOTAL(9,I905:I916)</f>
        <v>0</v>
      </c>
      <c r="J917" s="51" t="str">
        <f>IF(H917=0,"No plan at start",I917/H917)</f>
        <v>No plan at start</v>
      </c>
      <c r="K917" s="52">
        <f>SUBTOTAL(9,K905:K916)</f>
        <v>0</v>
      </c>
      <c r="L917" s="49">
        <f>SUBTOTAL(9,L905:L916)</f>
        <v>0</v>
      </c>
      <c r="M917" s="49">
        <f>SUBTOTAL(9,M905:M916)</f>
        <v>0</v>
      </c>
      <c r="N917" s="49">
        <f>SUBTOTAL(9,N905:N916)</f>
        <v>0</v>
      </c>
      <c r="O917" s="50" t="str">
        <f>IF(H917=0,"No plan at start",M917/H917)</f>
        <v>No plan at start</v>
      </c>
    </row>
    <row r="918" spans="2:15" hidden="1" outlineLevel="2" x14ac:dyDescent="0.2">
      <c r="B918" s="49" t="s">
        <v>92</v>
      </c>
      <c r="C918" s="49" t="s">
        <v>52</v>
      </c>
      <c r="D918" s="49">
        <v>0</v>
      </c>
      <c r="E918" s="49">
        <v>0</v>
      </c>
      <c r="F918" s="49">
        <f>E918-D918</f>
        <v>0</v>
      </c>
      <c r="G918" s="50">
        <f>IF(D918=0,0,ABS(F918/D918))</f>
        <v>0</v>
      </c>
      <c r="H918" s="49">
        <v>0</v>
      </c>
      <c r="I918" s="49">
        <v>0</v>
      </c>
      <c r="J918" s="51" t="str">
        <f>IF(H918=0,"No plan at start",I918/H918)</f>
        <v>No plan at start</v>
      </c>
      <c r="K918" s="52">
        <f>H918-I918</f>
        <v>0</v>
      </c>
      <c r="L918" s="49">
        <v>0</v>
      </c>
      <c r="M918" s="49">
        <f>I918+L918</f>
        <v>0</v>
      </c>
      <c r="N918" s="49">
        <f>M918-H918</f>
        <v>0</v>
      </c>
      <c r="O918" s="50" t="str">
        <f>IF(H918=0,"No plan at start",M918/H918)</f>
        <v>No plan at start</v>
      </c>
    </row>
    <row r="919" spans="2:15" hidden="1" outlineLevel="2" x14ac:dyDescent="0.2">
      <c r="B919" s="49" t="s">
        <v>92</v>
      </c>
      <c r="C919" s="49" t="s">
        <v>53</v>
      </c>
      <c r="D919" s="49">
        <v>0</v>
      </c>
      <c r="E919" s="49">
        <v>0</v>
      </c>
      <c r="F919" s="49">
        <f>E919-D919</f>
        <v>0</v>
      </c>
      <c r="G919" s="50">
        <f>IF(D919=0,0,ABS(F919/D919))</f>
        <v>0</v>
      </c>
      <c r="H919" s="49">
        <v>0</v>
      </c>
      <c r="I919" s="49">
        <v>0</v>
      </c>
      <c r="J919" s="51" t="str">
        <f>IF(H919=0,"No plan at start",I919/H919)</f>
        <v>No plan at start</v>
      </c>
      <c r="K919" s="52">
        <f>H919-I919</f>
        <v>0</v>
      </c>
      <c r="L919" s="49">
        <v>0</v>
      </c>
      <c r="M919" s="49">
        <f>I919+L919</f>
        <v>0</v>
      </c>
      <c r="N919" s="49">
        <f>M919-H919</f>
        <v>0</v>
      </c>
      <c r="O919" s="50" t="str">
        <f>IF(H919=0,"No plan at start",M919/H919)</f>
        <v>No plan at start</v>
      </c>
    </row>
    <row r="920" spans="2:15" hidden="1" outlineLevel="2" x14ac:dyDescent="0.2">
      <c r="B920" s="49" t="s">
        <v>92</v>
      </c>
      <c r="C920" s="49" t="s">
        <v>54</v>
      </c>
      <c r="D920" s="49">
        <v>0</v>
      </c>
      <c r="E920" s="49">
        <v>0</v>
      </c>
      <c r="F920" s="49">
        <f>E920-D920</f>
        <v>0</v>
      </c>
      <c r="G920" s="50">
        <f>IF(D920=0,0,ABS(F920/D920))</f>
        <v>0</v>
      </c>
      <c r="H920" s="49">
        <v>0</v>
      </c>
      <c r="I920" s="49">
        <v>0</v>
      </c>
      <c r="J920" s="51" t="str">
        <f>IF(H920=0,"No plan at start",I920/H920)</f>
        <v>No plan at start</v>
      </c>
      <c r="K920" s="52">
        <f>H920-I920</f>
        <v>0</v>
      </c>
      <c r="L920" s="49">
        <v>0</v>
      </c>
      <c r="M920" s="49">
        <f>I920+L920</f>
        <v>0</v>
      </c>
      <c r="N920" s="49">
        <f>M920-H920</f>
        <v>0</v>
      </c>
      <c r="O920" s="50" t="str">
        <f>IF(H920=0,"No plan at start",M920/H920)</f>
        <v>No plan at start</v>
      </c>
    </row>
    <row r="921" spans="2:15" hidden="1" outlineLevel="2" x14ac:dyDescent="0.2">
      <c r="B921" s="49" t="s">
        <v>92</v>
      </c>
      <c r="C921" s="49" t="s">
        <v>55</v>
      </c>
      <c r="D921" s="49">
        <v>0</v>
      </c>
      <c r="E921" s="49">
        <v>0</v>
      </c>
      <c r="F921" s="49">
        <f>E921-D921</f>
        <v>0</v>
      </c>
      <c r="G921" s="50">
        <f>IF(D921=0,0,ABS(F921/D921))</f>
        <v>0</v>
      </c>
      <c r="H921" s="49">
        <v>0</v>
      </c>
      <c r="I921" s="49">
        <v>0</v>
      </c>
      <c r="J921" s="51" t="str">
        <f>IF(H921=0,"No plan at start",I921/H921)</f>
        <v>No plan at start</v>
      </c>
      <c r="K921" s="52">
        <f>H921-I921</f>
        <v>0</v>
      </c>
      <c r="L921" s="49">
        <v>0</v>
      </c>
      <c r="M921" s="49">
        <f>I921+L921</f>
        <v>0</v>
      </c>
      <c r="N921" s="49">
        <f>M921-H921</f>
        <v>0</v>
      </c>
      <c r="O921" s="50" t="str">
        <f>IF(H921=0,"No plan at start",M921/H921)</f>
        <v>No plan at start</v>
      </c>
    </row>
    <row r="922" spans="2:15" hidden="1" outlineLevel="2" x14ac:dyDescent="0.2">
      <c r="B922" s="49" t="s">
        <v>92</v>
      </c>
      <c r="C922" s="49" t="s">
        <v>56</v>
      </c>
      <c r="D922" s="49">
        <v>0</v>
      </c>
      <c r="E922" s="49">
        <v>0</v>
      </c>
      <c r="F922" s="49">
        <f>E922-D922</f>
        <v>0</v>
      </c>
      <c r="G922" s="50">
        <f>IF(D922=0,0,ABS(F922/D922))</f>
        <v>0</v>
      </c>
      <c r="H922" s="49">
        <v>0</v>
      </c>
      <c r="I922" s="49">
        <v>0</v>
      </c>
      <c r="J922" s="51" t="str">
        <f>IF(H922=0,"No plan at start",I922/H922)</f>
        <v>No plan at start</v>
      </c>
      <c r="K922" s="52">
        <f>H922-I922</f>
        <v>0</v>
      </c>
      <c r="L922" s="49">
        <v>0</v>
      </c>
      <c r="M922" s="49">
        <f>I922+L922</f>
        <v>0</v>
      </c>
      <c r="N922" s="49">
        <f>M922-H922</f>
        <v>0</v>
      </c>
      <c r="O922" s="50" t="str">
        <f>IF(H922=0,"No plan at start",M922/H922)</f>
        <v>No plan at start</v>
      </c>
    </row>
    <row r="923" spans="2:15" hidden="1" outlineLevel="2" x14ac:dyDescent="0.2">
      <c r="B923" s="49" t="s">
        <v>92</v>
      </c>
      <c r="C923" s="49" t="s">
        <v>57</v>
      </c>
      <c r="D923" s="49">
        <v>0</v>
      </c>
      <c r="E923" s="49">
        <v>0</v>
      </c>
      <c r="F923" s="49">
        <f>E923-D923</f>
        <v>0</v>
      </c>
      <c r="G923" s="50">
        <f>IF(D923=0,0,ABS(F923/D923))</f>
        <v>0</v>
      </c>
      <c r="H923" s="49">
        <v>0</v>
      </c>
      <c r="I923" s="49">
        <v>0</v>
      </c>
      <c r="J923" s="51" t="str">
        <f>IF(H923=0,"No plan at start",I923/H923)</f>
        <v>No plan at start</v>
      </c>
      <c r="K923" s="52">
        <f>H923-I923</f>
        <v>0</v>
      </c>
      <c r="L923" s="49">
        <v>0</v>
      </c>
      <c r="M923" s="49">
        <f>I923+L923</f>
        <v>0</v>
      </c>
      <c r="N923" s="49">
        <f>M923-H923</f>
        <v>0</v>
      </c>
      <c r="O923" s="50" t="str">
        <f>IF(H923=0,"No plan at start",M923/H923)</f>
        <v>No plan at start</v>
      </c>
    </row>
    <row r="924" spans="2:15" hidden="1" outlineLevel="2" x14ac:dyDescent="0.2">
      <c r="B924" s="49" t="s">
        <v>92</v>
      </c>
      <c r="C924" s="49" t="s">
        <v>48</v>
      </c>
      <c r="D924" s="49">
        <v>0</v>
      </c>
      <c r="E924" s="49">
        <v>0</v>
      </c>
      <c r="F924" s="49">
        <f>E924-D924</f>
        <v>0</v>
      </c>
      <c r="G924" s="50">
        <f>IF(D924=0,0,ABS(F924/D924))</f>
        <v>0</v>
      </c>
      <c r="H924" s="49">
        <v>0</v>
      </c>
      <c r="I924" s="49">
        <v>0</v>
      </c>
      <c r="J924" s="51" t="str">
        <f>IF(H924=0,"No plan at start",I924/H924)</f>
        <v>No plan at start</v>
      </c>
      <c r="K924" s="52">
        <f>H924-I924</f>
        <v>0</v>
      </c>
      <c r="L924" s="49">
        <v>0</v>
      </c>
      <c r="M924" s="49">
        <f>I924+L924</f>
        <v>0</v>
      </c>
      <c r="N924" s="49">
        <f>M924-H924</f>
        <v>0</v>
      </c>
      <c r="O924" s="50" t="str">
        <f>IF(H924=0,"No plan at start",M924/H924)</f>
        <v>No plan at start</v>
      </c>
    </row>
    <row r="925" spans="2:15" hidden="1" outlineLevel="2" x14ac:dyDescent="0.2">
      <c r="B925" s="49" t="s">
        <v>92</v>
      </c>
      <c r="C925" s="49" t="s">
        <v>58</v>
      </c>
      <c r="D925" s="49">
        <v>0</v>
      </c>
      <c r="E925" s="49">
        <v>0</v>
      </c>
      <c r="F925" s="49">
        <f>E925-D925</f>
        <v>0</v>
      </c>
      <c r="G925" s="50">
        <f>IF(D925=0,0,ABS(F925/D925))</f>
        <v>0</v>
      </c>
      <c r="H925" s="49">
        <v>0</v>
      </c>
      <c r="I925" s="49">
        <v>0</v>
      </c>
      <c r="J925" s="51" t="str">
        <f>IF(H925=0,"No plan at start",I925/H925)</f>
        <v>No plan at start</v>
      </c>
      <c r="K925" s="52">
        <f>H925-I925</f>
        <v>0</v>
      </c>
      <c r="L925" s="49">
        <v>0</v>
      </c>
      <c r="M925" s="49">
        <f>I925+L925</f>
        <v>0</v>
      </c>
      <c r="N925" s="49">
        <f>M925-H925</f>
        <v>0</v>
      </c>
      <c r="O925" s="50" t="str">
        <f>IF(H925=0,"No plan at start",M925/H925)</f>
        <v>No plan at start</v>
      </c>
    </row>
    <row r="926" spans="2:15" hidden="1" outlineLevel="2" x14ac:dyDescent="0.2">
      <c r="B926" s="49" t="s">
        <v>92</v>
      </c>
      <c r="C926" s="49" t="s">
        <v>59</v>
      </c>
      <c r="D926" s="49">
        <v>0</v>
      </c>
      <c r="E926" s="49">
        <v>0</v>
      </c>
      <c r="F926" s="49">
        <f>E926-D926</f>
        <v>0</v>
      </c>
      <c r="G926" s="50">
        <f>IF(D926=0,0,ABS(F926/D926))</f>
        <v>0</v>
      </c>
      <c r="H926" s="49">
        <v>0</v>
      </c>
      <c r="I926" s="49">
        <v>0</v>
      </c>
      <c r="J926" s="51" t="str">
        <f>IF(H926=0,"No plan at start",I926/H926)</f>
        <v>No plan at start</v>
      </c>
      <c r="K926" s="52">
        <f>H926-I926</f>
        <v>0</v>
      </c>
      <c r="L926" s="49">
        <v>0</v>
      </c>
      <c r="M926" s="49">
        <f>I926+L926</f>
        <v>0</v>
      </c>
      <c r="N926" s="49">
        <f>M926-H926</f>
        <v>0</v>
      </c>
      <c r="O926" s="50" t="str">
        <f>IF(H926=0,"No plan at start",M926/H926)</f>
        <v>No plan at start</v>
      </c>
    </row>
    <row r="927" spans="2:15" hidden="1" outlineLevel="2" x14ac:dyDescent="0.2">
      <c r="B927" s="49" t="s">
        <v>92</v>
      </c>
      <c r="C927" s="49" t="s">
        <v>60</v>
      </c>
      <c r="D927" s="49">
        <v>0</v>
      </c>
      <c r="E927" s="49">
        <v>0</v>
      </c>
      <c r="F927" s="49">
        <f>E927-D927</f>
        <v>0</v>
      </c>
      <c r="G927" s="50">
        <f>IF(D927=0,0,ABS(F927/D927))</f>
        <v>0</v>
      </c>
      <c r="H927" s="49">
        <v>0</v>
      </c>
      <c r="I927" s="49">
        <v>0</v>
      </c>
      <c r="J927" s="51" t="str">
        <f>IF(H927=0,"No plan at start",I927/H927)</f>
        <v>No plan at start</v>
      </c>
      <c r="K927" s="52">
        <f>H927-I927</f>
        <v>0</v>
      </c>
      <c r="L927" s="49">
        <v>0</v>
      </c>
      <c r="M927" s="49">
        <f>I927+L927</f>
        <v>0</v>
      </c>
      <c r="N927" s="49">
        <f>M927-H927</f>
        <v>0</v>
      </c>
      <c r="O927" s="50" t="str">
        <f>IF(H927=0,"No plan at start",M927/H927)</f>
        <v>No plan at start</v>
      </c>
    </row>
    <row r="928" spans="2:15" hidden="1" outlineLevel="2" x14ac:dyDescent="0.2">
      <c r="B928" s="49" t="s">
        <v>92</v>
      </c>
      <c r="C928" s="49" t="s">
        <v>61</v>
      </c>
      <c r="D928" s="49">
        <v>0</v>
      </c>
      <c r="E928" s="49">
        <v>0</v>
      </c>
      <c r="F928" s="49">
        <f>E928-D928</f>
        <v>0</v>
      </c>
      <c r="G928" s="50">
        <f>IF(D928=0,0,ABS(F928/D928))</f>
        <v>0</v>
      </c>
      <c r="H928" s="49">
        <v>0</v>
      </c>
      <c r="I928" s="49">
        <v>0</v>
      </c>
      <c r="J928" s="51" t="str">
        <f>IF(H928=0,"No plan at start",I928/H928)</f>
        <v>No plan at start</v>
      </c>
      <c r="K928" s="52">
        <f>H928-I928</f>
        <v>0</v>
      </c>
      <c r="L928" s="49">
        <v>0</v>
      </c>
      <c r="M928" s="49">
        <f>I928+L928</f>
        <v>0</v>
      </c>
      <c r="N928" s="49">
        <f>M928-H928</f>
        <v>0</v>
      </c>
      <c r="O928" s="50" t="str">
        <f>IF(H928=0,"No plan at start",M928/H928)</f>
        <v>No plan at start</v>
      </c>
    </row>
    <row r="929" spans="2:15" hidden="1" outlineLevel="2" x14ac:dyDescent="0.2">
      <c r="B929" s="49" t="s">
        <v>92</v>
      </c>
      <c r="C929" s="49" t="s">
        <v>62</v>
      </c>
      <c r="D929" s="49">
        <v>0</v>
      </c>
      <c r="E929" s="49">
        <v>0</v>
      </c>
      <c r="F929" s="49">
        <f>E929-D929</f>
        <v>0</v>
      </c>
      <c r="G929" s="50">
        <f>IF(D929=0,0,ABS(F929/D929))</f>
        <v>0</v>
      </c>
      <c r="H929" s="49">
        <v>0</v>
      </c>
      <c r="I929" s="49">
        <v>0</v>
      </c>
      <c r="J929" s="51" t="str">
        <f>IF(H929=0,"No plan at start",I929/H929)</f>
        <v>No plan at start</v>
      </c>
      <c r="K929" s="52">
        <f>H929-I929</f>
        <v>0</v>
      </c>
      <c r="L929" s="49">
        <v>0</v>
      </c>
      <c r="M929" s="49">
        <f>I929+L929</f>
        <v>0</v>
      </c>
      <c r="N929" s="49">
        <f>M929-H929</f>
        <v>0</v>
      </c>
      <c r="O929" s="50" t="str">
        <f>IF(H929=0,"No plan at start",M929/H929)</f>
        <v>No plan at start</v>
      </c>
    </row>
    <row r="930" spans="2:15" outlineLevel="1" collapsed="1" x14ac:dyDescent="0.2">
      <c r="B930" s="56" t="s">
        <v>131</v>
      </c>
      <c r="C930" s="49"/>
      <c r="D930" s="49">
        <f>SUBTOTAL(9,D918:D929)</f>
        <v>0</v>
      </c>
      <c r="E930" s="49">
        <f>SUBTOTAL(9,E918:E929)</f>
        <v>0</v>
      </c>
      <c r="F930" s="49">
        <f>SUBTOTAL(9,F918:F929)</f>
        <v>0</v>
      </c>
      <c r="G930" s="50">
        <f>IF(D930=0,0,ABS(F930/D930))</f>
        <v>0</v>
      </c>
      <c r="H930" s="49">
        <f>SUBTOTAL(9,H918:H929)</f>
        <v>0</v>
      </c>
      <c r="I930" s="49">
        <f>SUBTOTAL(9,I918:I929)</f>
        <v>0</v>
      </c>
      <c r="J930" s="51" t="str">
        <f>IF(H930=0,"No plan at start",I930/H930)</f>
        <v>No plan at start</v>
      </c>
      <c r="K930" s="52">
        <f>SUBTOTAL(9,K918:K929)</f>
        <v>0</v>
      </c>
      <c r="L930" s="49">
        <f>SUBTOTAL(9,L918:L929)</f>
        <v>0</v>
      </c>
      <c r="M930" s="49">
        <f>SUBTOTAL(9,M918:M929)</f>
        <v>0</v>
      </c>
      <c r="N930" s="49">
        <f>SUBTOTAL(9,N918:N929)</f>
        <v>0</v>
      </c>
      <c r="O930" s="50" t="str">
        <f>IF(H930=0,"No plan at start",M930/H930)</f>
        <v>No plan at start</v>
      </c>
    </row>
    <row r="931" spans="2:15" hidden="1" outlineLevel="2" x14ac:dyDescent="0.2">
      <c r="B931" s="49" t="s">
        <v>93</v>
      </c>
      <c r="C931" s="49" t="s">
        <v>52</v>
      </c>
      <c r="D931" s="49">
        <v>0</v>
      </c>
      <c r="E931" s="49">
        <v>0</v>
      </c>
      <c r="F931" s="49">
        <f>E931-D931</f>
        <v>0</v>
      </c>
      <c r="G931" s="50">
        <f>IF(D931=0,0,ABS(F931/D931))</f>
        <v>0</v>
      </c>
      <c r="H931" s="49">
        <v>0</v>
      </c>
      <c r="I931" s="49">
        <v>0</v>
      </c>
      <c r="J931" s="51" t="str">
        <f>IF(H931=0,"No plan at start",I931/H931)</f>
        <v>No plan at start</v>
      </c>
      <c r="K931" s="52">
        <f>H931-I931</f>
        <v>0</v>
      </c>
      <c r="L931" s="49">
        <v>0</v>
      </c>
      <c r="M931" s="49">
        <f>I931+L931</f>
        <v>0</v>
      </c>
      <c r="N931" s="49">
        <f>M931-H931</f>
        <v>0</v>
      </c>
      <c r="O931" s="50" t="str">
        <f>IF(H931=0,"No plan at start",M931/H931)</f>
        <v>No plan at start</v>
      </c>
    </row>
    <row r="932" spans="2:15" hidden="1" outlineLevel="2" x14ac:dyDescent="0.2">
      <c r="B932" s="49" t="s">
        <v>93</v>
      </c>
      <c r="C932" s="49" t="s">
        <v>53</v>
      </c>
      <c r="D932" s="49">
        <v>0</v>
      </c>
      <c r="E932" s="49">
        <v>0</v>
      </c>
      <c r="F932" s="49">
        <f>E932-D932</f>
        <v>0</v>
      </c>
      <c r="G932" s="50">
        <f>IF(D932=0,0,ABS(F932/D932))</f>
        <v>0</v>
      </c>
      <c r="H932" s="49">
        <v>0</v>
      </c>
      <c r="I932" s="49">
        <v>0</v>
      </c>
      <c r="J932" s="51" t="str">
        <f>IF(H932=0,"No plan at start",I932/H932)</f>
        <v>No plan at start</v>
      </c>
      <c r="K932" s="52">
        <f>H932-I932</f>
        <v>0</v>
      </c>
      <c r="L932" s="49">
        <v>0</v>
      </c>
      <c r="M932" s="49">
        <f>I932+L932</f>
        <v>0</v>
      </c>
      <c r="N932" s="49">
        <f>M932-H932</f>
        <v>0</v>
      </c>
      <c r="O932" s="50" t="str">
        <f>IF(H932=0,"No plan at start",M932/H932)</f>
        <v>No plan at start</v>
      </c>
    </row>
    <row r="933" spans="2:15" hidden="1" outlineLevel="2" x14ac:dyDescent="0.2">
      <c r="B933" s="49" t="s">
        <v>93</v>
      </c>
      <c r="C933" s="49" t="s">
        <v>54</v>
      </c>
      <c r="D933" s="49">
        <v>0</v>
      </c>
      <c r="E933" s="49">
        <v>0</v>
      </c>
      <c r="F933" s="49">
        <f>E933-D933</f>
        <v>0</v>
      </c>
      <c r="G933" s="50">
        <f>IF(D933=0,0,ABS(F933/D933))</f>
        <v>0</v>
      </c>
      <c r="H933" s="49">
        <v>0</v>
      </c>
      <c r="I933" s="49">
        <v>0</v>
      </c>
      <c r="J933" s="51" t="str">
        <f>IF(H933=0,"No plan at start",I933/H933)</f>
        <v>No plan at start</v>
      </c>
      <c r="K933" s="52">
        <f>H933-I933</f>
        <v>0</v>
      </c>
      <c r="L933" s="49">
        <v>0</v>
      </c>
      <c r="M933" s="49">
        <f>I933+L933</f>
        <v>0</v>
      </c>
      <c r="N933" s="49">
        <f>M933-H933</f>
        <v>0</v>
      </c>
      <c r="O933" s="50" t="str">
        <f>IF(H933=0,"No plan at start",M933/H933)</f>
        <v>No plan at start</v>
      </c>
    </row>
    <row r="934" spans="2:15" hidden="1" outlineLevel="2" x14ac:dyDescent="0.2">
      <c r="B934" s="49" t="s">
        <v>93</v>
      </c>
      <c r="C934" s="49" t="s">
        <v>55</v>
      </c>
      <c r="D934" s="49">
        <v>0</v>
      </c>
      <c r="E934" s="49">
        <v>0</v>
      </c>
      <c r="F934" s="49">
        <f>E934-D934</f>
        <v>0</v>
      </c>
      <c r="G934" s="50">
        <f>IF(D934=0,0,ABS(F934/D934))</f>
        <v>0</v>
      </c>
      <c r="H934" s="49">
        <v>0</v>
      </c>
      <c r="I934" s="49">
        <v>9919</v>
      </c>
      <c r="J934" s="51" t="str">
        <f>IF(H934=0,"No plan at start",I934/H934)</f>
        <v>No plan at start</v>
      </c>
      <c r="K934" s="52">
        <f>H934-I934</f>
        <v>-9919</v>
      </c>
      <c r="L934" s="49">
        <v>14471.86</v>
      </c>
      <c r="M934" s="49">
        <f>I934+L934</f>
        <v>24390.86</v>
      </c>
      <c r="N934" s="49">
        <f>M934-H934</f>
        <v>24390.86</v>
      </c>
      <c r="O934" s="50" t="str">
        <f>IF(H934=0,"No plan at start",M934/H934)</f>
        <v>No plan at start</v>
      </c>
    </row>
    <row r="935" spans="2:15" hidden="1" outlineLevel="2" x14ac:dyDescent="0.2">
      <c r="B935" s="49" t="s">
        <v>93</v>
      </c>
      <c r="C935" s="49" t="s">
        <v>56</v>
      </c>
      <c r="D935" s="49">
        <v>0</v>
      </c>
      <c r="E935" s="49">
        <v>0</v>
      </c>
      <c r="F935" s="49">
        <f>E935-D935</f>
        <v>0</v>
      </c>
      <c r="G935" s="50">
        <f>IF(D935=0,0,ABS(F935/D935))</f>
        <v>0</v>
      </c>
      <c r="H935" s="49">
        <v>0</v>
      </c>
      <c r="I935" s="49">
        <v>7937.8000000000011</v>
      </c>
      <c r="J935" s="51" t="str">
        <f>IF(H935=0,"No plan at start",I935/H935)</f>
        <v>No plan at start</v>
      </c>
      <c r="K935" s="52">
        <f>H935-I935</f>
        <v>-7937.8000000000011</v>
      </c>
      <c r="L935" s="49">
        <v>0</v>
      </c>
      <c r="M935" s="49">
        <f>I935+L935</f>
        <v>7937.8000000000011</v>
      </c>
      <c r="N935" s="49">
        <f>M935-H935</f>
        <v>7937.8000000000011</v>
      </c>
      <c r="O935" s="50" t="str">
        <f>IF(H935=0,"No plan at start",M935/H935)</f>
        <v>No plan at start</v>
      </c>
    </row>
    <row r="936" spans="2:15" hidden="1" outlineLevel="2" x14ac:dyDescent="0.2">
      <c r="B936" s="49" t="s">
        <v>93</v>
      </c>
      <c r="C936" s="49" t="s">
        <v>57</v>
      </c>
      <c r="D936" s="49">
        <v>0</v>
      </c>
      <c r="E936" s="49">
        <v>0</v>
      </c>
      <c r="F936" s="49">
        <f>E936-D936</f>
        <v>0</v>
      </c>
      <c r="G936" s="50">
        <f>IF(D936=0,0,ABS(F936/D936))</f>
        <v>0</v>
      </c>
      <c r="H936" s="49">
        <v>0</v>
      </c>
      <c r="I936" s="49">
        <v>0</v>
      </c>
      <c r="J936" s="51" t="str">
        <f>IF(H936=0,"No plan at start",I936/H936)</f>
        <v>No plan at start</v>
      </c>
      <c r="K936" s="52">
        <f>H936-I936</f>
        <v>0</v>
      </c>
      <c r="L936" s="49">
        <v>0</v>
      </c>
      <c r="M936" s="49">
        <f>I936+L936</f>
        <v>0</v>
      </c>
      <c r="N936" s="49">
        <f>M936-H936</f>
        <v>0</v>
      </c>
      <c r="O936" s="50" t="str">
        <f>IF(H936=0,"No plan at start",M936/H936)</f>
        <v>No plan at start</v>
      </c>
    </row>
    <row r="937" spans="2:15" hidden="1" outlineLevel="2" x14ac:dyDescent="0.2">
      <c r="B937" s="49" t="s">
        <v>93</v>
      </c>
      <c r="C937" s="49" t="s">
        <v>48</v>
      </c>
      <c r="D937" s="49">
        <v>0</v>
      </c>
      <c r="E937" s="49">
        <v>0</v>
      </c>
      <c r="F937" s="49">
        <f>E937-D937</f>
        <v>0</v>
      </c>
      <c r="G937" s="50">
        <f>IF(D937=0,0,ABS(F937/D937))</f>
        <v>0</v>
      </c>
      <c r="H937" s="49">
        <v>0</v>
      </c>
      <c r="I937" s="49">
        <v>0</v>
      </c>
      <c r="J937" s="51" t="str">
        <f>IF(H937=0,"No plan at start",I937/H937)</f>
        <v>No plan at start</v>
      </c>
      <c r="K937" s="52">
        <f>H937-I937</f>
        <v>0</v>
      </c>
      <c r="L937" s="49">
        <v>0</v>
      </c>
      <c r="M937" s="49">
        <f>I937+L937</f>
        <v>0</v>
      </c>
      <c r="N937" s="49">
        <f>M937-H937</f>
        <v>0</v>
      </c>
      <c r="O937" s="50" t="str">
        <f>IF(H937=0,"No plan at start",M937/H937)</f>
        <v>No plan at start</v>
      </c>
    </row>
    <row r="938" spans="2:15" hidden="1" outlineLevel="2" x14ac:dyDescent="0.2">
      <c r="B938" s="49" t="s">
        <v>93</v>
      </c>
      <c r="C938" s="49" t="s">
        <v>58</v>
      </c>
      <c r="D938" s="49">
        <v>0</v>
      </c>
      <c r="E938" s="49">
        <v>0</v>
      </c>
      <c r="F938" s="49">
        <f>E938-D938</f>
        <v>0</v>
      </c>
      <c r="G938" s="50">
        <f>IF(D938=0,0,ABS(F938/D938))</f>
        <v>0</v>
      </c>
      <c r="H938" s="49">
        <v>0</v>
      </c>
      <c r="I938" s="49">
        <v>0</v>
      </c>
      <c r="J938" s="51" t="str">
        <f>IF(H938=0,"No plan at start",I938/H938)</f>
        <v>No plan at start</v>
      </c>
      <c r="K938" s="52">
        <f>H938-I938</f>
        <v>0</v>
      </c>
      <c r="L938" s="49">
        <v>0</v>
      </c>
      <c r="M938" s="49">
        <f>I938+L938</f>
        <v>0</v>
      </c>
      <c r="N938" s="49">
        <f>M938-H938</f>
        <v>0</v>
      </c>
      <c r="O938" s="50" t="str">
        <f>IF(H938=0,"No plan at start",M938/H938)</f>
        <v>No plan at start</v>
      </c>
    </row>
    <row r="939" spans="2:15" hidden="1" outlineLevel="2" x14ac:dyDescent="0.2">
      <c r="B939" s="49" t="s">
        <v>93</v>
      </c>
      <c r="C939" s="49" t="s">
        <v>59</v>
      </c>
      <c r="D939" s="49">
        <v>0</v>
      </c>
      <c r="E939" s="49">
        <v>0</v>
      </c>
      <c r="F939" s="49">
        <f>E939-D939</f>
        <v>0</v>
      </c>
      <c r="G939" s="50">
        <f>IF(D939=0,0,ABS(F939/D939))</f>
        <v>0</v>
      </c>
      <c r="H939" s="49">
        <v>0</v>
      </c>
      <c r="I939" s="49">
        <v>0</v>
      </c>
      <c r="J939" s="51" t="str">
        <f>IF(H939=0,"No plan at start",I939/H939)</f>
        <v>No plan at start</v>
      </c>
      <c r="K939" s="52">
        <f>H939-I939</f>
        <v>0</v>
      </c>
      <c r="L939" s="49">
        <v>0</v>
      </c>
      <c r="M939" s="49">
        <f>I939+L939</f>
        <v>0</v>
      </c>
      <c r="N939" s="49">
        <f>M939-H939</f>
        <v>0</v>
      </c>
      <c r="O939" s="50" t="str">
        <f>IF(H939=0,"No plan at start",M939/H939)</f>
        <v>No plan at start</v>
      </c>
    </row>
    <row r="940" spans="2:15" hidden="1" outlineLevel="2" x14ac:dyDescent="0.2">
      <c r="B940" s="49" t="s">
        <v>93</v>
      </c>
      <c r="C940" s="49" t="s">
        <v>60</v>
      </c>
      <c r="D940" s="49">
        <v>0</v>
      </c>
      <c r="E940" s="49">
        <v>0</v>
      </c>
      <c r="F940" s="49">
        <f>E940-D940</f>
        <v>0</v>
      </c>
      <c r="G940" s="50">
        <f>IF(D940=0,0,ABS(F940/D940))</f>
        <v>0</v>
      </c>
      <c r="H940" s="49">
        <v>0</v>
      </c>
      <c r="I940" s="49">
        <v>0</v>
      </c>
      <c r="J940" s="51" t="str">
        <f>IF(H940=0,"No plan at start",I940/H940)</f>
        <v>No plan at start</v>
      </c>
      <c r="K940" s="52">
        <f>H940-I940</f>
        <v>0</v>
      </c>
      <c r="L940" s="49">
        <v>0</v>
      </c>
      <c r="M940" s="49">
        <f>I940+L940</f>
        <v>0</v>
      </c>
      <c r="N940" s="49">
        <f>M940-H940</f>
        <v>0</v>
      </c>
      <c r="O940" s="50" t="str">
        <f>IF(H940=0,"No plan at start",M940/H940)</f>
        <v>No plan at start</v>
      </c>
    </row>
    <row r="941" spans="2:15" hidden="1" outlineLevel="2" x14ac:dyDescent="0.2">
      <c r="B941" s="49" t="s">
        <v>93</v>
      </c>
      <c r="C941" s="49" t="s">
        <v>61</v>
      </c>
      <c r="D941" s="49">
        <v>0</v>
      </c>
      <c r="E941" s="49">
        <v>0</v>
      </c>
      <c r="F941" s="49">
        <f>E941-D941</f>
        <v>0</v>
      </c>
      <c r="G941" s="50">
        <f>IF(D941=0,0,ABS(F941/D941))</f>
        <v>0</v>
      </c>
      <c r="H941" s="49">
        <v>0</v>
      </c>
      <c r="I941" s="49">
        <v>0</v>
      </c>
      <c r="J941" s="51" t="str">
        <f>IF(H941=0,"No plan at start",I941/H941)</f>
        <v>No plan at start</v>
      </c>
      <c r="K941" s="52">
        <f>H941-I941</f>
        <v>0</v>
      </c>
      <c r="L941" s="49">
        <v>0</v>
      </c>
      <c r="M941" s="49">
        <f>I941+L941</f>
        <v>0</v>
      </c>
      <c r="N941" s="49">
        <f>M941-H941</f>
        <v>0</v>
      </c>
      <c r="O941" s="50" t="str">
        <f>IF(H941=0,"No plan at start",M941/H941)</f>
        <v>No plan at start</v>
      </c>
    </row>
    <row r="942" spans="2:15" hidden="1" outlineLevel="2" x14ac:dyDescent="0.2">
      <c r="B942" s="49" t="s">
        <v>93</v>
      </c>
      <c r="C942" s="49" t="s">
        <v>62</v>
      </c>
      <c r="D942" s="49">
        <v>0</v>
      </c>
      <c r="E942" s="49">
        <v>0</v>
      </c>
      <c r="F942" s="49">
        <f>E942-D942</f>
        <v>0</v>
      </c>
      <c r="G942" s="50">
        <f>IF(D942=0,0,ABS(F942/D942))</f>
        <v>0</v>
      </c>
      <c r="H942" s="49">
        <v>0</v>
      </c>
      <c r="I942" s="49">
        <v>0</v>
      </c>
      <c r="J942" s="51" t="str">
        <f>IF(H942=0,"No plan at start",I942/H942)</f>
        <v>No plan at start</v>
      </c>
      <c r="K942" s="52">
        <f>H942-I942</f>
        <v>0</v>
      </c>
      <c r="L942" s="49">
        <v>0</v>
      </c>
      <c r="M942" s="49">
        <f>I942+L942</f>
        <v>0</v>
      </c>
      <c r="N942" s="49">
        <f>M942-H942</f>
        <v>0</v>
      </c>
      <c r="O942" s="50" t="str">
        <f>IF(H942=0,"No plan at start",M942/H942)</f>
        <v>No plan at start</v>
      </c>
    </row>
    <row r="943" spans="2:15" outlineLevel="1" collapsed="1" x14ac:dyDescent="0.2">
      <c r="B943" s="56" t="s">
        <v>132</v>
      </c>
      <c r="C943" s="49"/>
      <c r="D943" s="49">
        <f>SUBTOTAL(9,D931:D942)</f>
        <v>0</v>
      </c>
      <c r="E943" s="49">
        <f>SUBTOTAL(9,E931:E942)</f>
        <v>0</v>
      </c>
      <c r="F943" s="49">
        <f>SUBTOTAL(9,F931:F942)</f>
        <v>0</v>
      </c>
      <c r="G943" s="50">
        <f>IF(D943=0,0,ABS(F943/D943))</f>
        <v>0</v>
      </c>
      <c r="H943" s="49">
        <f>SUBTOTAL(9,H931:H942)</f>
        <v>0</v>
      </c>
      <c r="I943" s="49">
        <f>SUBTOTAL(9,I931:I942)</f>
        <v>17856.800000000003</v>
      </c>
      <c r="J943" s="51" t="str">
        <f>IF(H943=0,"No plan at start",I943/H943)</f>
        <v>No plan at start</v>
      </c>
      <c r="K943" s="52">
        <f>SUBTOTAL(9,K931:K942)</f>
        <v>-17856.800000000003</v>
      </c>
      <c r="L943" s="49">
        <f>SUBTOTAL(9,L931:L942)</f>
        <v>14471.86</v>
      </c>
      <c r="M943" s="49">
        <f>SUBTOTAL(9,M931:M942)</f>
        <v>32328.660000000003</v>
      </c>
      <c r="N943" s="49">
        <f>SUBTOTAL(9,N931:N942)</f>
        <v>32328.660000000003</v>
      </c>
      <c r="O943" s="50" t="str">
        <f>IF(H943=0,"No plan at start",M943/H943)</f>
        <v>No plan at start</v>
      </c>
    </row>
    <row r="944" spans="2:15" hidden="1" outlineLevel="2" x14ac:dyDescent="0.2">
      <c r="B944" s="49" t="s">
        <v>94</v>
      </c>
      <c r="C944" s="49" t="s">
        <v>52</v>
      </c>
      <c r="D944" s="49">
        <v>0</v>
      </c>
      <c r="E944" s="49">
        <v>0</v>
      </c>
      <c r="F944" s="49">
        <f>E944-D944</f>
        <v>0</v>
      </c>
      <c r="G944" s="50">
        <f>IF(D944=0,0,ABS(F944/D944))</f>
        <v>0</v>
      </c>
      <c r="H944" s="49">
        <v>0</v>
      </c>
      <c r="I944" s="49">
        <v>572</v>
      </c>
      <c r="J944" s="51" t="str">
        <f>IF(H944=0,"No plan at start",I944/H944)</f>
        <v>No plan at start</v>
      </c>
      <c r="K944" s="52">
        <f>H944-I944</f>
        <v>-572</v>
      </c>
      <c r="L944" s="49">
        <v>0</v>
      </c>
      <c r="M944" s="49">
        <f>I944+L944</f>
        <v>572</v>
      </c>
      <c r="N944" s="49">
        <f>M944-H944</f>
        <v>572</v>
      </c>
      <c r="O944" s="50" t="str">
        <f>IF(H944=0,"No plan at start",M944/H944)</f>
        <v>No plan at start</v>
      </c>
    </row>
    <row r="945" spans="2:15" hidden="1" outlineLevel="2" x14ac:dyDescent="0.2">
      <c r="B945" s="49" t="s">
        <v>94</v>
      </c>
      <c r="C945" s="49" t="s">
        <v>53</v>
      </c>
      <c r="D945" s="49">
        <v>0</v>
      </c>
      <c r="E945" s="49">
        <v>0</v>
      </c>
      <c r="F945" s="49">
        <f>E945-D945</f>
        <v>0</v>
      </c>
      <c r="G945" s="50">
        <f>IF(D945=0,0,ABS(F945/D945))</f>
        <v>0</v>
      </c>
      <c r="H945" s="49">
        <v>0</v>
      </c>
      <c r="I945" s="49">
        <v>0</v>
      </c>
      <c r="J945" s="51" t="str">
        <f>IF(H945=0,"No plan at start",I945/H945)</f>
        <v>No plan at start</v>
      </c>
      <c r="K945" s="52">
        <f>H945-I945</f>
        <v>0</v>
      </c>
      <c r="L945" s="49">
        <v>0</v>
      </c>
      <c r="M945" s="49">
        <f>I945+L945</f>
        <v>0</v>
      </c>
      <c r="N945" s="49">
        <f>M945-H945</f>
        <v>0</v>
      </c>
      <c r="O945" s="50" t="str">
        <f>IF(H945=0,"No plan at start",M945/H945)</f>
        <v>No plan at start</v>
      </c>
    </row>
    <row r="946" spans="2:15" hidden="1" outlineLevel="2" x14ac:dyDescent="0.2">
      <c r="B946" s="49" t="s">
        <v>94</v>
      </c>
      <c r="C946" s="49" t="s">
        <v>54</v>
      </c>
      <c r="D946" s="49">
        <v>0</v>
      </c>
      <c r="E946" s="49">
        <v>0</v>
      </c>
      <c r="F946" s="49">
        <f>E946-D946</f>
        <v>0</v>
      </c>
      <c r="G946" s="50">
        <f>IF(D946=0,0,ABS(F946/D946))</f>
        <v>0</v>
      </c>
      <c r="H946" s="49">
        <v>0</v>
      </c>
      <c r="I946" s="49">
        <v>0</v>
      </c>
      <c r="J946" s="51" t="str">
        <f>IF(H946=0,"No plan at start",I946/H946)</f>
        <v>No plan at start</v>
      </c>
      <c r="K946" s="52">
        <f>H946-I946</f>
        <v>0</v>
      </c>
      <c r="L946" s="49">
        <v>0</v>
      </c>
      <c r="M946" s="49">
        <f>I946+L946</f>
        <v>0</v>
      </c>
      <c r="N946" s="49">
        <f>M946-H946</f>
        <v>0</v>
      </c>
      <c r="O946" s="50" t="str">
        <f>IF(H946=0,"No plan at start",M946/H946)</f>
        <v>No plan at start</v>
      </c>
    </row>
    <row r="947" spans="2:15" hidden="1" outlineLevel="2" x14ac:dyDescent="0.2">
      <c r="B947" s="49" t="s">
        <v>94</v>
      </c>
      <c r="C947" s="49" t="s">
        <v>55</v>
      </c>
      <c r="D947" s="49">
        <v>0</v>
      </c>
      <c r="E947" s="49">
        <v>0</v>
      </c>
      <c r="F947" s="49">
        <f>E947-D947</f>
        <v>0</v>
      </c>
      <c r="G947" s="50">
        <f>IF(D947=0,0,ABS(F947/D947))</f>
        <v>0</v>
      </c>
      <c r="H947" s="49">
        <v>0</v>
      </c>
      <c r="I947" s="49">
        <v>0</v>
      </c>
      <c r="J947" s="51" t="str">
        <f>IF(H947=0,"No plan at start",I947/H947)</f>
        <v>No plan at start</v>
      </c>
      <c r="K947" s="52">
        <f>H947-I947</f>
        <v>0</v>
      </c>
      <c r="L947" s="49">
        <v>0</v>
      </c>
      <c r="M947" s="49">
        <f>I947+L947</f>
        <v>0</v>
      </c>
      <c r="N947" s="49">
        <f>M947-H947</f>
        <v>0</v>
      </c>
      <c r="O947" s="50" t="str">
        <f>IF(H947=0,"No plan at start",M947/H947)</f>
        <v>No plan at start</v>
      </c>
    </row>
    <row r="948" spans="2:15" hidden="1" outlineLevel="2" x14ac:dyDescent="0.2">
      <c r="B948" s="49" t="s">
        <v>94</v>
      </c>
      <c r="C948" s="49" t="s">
        <v>56</v>
      </c>
      <c r="D948" s="49">
        <v>0</v>
      </c>
      <c r="E948" s="49">
        <v>0</v>
      </c>
      <c r="F948" s="49">
        <f>E948-D948</f>
        <v>0</v>
      </c>
      <c r="G948" s="50">
        <f>IF(D948=0,0,ABS(F948/D948))</f>
        <v>0</v>
      </c>
      <c r="H948" s="49">
        <v>0</v>
      </c>
      <c r="I948" s="49">
        <v>0</v>
      </c>
      <c r="J948" s="51" t="str">
        <f>IF(H948=0,"No plan at start",I948/H948)</f>
        <v>No plan at start</v>
      </c>
      <c r="K948" s="52">
        <f>H948-I948</f>
        <v>0</v>
      </c>
      <c r="L948" s="49">
        <v>0</v>
      </c>
      <c r="M948" s="49">
        <f>I948+L948</f>
        <v>0</v>
      </c>
      <c r="N948" s="49">
        <f>M948-H948</f>
        <v>0</v>
      </c>
      <c r="O948" s="50" t="str">
        <f>IF(H948=0,"No plan at start",M948/H948)</f>
        <v>No plan at start</v>
      </c>
    </row>
    <row r="949" spans="2:15" hidden="1" outlineLevel="2" x14ac:dyDescent="0.2">
      <c r="B949" s="49" t="s">
        <v>94</v>
      </c>
      <c r="C949" s="49" t="s">
        <v>57</v>
      </c>
      <c r="D949" s="49">
        <v>0</v>
      </c>
      <c r="E949" s="49">
        <v>0</v>
      </c>
      <c r="F949" s="49">
        <f>E949-D949</f>
        <v>0</v>
      </c>
      <c r="G949" s="50">
        <f>IF(D949=0,0,ABS(F949/D949))</f>
        <v>0</v>
      </c>
      <c r="H949" s="49">
        <v>0</v>
      </c>
      <c r="I949" s="49">
        <v>0</v>
      </c>
      <c r="J949" s="51" t="str">
        <f>IF(H949=0,"No plan at start",I949/H949)</f>
        <v>No plan at start</v>
      </c>
      <c r="K949" s="52">
        <f>H949-I949</f>
        <v>0</v>
      </c>
      <c r="L949" s="49">
        <v>0</v>
      </c>
      <c r="M949" s="49">
        <f>I949+L949</f>
        <v>0</v>
      </c>
      <c r="N949" s="49">
        <f>M949-H949</f>
        <v>0</v>
      </c>
      <c r="O949" s="50" t="str">
        <f>IF(H949=0,"No plan at start",M949/H949)</f>
        <v>No plan at start</v>
      </c>
    </row>
    <row r="950" spans="2:15" hidden="1" outlineLevel="2" x14ac:dyDescent="0.2">
      <c r="B950" s="49" t="s">
        <v>94</v>
      </c>
      <c r="C950" s="49" t="s">
        <v>48</v>
      </c>
      <c r="D950" s="49">
        <v>0</v>
      </c>
      <c r="E950" s="49">
        <v>0</v>
      </c>
      <c r="F950" s="49">
        <f>E950-D950</f>
        <v>0</v>
      </c>
      <c r="G950" s="50">
        <f>IF(D950=0,0,ABS(F950/D950))</f>
        <v>0</v>
      </c>
      <c r="H950" s="49">
        <v>0</v>
      </c>
      <c r="I950" s="49">
        <v>0</v>
      </c>
      <c r="J950" s="51" t="str">
        <f>IF(H950=0,"No plan at start",I950/H950)</f>
        <v>No plan at start</v>
      </c>
      <c r="K950" s="52">
        <f>H950-I950</f>
        <v>0</v>
      </c>
      <c r="L950" s="49">
        <v>0</v>
      </c>
      <c r="M950" s="49">
        <f>I950+L950</f>
        <v>0</v>
      </c>
      <c r="N950" s="49">
        <f>M950-H950</f>
        <v>0</v>
      </c>
      <c r="O950" s="50" t="str">
        <f>IF(H950=0,"No plan at start",M950/H950)</f>
        <v>No plan at start</v>
      </c>
    </row>
    <row r="951" spans="2:15" hidden="1" outlineLevel="2" x14ac:dyDescent="0.2">
      <c r="B951" s="49" t="s">
        <v>94</v>
      </c>
      <c r="C951" s="49" t="s">
        <v>58</v>
      </c>
      <c r="D951" s="49">
        <v>0</v>
      </c>
      <c r="E951" s="49">
        <v>0</v>
      </c>
      <c r="F951" s="49">
        <f>E951-D951</f>
        <v>0</v>
      </c>
      <c r="G951" s="50">
        <f>IF(D951=0,0,ABS(F951/D951))</f>
        <v>0</v>
      </c>
      <c r="H951" s="49">
        <v>0</v>
      </c>
      <c r="I951" s="49">
        <v>0</v>
      </c>
      <c r="J951" s="51" t="str">
        <f>IF(H951=0,"No plan at start",I951/H951)</f>
        <v>No plan at start</v>
      </c>
      <c r="K951" s="52">
        <f>H951-I951</f>
        <v>0</v>
      </c>
      <c r="L951" s="49">
        <v>0</v>
      </c>
      <c r="M951" s="49">
        <f>I951+L951</f>
        <v>0</v>
      </c>
      <c r="N951" s="49">
        <f>M951-H951</f>
        <v>0</v>
      </c>
      <c r="O951" s="50" t="str">
        <f>IF(H951=0,"No plan at start",M951/H951)</f>
        <v>No plan at start</v>
      </c>
    </row>
    <row r="952" spans="2:15" hidden="1" outlineLevel="2" x14ac:dyDescent="0.2">
      <c r="B952" s="49" t="s">
        <v>94</v>
      </c>
      <c r="C952" s="49" t="s">
        <v>59</v>
      </c>
      <c r="D952" s="49">
        <v>0</v>
      </c>
      <c r="E952" s="49">
        <v>0</v>
      </c>
      <c r="F952" s="49">
        <f>E952-D952</f>
        <v>0</v>
      </c>
      <c r="G952" s="50">
        <f>IF(D952=0,0,ABS(F952/D952))</f>
        <v>0</v>
      </c>
      <c r="H952" s="49">
        <v>0</v>
      </c>
      <c r="I952" s="49">
        <v>0</v>
      </c>
      <c r="J952" s="51" t="str">
        <f>IF(H952=0,"No plan at start",I952/H952)</f>
        <v>No plan at start</v>
      </c>
      <c r="K952" s="52">
        <f>H952-I952</f>
        <v>0</v>
      </c>
      <c r="L952" s="49">
        <v>0</v>
      </c>
      <c r="M952" s="49">
        <f>I952+L952</f>
        <v>0</v>
      </c>
      <c r="N952" s="49">
        <f>M952-H952</f>
        <v>0</v>
      </c>
      <c r="O952" s="50" t="str">
        <f>IF(H952=0,"No plan at start",M952/H952)</f>
        <v>No plan at start</v>
      </c>
    </row>
    <row r="953" spans="2:15" hidden="1" outlineLevel="2" x14ac:dyDescent="0.2">
      <c r="B953" s="49" t="s">
        <v>94</v>
      </c>
      <c r="C953" s="49" t="s">
        <v>60</v>
      </c>
      <c r="D953" s="49">
        <v>0</v>
      </c>
      <c r="E953" s="49">
        <v>0</v>
      </c>
      <c r="F953" s="49">
        <f>E953-D953</f>
        <v>0</v>
      </c>
      <c r="G953" s="50">
        <f>IF(D953=0,0,ABS(F953/D953))</f>
        <v>0</v>
      </c>
      <c r="H953" s="49">
        <v>0</v>
      </c>
      <c r="I953" s="49">
        <v>0</v>
      </c>
      <c r="J953" s="51" t="str">
        <f>IF(H953=0,"No plan at start",I953/H953)</f>
        <v>No plan at start</v>
      </c>
      <c r="K953" s="52">
        <f>H953-I953</f>
        <v>0</v>
      </c>
      <c r="L953" s="49">
        <v>0</v>
      </c>
      <c r="M953" s="49">
        <f>I953+L953</f>
        <v>0</v>
      </c>
      <c r="N953" s="49">
        <f>M953-H953</f>
        <v>0</v>
      </c>
      <c r="O953" s="50" t="str">
        <f>IF(H953=0,"No plan at start",M953/H953)</f>
        <v>No plan at start</v>
      </c>
    </row>
    <row r="954" spans="2:15" hidden="1" outlineLevel="2" x14ac:dyDescent="0.2">
      <c r="B954" s="49" t="s">
        <v>94</v>
      </c>
      <c r="C954" s="49" t="s">
        <v>61</v>
      </c>
      <c r="D954" s="49">
        <v>0</v>
      </c>
      <c r="E954" s="49">
        <v>0</v>
      </c>
      <c r="F954" s="49">
        <f>E954-D954</f>
        <v>0</v>
      </c>
      <c r="G954" s="50">
        <f>IF(D954=0,0,ABS(F954/D954))</f>
        <v>0</v>
      </c>
      <c r="H954" s="49">
        <v>0</v>
      </c>
      <c r="I954" s="49">
        <v>0</v>
      </c>
      <c r="J954" s="51" t="str">
        <f>IF(H954=0,"No plan at start",I954/H954)</f>
        <v>No plan at start</v>
      </c>
      <c r="K954" s="52">
        <f>H954-I954</f>
        <v>0</v>
      </c>
      <c r="L954" s="49">
        <v>0</v>
      </c>
      <c r="M954" s="49">
        <f>I954+L954</f>
        <v>0</v>
      </c>
      <c r="N954" s="49">
        <f>M954-H954</f>
        <v>0</v>
      </c>
      <c r="O954" s="50" t="str">
        <f>IF(H954=0,"No plan at start",M954/H954)</f>
        <v>No plan at start</v>
      </c>
    </row>
    <row r="955" spans="2:15" hidden="1" outlineLevel="2" x14ac:dyDescent="0.2">
      <c r="B955" s="49" t="s">
        <v>94</v>
      </c>
      <c r="C955" s="49" t="s">
        <v>62</v>
      </c>
      <c r="D955" s="49">
        <v>0</v>
      </c>
      <c r="E955" s="49">
        <v>0</v>
      </c>
      <c r="F955" s="49">
        <f>E955-D955</f>
        <v>0</v>
      </c>
      <c r="G955" s="50">
        <f>IF(D955=0,0,ABS(F955/D955))</f>
        <v>0</v>
      </c>
      <c r="H955" s="49">
        <v>0</v>
      </c>
      <c r="I955" s="49">
        <v>0</v>
      </c>
      <c r="J955" s="51" t="str">
        <f>IF(H955=0,"No plan at start",I955/H955)</f>
        <v>No plan at start</v>
      </c>
      <c r="K955" s="52">
        <f>H955-I955</f>
        <v>0</v>
      </c>
      <c r="L955" s="49">
        <v>0</v>
      </c>
      <c r="M955" s="49">
        <f>I955+L955</f>
        <v>0</v>
      </c>
      <c r="N955" s="49">
        <f>M955-H955</f>
        <v>0</v>
      </c>
      <c r="O955" s="50" t="str">
        <f>IF(H955=0,"No plan at start",M955/H955)</f>
        <v>No plan at start</v>
      </c>
    </row>
    <row r="956" spans="2:15" outlineLevel="1" collapsed="1" x14ac:dyDescent="0.2">
      <c r="B956" s="56" t="s">
        <v>133</v>
      </c>
      <c r="C956" s="49"/>
      <c r="D956" s="49">
        <f>SUBTOTAL(9,D944:D955)</f>
        <v>0</v>
      </c>
      <c r="E956" s="49">
        <f>SUBTOTAL(9,E944:E955)</f>
        <v>0</v>
      </c>
      <c r="F956" s="49">
        <f>SUBTOTAL(9,F944:F955)</f>
        <v>0</v>
      </c>
      <c r="G956" s="50">
        <f>IF(D956=0,0,ABS(F956/D956))</f>
        <v>0</v>
      </c>
      <c r="H956" s="49">
        <f>SUBTOTAL(9,H944:H955)</f>
        <v>0</v>
      </c>
      <c r="I956" s="49">
        <f>SUBTOTAL(9,I944:I955)</f>
        <v>572</v>
      </c>
      <c r="J956" s="51" t="str">
        <f>IF(H956=0,"No plan at start",I956/H956)</f>
        <v>No plan at start</v>
      </c>
      <c r="K956" s="52">
        <f>SUBTOTAL(9,K944:K955)</f>
        <v>-572</v>
      </c>
      <c r="L956" s="49">
        <f>SUBTOTAL(9,L944:L955)</f>
        <v>0</v>
      </c>
      <c r="M956" s="49">
        <f>SUBTOTAL(9,M944:M955)</f>
        <v>572</v>
      </c>
      <c r="N956" s="49">
        <f>SUBTOTAL(9,N944:N955)</f>
        <v>572</v>
      </c>
      <c r="O956" s="50" t="str">
        <f>IF(H956=0,"No plan at start",M956/H956)</f>
        <v>No plan at start</v>
      </c>
    </row>
    <row r="957" spans="2:15" hidden="1" outlineLevel="2" x14ac:dyDescent="0.2">
      <c r="B957" s="49" t="s">
        <v>95</v>
      </c>
      <c r="C957" s="49" t="s">
        <v>52</v>
      </c>
      <c r="D957" s="49">
        <v>0</v>
      </c>
      <c r="E957" s="49">
        <v>0</v>
      </c>
      <c r="F957" s="49">
        <f>E957-D957</f>
        <v>0</v>
      </c>
      <c r="G957" s="50">
        <f>IF(D957=0,0,ABS(F957/D957))</f>
        <v>0</v>
      </c>
      <c r="H957" s="49">
        <v>0</v>
      </c>
      <c r="I957" s="49">
        <v>0</v>
      </c>
      <c r="J957" s="51" t="str">
        <f>IF(H957=0,"No plan at start",I957/H957)</f>
        <v>No plan at start</v>
      </c>
      <c r="K957" s="52">
        <f>H957-I957</f>
        <v>0</v>
      </c>
      <c r="L957" s="49">
        <v>0</v>
      </c>
      <c r="M957" s="49">
        <f>I957+L957</f>
        <v>0</v>
      </c>
      <c r="N957" s="49">
        <f>M957-H957</f>
        <v>0</v>
      </c>
      <c r="O957" s="50" t="str">
        <f>IF(H957=0,"No plan at start",M957/H957)</f>
        <v>No plan at start</v>
      </c>
    </row>
    <row r="958" spans="2:15" hidden="1" outlineLevel="2" x14ac:dyDescent="0.2">
      <c r="B958" s="49" t="s">
        <v>95</v>
      </c>
      <c r="C958" s="49" t="s">
        <v>53</v>
      </c>
      <c r="D958" s="49">
        <v>0</v>
      </c>
      <c r="E958" s="49">
        <v>0</v>
      </c>
      <c r="F958" s="49">
        <f>E958-D958</f>
        <v>0</v>
      </c>
      <c r="G958" s="50">
        <f>IF(D958=0,0,ABS(F958/D958))</f>
        <v>0</v>
      </c>
      <c r="H958" s="49">
        <v>0</v>
      </c>
      <c r="I958" s="49">
        <v>0</v>
      </c>
      <c r="J958" s="51" t="str">
        <f>IF(H958=0,"No plan at start",I958/H958)</f>
        <v>No plan at start</v>
      </c>
      <c r="K958" s="52">
        <f>H958-I958</f>
        <v>0</v>
      </c>
      <c r="L958" s="49">
        <v>0</v>
      </c>
      <c r="M958" s="49">
        <f>I958+L958</f>
        <v>0</v>
      </c>
      <c r="N958" s="49">
        <f>M958-H958</f>
        <v>0</v>
      </c>
      <c r="O958" s="50" t="str">
        <f>IF(H958=0,"No plan at start",M958/H958)</f>
        <v>No plan at start</v>
      </c>
    </row>
    <row r="959" spans="2:15" hidden="1" outlineLevel="2" x14ac:dyDescent="0.2">
      <c r="B959" s="49" t="s">
        <v>95</v>
      </c>
      <c r="C959" s="49" t="s">
        <v>54</v>
      </c>
      <c r="D959" s="49">
        <v>0</v>
      </c>
      <c r="E959" s="49">
        <v>0</v>
      </c>
      <c r="F959" s="49">
        <f>E959-D959</f>
        <v>0</v>
      </c>
      <c r="G959" s="50">
        <f>IF(D959=0,0,ABS(F959/D959))</f>
        <v>0</v>
      </c>
      <c r="H959" s="49">
        <v>0</v>
      </c>
      <c r="I959" s="49">
        <v>0</v>
      </c>
      <c r="J959" s="51" t="str">
        <f>IF(H959=0,"No plan at start",I959/H959)</f>
        <v>No plan at start</v>
      </c>
      <c r="K959" s="52">
        <f>H959-I959</f>
        <v>0</v>
      </c>
      <c r="L959" s="49">
        <v>0</v>
      </c>
      <c r="M959" s="49">
        <f>I959+L959</f>
        <v>0</v>
      </c>
      <c r="N959" s="49">
        <f>M959-H959</f>
        <v>0</v>
      </c>
      <c r="O959" s="50" t="str">
        <f>IF(H959=0,"No plan at start",M959/H959)</f>
        <v>No plan at start</v>
      </c>
    </row>
    <row r="960" spans="2:15" hidden="1" outlineLevel="2" x14ac:dyDescent="0.2">
      <c r="B960" s="49" t="s">
        <v>95</v>
      </c>
      <c r="C960" s="49" t="s">
        <v>55</v>
      </c>
      <c r="D960" s="49">
        <v>0</v>
      </c>
      <c r="E960" s="49">
        <v>0</v>
      </c>
      <c r="F960" s="49">
        <f>E960-D960</f>
        <v>0</v>
      </c>
      <c r="G960" s="50">
        <f>IF(D960=0,0,ABS(F960/D960))</f>
        <v>0</v>
      </c>
      <c r="H960" s="49">
        <v>0</v>
      </c>
      <c r="I960" s="49">
        <v>0</v>
      </c>
      <c r="J960" s="51" t="str">
        <f>IF(H960=0,"No plan at start",I960/H960)</f>
        <v>No plan at start</v>
      </c>
      <c r="K960" s="52">
        <f>H960-I960</f>
        <v>0</v>
      </c>
      <c r="L960" s="49">
        <v>0</v>
      </c>
      <c r="M960" s="49">
        <f>I960+L960</f>
        <v>0</v>
      </c>
      <c r="N960" s="49">
        <f>M960-H960</f>
        <v>0</v>
      </c>
      <c r="O960" s="50" t="str">
        <f>IF(H960=0,"No plan at start",M960/H960)</f>
        <v>No plan at start</v>
      </c>
    </row>
    <row r="961" spans="2:15" hidden="1" outlineLevel="2" x14ac:dyDescent="0.2">
      <c r="B961" s="49" t="s">
        <v>95</v>
      </c>
      <c r="C961" s="49" t="s">
        <v>56</v>
      </c>
      <c r="D961" s="49">
        <v>0</v>
      </c>
      <c r="E961" s="49">
        <v>0</v>
      </c>
      <c r="F961" s="49">
        <f>E961-D961</f>
        <v>0</v>
      </c>
      <c r="G961" s="50">
        <f>IF(D961=0,0,ABS(F961/D961))</f>
        <v>0</v>
      </c>
      <c r="H961" s="49">
        <v>0</v>
      </c>
      <c r="I961" s="49">
        <v>0</v>
      </c>
      <c r="J961" s="51" t="str">
        <f>IF(H961=0,"No plan at start",I961/H961)</f>
        <v>No plan at start</v>
      </c>
      <c r="K961" s="52">
        <f>H961-I961</f>
        <v>0</v>
      </c>
      <c r="L961" s="49">
        <v>0</v>
      </c>
      <c r="M961" s="49">
        <f>I961+L961</f>
        <v>0</v>
      </c>
      <c r="N961" s="49">
        <f>M961-H961</f>
        <v>0</v>
      </c>
      <c r="O961" s="50" t="str">
        <f>IF(H961=0,"No plan at start",M961/H961)</f>
        <v>No plan at start</v>
      </c>
    </row>
    <row r="962" spans="2:15" hidden="1" outlineLevel="2" x14ac:dyDescent="0.2">
      <c r="B962" s="49" t="s">
        <v>95</v>
      </c>
      <c r="C962" s="49" t="s">
        <v>57</v>
      </c>
      <c r="D962" s="49">
        <v>0</v>
      </c>
      <c r="E962" s="49">
        <v>0</v>
      </c>
      <c r="F962" s="49">
        <f>E962-D962</f>
        <v>0</v>
      </c>
      <c r="G962" s="50">
        <f>IF(D962=0,0,ABS(F962/D962))</f>
        <v>0</v>
      </c>
      <c r="H962" s="49">
        <v>0</v>
      </c>
      <c r="I962" s="49">
        <v>0</v>
      </c>
      <c r="J962" s="51" t="str">
        <f>IF(H962=0,"No plan at start",I962/H962)</f>
        <v>No plan at start</v>
      </c>
      <c r="K962" s="52">
        <f>H962-I962</f>
        <v>0</v>
      </c>
      <c r="L962" s="49">
        <v>0</v>
      </c>
      <c r="M962" s="49">
        <f>I962+L962</f>
        <v>0</v>
      </c>
      <c r="N962" s="49">
        <f>M962-H962</f>
        <v>0</v>
      </c>
      <c r="O962" s="50" t="str">
        <f>IF(H962=0,"No plan at start",M962/H962)</f>
        <v>No plan at start</v>
      </c>
    </row>
    <row r="963" spans="2:15" hidden="1" outlineLevel="2" x14ac:dyDescent="0.2">
      <c r="B963" s="49" t="s">
        <v>95</v>
      </c>
      <c r="C963" s="49" t="s">
        <v>48</v>
      </c>
      <c r="D963" s="49">
        <v>0</v>
      </c>
      <c r="E963" s="49">
        <v>0</v>
      </c>
      <c r="F963" s="49">
        <f>E963-D963</f>
        <v>0</v>
      </c>
      <c r="G963" s="50">
        <f>IF(D963=0,0,ABS(F963/D963))</f>
        <v>0</v>
      </c>
      <c r="H963" s="49">
        <v>0</v>
      </c>
      <c r="I963" s="49">
        <v>0</v>
      </c>
      <c r="J963" s="51" t="str">
        <f>IF(H963=0,"No plan at start",I963/H963)</f>
        <v>No plan at start</v>
      </c>
      <c r="K963" s="52">
        <f>H963-I963</f>
        <v>0</v>
      </c>
      <c r="L963" s="49">
        <v>0</v>
      </c>
      <c r="M963" s="49">
        <f>I963+L963</f>
        <v>0</v>
      </c>
      <c r="N963" s="49">
        <f>M963-H963</f>
        <v>0</v>
      </c>
      <c r="O963" s="50" t="str">
        <f>IF(H963=0,"No plan at start",M963/H963)</f>
        <v>No plan at start</v>
      </c>
    </row>
    <row r="964" spans="2:15" hidden="1" outlineLevel="2" x14ac:dyDescent="0.2">
      <c r="B964" s="49" t="s">
        <v>95</v>
      </c>
      <c r="C964" s="49" t="s">
        <v>58</v>
      </c>
      <c r="D964" s="49">
        <v>0</v>
      </c>
      <c r="E964" s="49">
        <v>0</v>
      </c>
      <c r="F964" s="49">
        <f>E964-D964</f>
        <v>0</v>
      </c>
      <c r="G964" s="50">
        <f>IF(D964=0,0,ABS(F964/D964))</f>
        <v>0</v>
      </c>
      <c r="H964" s="49">
        <v>0</v>
      </c>
      <c r="I964" s="49">
        <v>0</v>
      </c>
      <c r="J964" s="51" t="str">
        <f>IF(H964=0,"No plan at start",I964/H964)</f>
        <v>No plan at start</v>
      </c>
      <c r="K964" s="52">
        <f>H964-I964</f>
        <v>0</v>
      </c>
      <c r="L964" s="49">
        <v>0</v>
      </c>
      <c r="M964" s="49">
        <f>I964+L964</f>
        <v>0</v>
      </c>
      <c r="N964" s="49">
        <f>M964-H964</f>
        <v>0</v>
      </c>
      <c r="O964" s="50" t="str">
        <f>IF(H964=0,"No plan at start",M964/H964)</f>
        <v>No plan at start</v>
      </c>
    </row>
    <row r="965" spans="2:15" hidden="1" outlineLevel="2" x14ac:dyDescent="0.2">
      <c r="B965" s="49" t="s">
        <v>95</v>
      </c>
      <c r="C965" s="49" t="s">
        <v>59</v>
      </c>
      <c r="D965" s="49">
        <v>0</v>
      </c>
      <c r="E965" s="49">
        <v>0</v>
      </c>
      <c r="F965" s="49">
        <f>E965-D965</f>
        <v>0</v>
      </c>
      <c r="G965" s="50">
        <f>IF(D965=0,0,ABS(F965/D965))</f>
        <v>0</v>
      </c>
      <c r="H965" s="49">
        <v>0</v>
      </c>
      <c r="I965" s="49">
        <v>0</v>
      </c>
      <c r="J965" s="51" t="str">
        <f>IF(H965=0,"No plan at start",I965/H965)</f>
        <v>No plan at start</v>
      </c>
      <c r="K965" s="52">
        <f>H965-I965</f>
        <v>0</v>
      </c>
      <c r="L965" s="49">
        <v>0</v>
      </c>
      <c r="M965" s="49">
        <f>I965+L965</f>
        <v>0</v>
      </c>
      <c r="N965" s="49">
        <f>M965-H965</f>
        <v>0</v>
      </c>
      <c r="O965" s="50" t="str">
        <f>IF(H965=0,"No plan at start",M965/H965)</f>
        <v>No plan at start</v>
      </c>
    </row>
    <row r="966" spans="2:15" hidden="1" outlineLevel="2" x14ac:dyDescent="0.2">
      <c r="B966" s="49" t="s">
        <v>95</v>
      </c>
      <c r="C966" s="49" t="s">
        <v>60</v>
      </c>
      <c r="D966" s="49">
        <v>0</v>
      </c>
      <c r="E966" s="49">
        <v>0</v>
      </c>
      <c r="F966" s="49">
        <f>E966-D966</f>
        <v>0</v>
      </c>
      <c r="G966" s="50">
        <f>IF(D966=0,0,ABS(F966/D966))</f>
        <v>0</v>
      </c>
      <c r="H966" s="49">
        <v>0</v>
      </c>
      <c r="I966" s="49">
        <v>0</v>
      </c>
      <c r="J966" s="51" t="str">
        <f>IF(H966=0,"No plan at start",I966/H966)</f>
        <v>No plan at start</v>
      </c>
      <c r="K966" s="52">
        <f>H966-I966</f>
        <v>0</v>
      </c>
      <c r="L966" s="49">
        <v>0</v>
      </c>
      <c r="M966" s="49">
        <f>I966+L966</f>
        <v>0</v>
      </c>
      <c r="N966" s="49">
        <f>M966-H966</f>
        <v>0</v>
      </c>
      <c r="O966" s="50" t="str">
        <f>IF(H966=0,"No plan at start",M966/H966)</f>
        <v>No plan at start</v>
      </c>
    </row>
    <row r="967" spans="2:15" hidden="1" outlineLevel="2" x14ac:dyDescent="0.2">
      <c r="B967" s="49" t="s">
        <v>95</v>
      </c>
      <c r="C967" s="49" t="s">
        <v>61</v>
      </c>
      <c r="D967" s="49">
        <v>0</v>
      </c>
      <c r="E967" s="49">
        <v>0</v>
      </c>
      <c r="F967" s="49">
        <f>E967-D967</f>
        <v>0</v>
      </c>
      <c r="G967" s="50">
        <f>IF(D967=0,0,ABS(F967/D967))</f>
        <v>0</v>
      </c>
      <c r="H967" s="49">
        <v>0</v>
      </c>
      <c r="I967" s="49">
        <v>0</v>
      </c>
      <c r="J967" s="51" t="str">
        <f>IF(H967=0,"No plan at start",I967/H967)</f>
        <v>No plan at start</v>
      </c>
      <c r="K967" s="52">
        <f>H967-I967</f>
        <v>0</v>
      </c>
      <c r="L967" s="49">
        <v>0</v>
      </c>
      <c r="M967" s="49">
        <f>I967+L967</f>
        <v>0</v>
      </c>
      <c r="N967" s="49">
        <f>M967-H967</f>
        <v>0</v>
      </c>
      <c r="O967" s="50" t="str">
        <f>IF(H967=0,"No plan at start",M967/H967)</f>
        <v>No plan at start</v>
      </c>
    </row>
    <row r="968" spans="2:15" hidden="1" outlineLevel="2" x14ac:dyDescent="0.2">
      <c r="B968" s="49" t="s">
        <v>95</v>
      </c>
      <c r="C968" s="49" t="s">
        <v>62</v>
      </c>
      <c r="D968" s="49">
        <v>0</v>
      </c>
      <c r="E968" s="49">
        <v>0</v>
      </c>
      <c r="F968" s="49">
        <f>E968-D968</f>
        <v>0</v>
      </c>
      <c r="G968" s="50">
        <f>IF(D968=0,0,ABS(F968/D968))</f>
        <v>0</v>
      </c>
      <c r="H968" s="49">
        <v>0</v>
      </c>
      <c r="I968" s="49">
        <v>0</v>
      </c>
      <c r="J968" s="51" t="str">
        <f>IF(H968=0,"No plan at start",I968/H968)</f>
        <v>No plan at start</v>
      </c>
      <c r="K968" s="52">
        <f>H968-I968</f>
        <v>0</v>
      </c>
      <c r="L968" s="49">
        <v>0</v>
      </c>
      <c r="M968" s="49">
        <f>I968+L968</f>
        <v>0</v>
      </c>
      <c r="N968" s="49">
        <f>M968-H968</f>
        <v>0</v>
      </c>
      <c r="O968" s="50" t="str">
        <f>IF(H968=0,"No plan at start",M968/H968)</f>
        <v>No plan at start</v>
      </c>
    </row>
    <row r="969" spans="2:15" outlineLevel="1" collapsed="1" x14ac:dyDescent="0.2">
      <c r="B969" s="56" t="s">
        <v>134</v>
      </c>
      <c r="C969" s="49"/>
      <c r="D969" s="49">
        <f>SUBTOTAL(9,D957:D968)</f>
        <v>0</v>
      </c>
      <c r="E969" s="49">
        <f>SUBTOTAL(9,E957:E968)</f>
        <v>0</v>
      </c>
      <c r="F969" s="49">
        <f>SUBTOTAL(9,F957:F968)</f>
        <v>0</v>
      </c>
      <c r="G969" s="50">
        <f>IF(D969=0,0,ABS(F969/D969))</f>
        <v>0</v>
      </c>
      <c r="H969" s="49">
        <f>SUBTOTAL(9,H957:H968)</f>
        <v>0</v>
      </c>
      <c r="I969" s="49">
        <f>SUBTOTAL(9,I957:I968)</f>
        <v>0</v>
      </c>
      <c r="J969" s="51" t="str">
        <f>IF(H969=0,"No plan at start",I969/H969)</f>
        <v>No plan at start</v>
      </c>
      <c r="K969" s="52">
        <f>SUBTOTAL(9,K957:K968)</f>
        <v>0</v>
      </c>
      <c r="L969" s="49">
        <f>SUBTOTAL(9,L957:L968)</f>
        <v>0</v>
      </c>
      <c r="M969" s="49">
        <f>SUBTOTAL(9,M957:M968)</f>
        <v>0</v>
      </c>
      <c r="N969" s="49">
        <f>SUBTOTAL(9,N957:N968)</f>
        <v>0</v>
      </c>
      <c r="O969" s="50" t="str">
        <f>IF(H969=0,"No plan at start",M969/H969)</f>
        <v>No plan at start</v>
      </c>
    </row>
    <row r="970" spans="2:15" hidden="1" outlineLevel="2" x14ac:dyDescent="0.2">
      <c r="B970" s="49" t="s">
        <v>96</v>
      </c>
      <c r="C970" s="49" t="s">
        <v>52</v>
      </c>
      <c r="D970" s="49">
        <v>197.6</v>
      </c>
      <c r="E970" s="49">
        <v>0</v>
      </c>
      <c r="F970" s="49">
        <f>E970-D970</f>
        <v>-197.6</v>
      </c>
      <c r="G970" s="50">
        <f>IF(D970=0,0,ABS(F970/D970))</f>
        <v>1</v>
      </c>
      <c r="H970" s="49">
        <v>1289.5999999999999</v>
      </c>
      <c r="I970" s="49">
        <v>338</v>
      </c>
      <c r="J970" s="51">
        <f>IF(H970=0,"No plan at start",I970/H970)</f>
        <v>0.26209677419354843</v>
      </c>
      <c r="K970" s="52">
        <f>H970-I970</f>
        <v>951.59999999999991</v>
      </c>
      <c r="L970" s="49">
        <v>0</v>
      </c>
      <c r="M970" s="49">
        <f>I970+L970</f>
        <v>338</v>
      </c>
      <c r="N970" s="49">
        <f>M970-H970</f>
        <v>-951.59999999999991</v>
      </c>
      <c r="O970" s="50">
        <f>IF(H970=0,"No plan at start",M970/H970)</f>
        <v>0.26209677419354843</v>
      </c>
    </row>
    <row r="971" spans="2:15" hidden="1" outlineLevel="2" x14ac:dyDescent="0.2">
      <c r="B971" s="49" t="s">
        <v>96</v>
      </c>
      <c r="C971" s="49" t="s">
        <v>53</v>
      </c>
      <c r="D971" s="49">
        <v>0</v>
      </c>
      <c r="E971" s="49">
        <v>0</v>
      </c>
      <c r="F971" s="49">
        <f>E971-D971</f>
        <v>0</v>
      </c>
      <c r="G971" s="50">
        <f>IF(D971=0,0,ABS(F971/D971))</f>
        <v>0</v>
      </c>
      <c r="H971" s="49">
        <v>0</v>
      </c>
      <c r="I971" s="49">
        <v>0</v>
      </c>
      <c r="J971" s="51" t="str">
        <f>IF(H971=0,"No plan at start",I971/H971)</f>
        <v>No plan at start</v>
      </c>
      <c r="K971" s="52">
        <f>H971-I971</f>
        <v>0</v>
      </c>
      <c r="L971" s="49">
        <v>0</v>
      </c>
      <c r="M971" s="49">
        <f>I971+L971</f>
        <v>0</v>
      </c>
      <c r="N971" s="49">
        <f>M971-H971</f>
        <v>0</v>
      </c>
      <c r="O971" s="50" t="str">
        <f>IF(H971=0,"No plan at start",M971/H971)</f>
        <v>No plan at start</v>
      </c>
    </row>
    <row r="972" spans="2:15" hidden="1" outlineLevel="2" x14ac:dyDescent="0.2">
      <c r="B972" s="49" t="s">
        <v>96</v>
      </c>
      <c r="C972" s="49" t="s">
        <v>54</v>
      </c>
      <c r="D972" s="49">
        <v>0</v>
      </c>
      <c r="E972" s="49">
        <v>0</v>
      </c>
      <c r="F972" s="49">
        <f>E972-D972</f>
        <v>0</v>
      </c>
      <c r="G972" s="50">
        <f>IF(D972=0,0,ABS(F972/D972))</f>
        <v>0</v>
      </c>
      <c r="H972" s="49">
        <v>0</v>
      </c>
      <c r="I972" s="49">
        <v>0</v>
      </c>
      <c r="J972" s="51" t="str">
        <f>IF(H972=0,"No plan at start",I972/H972)</f>
        <v>No plan at start</v>
      </c>
      <c r="K972" s="52">
        <f>H972-I972</f>
        <v>0</v>
      </c>
      <c r="L972" s="49">
        <v>0</v>
      </c>
      <c r="M972" s="49">
        <f>I972+L972</f>
        <v>0</v>
      </c>
      <c r="N972" s="49">
        <f>M972-H972</f>
        <v>0</v>
      </c>
      <c r="O972" s="50" t="str">
        <f>IF(H972=0,"No plan at start",M972/H972)</f>
        <v>No plan at start</v>
      </c>
    </row>
    <row r="973" spans="2:15" hidden="1" outlineLevel="2" x14ac:dyDescent="0.2">
      <c r="B973" s="49" t="s">
        <v>96</v>
      </c>
      <c r="C973" s="49" t="s">
        <v>55</v>
      </c>
      <c r="D973" s="49">
        <v>0</v>
      </c>
      <c r="E973" s="49">
        <v>0</v>
      </c>
      <c r="F973" s="49">
        <f>E973-D973</f>
        <v>0</v>
      </c>
      <c r="G973" s="50">
        <f>IF(D973=0,0,ABS(F973/D973))</f>
        <v>0</v>
      </c>
      <c r="H973" s="49">
        <v>3016</v>
      </c>
      <c r="I973" s="49">
        <v>0</v>
      </c>
      <c r="J973" s="51">
        <f>IF(H973=0,"No plan at start",I973/H973)</f>
        <v>0</v>
      </c>
      <c r="K973" s="52">
        <f>H973-I973</f>
        <v>3016</v>
      </c>
      <c r="L973" s="49">
        <v>0</v>
      </c>
      <c r="M973" s="49">
        <f>I973+L973</f>
        <v>0</v>
      </c>
      <c r="N973" s="49">
        <f>M973-H973</f>
        <v>-3016</v>
      </c>
      <c r="O973" s="50">
        <f>IF(H973=0,"No plan at start",M973/H973)</f>
        <v>0</v>
      </c>
    </row>
    <row r="974" spans="2:15" hidden="1" outlineLevel="2" x14ac:dyDescent="0.2">
      <c r="B974" s="49" t="s">
        <v>96</v>
      </c>
      <c r="C974" s="49" t="s">
        <v>56</v>
      </c>
      <c r="D974" s="49">
        <v>0</v>
      </c>
      <c r="E974" s="49">
        <v>0</v>
      </c>
      <c r="F974" s="49">
        <f>E974-D974</f>
        <v>0</v>
      </c>
      <c r="G974" s="50">
        <f>IF(D974=0,0,ABS(F974/D974))</f>
        <v>0</v>
      </c>
      <c r="H974" s="49">
        <v>0</v>
      </c>
      <c r="I974" s="49">
        <v>0</v>
      </c>
      <c r="J974" s="51" t="str">
        <f>IF(H974=0,"No plan at start",I974/H974)</f>
        <v>No plan at start</v>
      </c>
      <c r="K974" s="52">
        <f>H974-I974</f>
        <v>0</v>
      </c>
      <c r="L974" s="49">
        <v>0</v>
      </c>
      <c r="M974" s="49">
        <f>I974+L974</f>
        <v>0</v>
      </c>
      <c r="N974" s="49">
        <f>M974-H974</f>
        <v>0</v>
      </c>
      <c r="O974" s="50" t="str">
        <f>IF(H974=0,"No plan at start",M974/H974)</f>
        <v>No plan at start</v>
      </c>
    </row>
    <row r="975" spans="2:15" hidden="1" outlineLevel="2" x14ac:dyDescent="0.2">
      <c r="B975" s="49" t="s">
        <v>96</v>
      </c>
      <c r="C975" s="49" t="s">
        <v>57</v>
      </c>
      <c r="D975" s="49">
        <v>0</v>
      </c>
      <c r="E975" s="49">
        <v>0</v>
      </c>
      <c r="F975" s="49">
        <f>E975-D975</f>
        <v>0</v>
      </c>
      <c r="G975" s="50">
        <f>IF(D975=0,0,ABS(F975/D975))</f>
        <v>0</v>
      </c>
      <c r="H975" s="49">
        <v>0</v>
      </c>
      <c r="I975" s="49">
        <v>0</v>
      </c>
      <c r="J975" s="51" t="str">
        <f>IF(H975=0,"No plan at start",I975/H975)</f>
        <v>No plan at start</v>
      </c>
      <c r="K975" s="52">
        <f>H975-I975</f>
        <v>0</v>
      </c>
      <c r="L975" s="49">
        <v>0</v>
      </c>
      <c r="M975" s="49">
        <f>I975+L975</f>
        <v>0</v>
      </c>
      <c r="N975" s="49">
        <f>M975-H975</f>
        <v>0</v>
      </c>
      <c r="O975" s="50" t="str">
        <f>IF(H975=0,"No plan at start",M975/H975)</f>
        <v>No plan at start</v>
      </c>
    </row>
    <row r="976" spans="2:15" hidden="1" outlineLevel="2" x14ac:dyDescent="0.2">
      <c r="B976" s="49" t="s">
        <v>96</v>
      </c>
      <c r="C976" s="49" t="s">
        <v>48</v>
      </c>
      <c r="D976" s="49">
        <v>0</v>
      </c>
      <c r="E976" s="49">
        <v>0</v>
      </c>
      <c r="F976" s="49">
        <f>E976-D976</f>
        <v>0</v>
      </c>
      <c r="G976" s="50">
        <f>IF(D976=0,0,ABS(F976/D976))</f>
        <v>0</v>
      </c>
      <c r="H976" s="49">
        <v>0</v>
      </c>
      <c r="I976" s="49">
        <v>0</v>
      </c>
      <c r="J976" s="51" t="str">
        <f>IF(H976=0,"No plan at start",I976/H976)</f>
        <v>No plan at start</v>
      </c>
      <c r="K976" s="52">
        <f>H976-I976</f>
        <v>0</v>
      </c>
      <c r="L976" s="49">
        <v>0</v>
      </c>
      <c r="M976" s="49">
        <f>I976+L976</f>
        <v>0</v>
      </c>
      <c r="N976" s="49">
        <f>M976-H976</f>
        <v>0</v>
      </c>
      <c r="O976" s="50" t="str">
        <f>IF(H976=0,"No plan at start",M976/H976)</f>
        <v>No plan at start</v>
      </c>
    </row>
    <row r="977" spans="2:15" hidden="1" outlineLevel="2" x14ac:dyDescent="0.2">
      <c r="B977" s="49" t="s">
        <v>96</v>
      </c>
      <c r="C977" s="49" t="s">
        <v>58</v>
      </c>
      <c r="D977" s="49">
        <v>0</v>
      </c>
      <c r="E977" s="49">
        <v>0</v>
      </c>
      <c r="F977" s="49">
        <f>E977-D977</f>
        <v>0</v>
      </c>
      <c r="G977" s="50">
        <f>IF(D977=0,0,ABS(F977/D977))</f>
        <v>0</v>
      </c>
      <c r="H977" s="49">
        <v>0</v>
      </c>
      <c r="I977" s="49">
        <v>0</v>
      </c>
      <c r="J977" s="51" t="str">
        <f>IF(H977=0,"No plan at start",I977/H977)</f>
        <v>No plan at start</v>
      </c>
      <c r="K977" s="52">
        <f>H977-I977</f>
        <v>0</v>
      </c>
      <c r="L977" s="49">
        <v>0</v>
      </c>
      <c r="M977" s="49">
        <f>I977+L977</f>
        <v>0</v>
      </c>
      <c r="N977" s="49">
        <f>M977-H977</f>
        <v>0</v>
      </c>
      <c r="O977" s="50" t="str">
        <f>IF(H977=0,"No plan at start",M977/H977)</f>
        <v>No plan at start</v>
      </c>
    </row>
    <row r="978" spans="2:15" hidden="1" outlineLevel="2" x14ac:dyDescent="0.2">
      <c r="B978" s="49" t="s">
        <v>96</v>
      </c>
      <c r="C978" s="49" t="s">
        <v>59</v>
      </c>
      <c r="D978" s="49">
        <v>0</v>
      </c>
      <c r="E978" s="49">
        <v>0</v>
      </c>
      <c r="F978" s="49">
        <f>E978-D978</f>
        <v>0</v>
      </c>
      <c r="G978" s="50">
        <f>IF(D978=0,0,ABS(F978/D978))</f>
        <v>0</v>
      </c>
      <c r="H978" s="49">
        <v>0</v>
      </c>
      <c r="I978" s="49">
        <v>0</v>
      </c>
      <c r="J978" s="51" t="str">
        <f>IF(H978=0,"No plan at start",I978/H978)</f>
        <v>No plan at start</v>
      </c>
      <c r="K978" s="52">
        <f>H978-I978</f>
        <v>0</v>
      </c>
      <c r="L978" s="49">
        <v>0</v>
      </c>
      <c r="M978" s="49">
        <f>I978+L978</f>
        <v>0</v>
      </c>
      <c r="N978" s="49">
        <f>M978-H978</f>
        <v>0</v>
      </c>
      <c r="O978" s="50" t="str">
        <f>IF(H978=0,"No plan at start",M978/H978)</f>
        <v>No plan at start</v>
      </c>
    </row>
    <row r="979" spans="2:15" hidden="1" outlineLevel="2" x14ac:dyDescent="0.2">
      <c r="B979" s="49" t="s">
        <v>96</v>
      </c>
      <c r="C979" s="49" t="s">
        <v>60</v>
      </c>
      <c r="D979" s="49">
        <v>0</v>
      </c>
      <c r="E979" s="49">
        <v>0</v>
      </c>
      <c r="F979" s="49">
        <f>E979-D979</f>
        <v>0</v>
      </c>
      <c r="G979" s="50">
        <f>IF(D979=0,0,ABS(F979/D979))</f>
        <v>0</v>
      </c>
      <c r="H979" s="49">
        <v>0</v>
      </c>
      <c r="I979" s="49">
        <v>0</v>
      </c>
      <c r="J979" s="51" t="str">
        <f>IF(H979=0,"No plan at start",I979/H979)</f>
        <v>No plan at start</v>
      </c>
      <c r="K979" s="52">
        <f>H979-I979</f>
        <v>0</v>
      </c>
      <c r="L979" s="49">
        <v>0</v>
      </c>
      <c r="M979" s="49">
        <f>I979+L979</f>
        <v>0</v>
      </c>
      <c r="N979" s="49">
        <f>M979-H979</f>
        <v>0</v>
      </c>
      <c r="O979" s="50" t="str">
        <f>IF(H979=0,"No plan at start",M979/H979)</f>
        <v>No plan at start</v>
      </c>
    </row>
    <row r="980" spans="2:15" hidden="1" outlineLevel="2" x14ac:dyDescent="0.2">
      <c r="B980" s="49" t="s">
        <v>96</v>
      </c>
      <c r="C980" s="49" t="s">
        <v>61</v>
      </c>
      <c r="D980" s="49">
        <v>0</v>
      </c>
      <c r="E980" s="49">
        <v>0</v>
      </c>
      <c r="F980" s="49">
        <f>E980-D980</f>
        <v>0</v>
      </c>
      <c r="G980" s="50">
        <f>IF(D980=0,0,ABS(F980/D980))</f>
        <v>0</v>
      </c>
      <c r="H980" s="49">
        <v>0</v>
      </c>
      <c r="I980" s="49">
        <v>0</v>
      </c>
      <c r="J980" s="51" t="str">
        <f>IF(H980=0,"No plan at start",I980/H980)</f>
        <v>No plan at start</v>
      </c>
      <c r="K980" s="52">
        <f>H980-I980</f>
        <v>0</v>
      </c>
      <c r="L980" s="49">
        <v>0</v>
      </c>
      <c r="M980" s="49">
        <f>I980+L980</f>
        <v>0</v>
      </c>
      <c r="N980" s="49">
        <f>M980-H980</f>
        <v>0</v>
      </c>
      <c r="O980" s="50" t="str">
        <f>IF(H980=0,"No plan at start",M980/H980)</f>
        <v>No plan at start</v>
      </c>
    </row>
    <row r="981" spans="2:15" hidden="1" outlineLevel="2" x14ac:dyDescent="0.2">
      <c r="B981" s="49" t="s">
        <v>96</v>
      </c>
      <c r="C981" s="49" t="s">
        <v>62</v>
      </c>
      <c r="D981" s="49">
        <v>0</v>
      </c>
      <c r="E981" s="49">
        <v>0</v>
      </c>
      <c r="F981" s="49">
        <f>E981-D981</f>
        <v>0</v>
      </c>
      <c r="G981" s="50">
        <f>IF(D981=0,0,ABS(F981/D981))</f>
        <v>0</v>
      </c>
      <c r="H981" s="49">
        <v>0</v>
      </c>
      <c r="I981" s="49">
        <v>0</v>
      </c>
      <c r="J981" s="51" t="str">
        <f>IF(H981=0,"No plan at start",I981/H981)</f>
        <v>No plan at start</v>
      </c>
      <c r="K981" s="52">
        <f>H981-I981</f>
        <v>0</v>
      </c>
      <c r="L981" s="49">
        <v>0</v>
      </c>
      <c r="M981" s="49">
        <f>I981+L981</f>
        <v>0</v>
      </c>
      <c r="N981" s="49">
        <f>M981-H981</f>
        <v>0</v>
      </c>
      <c r="O981" s="50" t="str">
        <f>IF(H981=0,"No plan at start",M981/H981)</f>
        <v>No plan at start</v>
      </c>
    </row>
    <row r="982" spans="2:15" outlineLevel="1" collapsed="1" x14ac:dyDescent="0.2">
      <c r="B982" s="56" t="s">
        <v>135</v>
      </c>
      <c r="C982" s="49"/>
      <c r="D982" s="49">
        <f>SUBTOTAL(9,D970:D981)</f>
        <v>197.6</v>
      </c>
      <c r="E982" s="49">
        <f>SUBTOTAL(9,E970:E981)</f>
        <v>0</v>
      </c>
      <c r="F982" s="49">
        <f>SUBTOTAL(9,F970:F981)</f>
        <v>-197.6</v>
      </c>
      <c r="G982" s="50">
        <f>IF(D982=0,0,ABS(F982/D982))</f>
        <v>1</v>
      </c>
      <c r="H982" s="49">
        <f>SUBTOTAL(9,H970:H981)</f>
        <v>4305.6000000000004</v>
      </c>
      <c r="I982" s="49">
        <f>SUBTOTAL(9,I970:I981)</f>
        <v>338</v>
      </c>
      <c r="J982" s="51">
        <f>IF(H982=0,"No plan at start",I982/H982)</f>
        <v>7.8502415458937186E-2</v>
      </c>
      <c r="K982" s="52">
        <f>SUBTOTAL(9,K970:K981)</f>
        <v>3967.6</v>
      </c>
      <c r="L982" s="49">
        <f>SUBTOTAL(9,L970:L981)</f>
        <v>0</v>
      </c>
      <c r="M982" s="49">
        <f>SUBTOTAL(9,M970:M981)</f>
        <v>338</v>
      </c>
      <c r="N982" s="49">
        <f>SUBTOTAL(9,N970:N981)</f>
        <v>-3967.6</v>
      </c>
      <c r="O982" s="50">
        <f>IF(H982=0,"No plan at start",M982/H982)</f>
        <v>7.8502415458937186E-2</v>
      </c>
    </row>
    <row r="983" spans="2:15" hidden="1" outlineLevel="2" x14ac:dyDescent="0.2">
      <c r="B983" s="49" t="s">
        <v>97</v>
      </c>
      <c r="C983" s="49" t="s">
        <v>52</v>
      </c>
      <c r="D983" s="49">
        <v>0</v>
      </c>
      <c r="E983" s="49">
        <v>0</v>
      </c>
      <c r="F983" s="49">
        <f>E983-D983</f>
        <v>0</v>
      </c>
      <c r="G983" s="50">
        <f>IF(D983=0,0,ABS(F983/D983))</f>
        <v>0</v>
      </c>
      <c r="H983" s="49">
        <v>0</v>
      </c>
      <c r="I983" s="49">
        <v>0</v>
      </c>
      <c r="J983" s="51" t="str">
        <f>IF(H983=0,"No plan at start",I983/H983)</f>
        <v>No plan at start</v>
      </c>
      <c r="K983" s="52">
        <f>H983-I983</f>
        <v>0</v>
      </c>
      <c r="L983" s="49">
        <v>0</v>
      </c>
      <c r="M983" s="49">
        <f>I983+L983</f>
        <v>0</v>
      </c>
      <c r="N983" s="49">
        <f>M983-H983</f>
        <v>0</v>
      </c>
      <c r="O983" s="50" t="str">
        <f>IF(H983=0,"No plan at start",M983/H983)</f>
        <v>No plan at start</v>
      </c>
    </row>
    <row r="984" spans="2:15" hidden="1" outlineLevel="2" x14ac:dyDescent="0.2">
      <c r="B984" s="49" t="s">
        <v>97</v>
      </c>
      <c r="C984" s="49" t="s">
        <v>53</v>
      </c>
      <c r="D984" s="49">
        <v>0</v>
      </c>
      <c r="E984" s="49">
        <v>0</v>
      </c>
      <c r="F984" s="49">
        <f>E984-D984</f>
        <v>0</v>
      </c>
      <c r="G984" s="50">
        <f>IF(D984=0,0,ABS(F984/D984))</f>
        <v>0</v>
      </c>
      <c r="H984" s="49">
        <v>0</v>
      </c>
      <c r="I984" s="49">
        <v>0</v>
      </c>
      <c r="J984" s="51" t="str">
        <f>IF(H984=0,"No plan at start",I984/H984)</f>
        <v>No plan at start</v>
      </c>
      <c r="K984" s="52">
        <f>H984-I984</f>
        <v>0</v>
      </c>
      <c r="L984" s="49">
        <v>0</v>
      </c>
      <c r="M984" s="49">
        <f>I984+L984</f>
        <v>0</v>
      </c>
      <c r="N984" s="49">
        <f>M984-H984</f>
        <v>0</v>
      </c>
      <c r="O984" s="50" t="str">
        <f>IF(H984=0,"No plan at start",M984/H984)</f>
        <v>No plan at start</v>
      </c>
    </row>
    <row r="985" spans="2:15" hidden="1" outlineLevel="2" x14ac:dyDescent="0.2">
      <c r="B985" s="49" t="s">
        <v>97</v>
      </c>
      <c r="C985" s="49" t="s">
        <v>54</v>
      </c>
      <c r="D985" s="49">
        <v>0</v>
      </c>
      <c r="E985" s="49">
        <v>0</v>
      </c>
      <c r="F985" s="49">
        <f>E985-D985</f>
        <v>0</v>
      </c>
      <c r="G985" s="50">
        <f>IF(D985=0,0,ABS(F985/D985))</f>
        <v>0</v>
      </c>
      <c r="H985" s="49">
        <v>0</v>
      </c>
      <c r="I985" s="49">
        <v>0</v>
      </c>
      <c r="J985" s="51" t="str">
        <f>IF(H985=0,"No plan at start",I985/H985)</f>
        <v>No plan at start</v>
      </c>
      <c r="K985" s="52">
        <f>H985-I985</f>
        <v>0</v>
      </c>
      <c r="L985" s="49">
        <v>0</v>
      </c>
      <c r="M985" s="49">
        <f>I985+L985</f>
        <v>0</v>
      </c>
      <c r="N985" s="49">
        <f>M985-H985</f>
        <v>0</v>
      </c>
      <c r="O985" s="50" t="str">
        <f>IF(H985=0,"No plan at start",M985/H985)</f>
        <v>No plan at start</v>
      </c>
    </row>
    <row r="986" spans="2:15" hidden="1" outlineLevel="2" x14ac:dyDescent="0.2">
      <c r="B986" s="49" t="s">
        <v>97</v>
      </c>
      <c r="C986" s="49" t="s">
        <v>55</v>
      </c>
      <c r="D986" s="49">
        <v>0</v>
      </c>
      <c r="E986" s="49">
        <v>0</v>
      </c>
      <c r="F986" s="49">
        <f>E986-D986</f>
        <v>0</v>
      </c>
      <c r="G986" s="50">
        <f>IF(D986=0,0,ABS(F986/D986))</f>
        <v>0</v>
      </c>
      <c r="H986" s="49">
        <v>0</v>
      </c>
      <c r="I986" s="49">
        <v>0</v>
      </c>
      <c r="J986" s="51" t="str">
        <f>IF(H986=0,"No plan at start",I986/H986)</f>
        <v>No plan at start</v>
      </c>
      <c r="K986" s="52">
        <f>H986-I986</f>
        <v>0</v>
      </c>
      <c r="L986" s="49">
        <v>0</v>
      </c>
      <c r="M986" s="49">
        <f>I986+L986</f>
        <v>0</v>
      </c>
      <c r="N986" s="49">
        <f>M986-H986</f>
        <v>0</v>
      </c>
      <c r="O986" s="50" t="str">
        <f>IF(H986=0,"No plan at start",M986/H986)</f>
        <v>No plan at start</v>
      </c>
    </row>
    <row r="987" spans="2:15" hidden="1" outlineLevel="2" x14ac:dyDescent="0.2">
      <c r="B987" s="49" t="s">
        <v>97</v>
      </c>
      <c r="C987" s="49" t="s">
        <v>56</v>
      </c>
      <c r="D987" s="49">
        <v>0</v>
      </c>
      <c r="E987" s="49">
        <v>0</v>
      </c>
      <c r="F987" s="49">
        <f>E987-D987</f>
        <v>0</v>
      </c>
      <c r="G987" s="50">
        <f>IF(D987=0,0,ABS(F987/D987))</f>
        <v>0</v>
      </c>
      <c r="H987" s="49">
        <v>0</v>
      </c>
      <c r="I987" s="49">
        <v>0</v>
      </c>
      <c r="J987" s="51" t="str">
        <f>IF(H987=0,"No plan at start",I987/H987)</f>
        <v>No plan at start</v>
      </c>
      <c r="K987" s="52">
        <f>H987-I987</f>
        <v>0</v>
      </c>
      <c r="L987" s="49">
        <v>0</v>
      </c>
      <c r="M987" s="49">
        <f>I987+L987</f>
        <v>0</v>
      </c>
      <c r="N987" s="49">
        <f>M987-H987</f>
        <v>0</v>
      </c>
      <c r="O987" s="50" t="str">
        <f>IF(H987=0,"No plan at start",M987/H987)</f>
        <v>No plan at start</v>
      </c>
    </row>
    <row r="988" spans="2:15" hidden="1" outlineLevel="2" x14ac:dyDescent="0.2">
      <c r="B988" s="49" t="s">
        <v>97</v>
      </c>
      <c r="C988" s="49" t="s">
        <v>57</v>
      </c>
      <c r="D988" s="49">
        <v>0</v>
      </c>
      <c r="E988" s="49">
        <v>0</v>
      </c>
      <c r="F988" s="49">
        <f>E988-D988</f>
        <v>0</v>
      </c>
      <c r="G988" s="50">
        <f>IF(D988=0,0,ABS(F988/D988))</f>
        <v>0</v>
      </c>
      <c r="H988" s="49">
        <v>0</v>
      </c>
      <c r="I988" s="49">
        <v>0</v>
      </c>
      <c r="J988" s="51" t="str">
        <f>IF(H988=0,"No plan at start",I988/H988)</f>
        <v>No plan at start</v>
      </c>
      <c r="K988" s="52">
        <f>H988-I988</f>
        <v>0</v>
      </c>
      <c r="L988" s="49">
        <v>0</v>
      </c>
      <c r="M988" s="49">
        <f>I988+L988</f>
        <v>0</v>
      </c>
      <c r="N988" s="49">
        <f>M988-H988</f>
        <v>0</v>
      </c>
      <c r="O988" s="50" t="str">
        <f>IF(H988=0,"No plan at start",M988/H988)</f>
        <v>No plan at start</v>
      </c>
    </row>
    <row r="989" spans="2:15" hidden="1" outlineLevel="2" x14ac:dyDescent="0.2">
      <c r="B989" s="49" t="s">
        <v>97</v>
      </c>
      <c r="C989" s="49" t="s">
        <v>48</v>
      </c>
      <c r="D989" s="49">
        <v>0</v>
      </c>
      <c r="E989" s="49">
        <v>0</v>
      </c>
      <c r="F989" s="49">
        <f>E989-D989</f>
        <v>0</v>
      </c>
      <c r="G989" s="50">
        <f>IF(D989=0,0,ABS(F989/D989))</f>
        <v>0</v>
      </c>
      <c r="H989" s="49">
        <v>0</v>
      </c>
      <c r="I989" s="49">
        <v>0</v>
      </c>
      <c r="J989" s="51" t="str">
        <f>IF(H989=0,"No plan at start",I989/H989)</f>
        <v>No plan at start</v>
      </c>
      <c r="K989" s="52">
        <f>H989-I989</f>
        <v>0</v>
      </c>
      <c r="L989" s="49">
        <v>0</v>
      </c>
      <c r="M989" s="49">
        <f>I989+L989</f>
        <v>0</v>
      </c>
      <c r="N989" s="49">
        <f>M989-H989</f>
        <v>0</v>
      </c>
      <c r="O989" s="50" t="str">
        <f>IF(H989=0,"No plan at start",M989/H989)</f>
        <v>No plan at start</v>
      </c>
    </row>
    <row r="990" spans="2:15" hidden="1" outlineLevel="2" x14ac:dyDescent="0.2">
      <c r="B990" s="49" t="s">
        <v>97</v>
      </c>
      <c r="C990" s="49" t="s">
        <v>58</v>
      </c>
      <c r="D990" s="49">
        <v>0</v>
      </c>
      <c r="E990" s="49">
        <v>0</v>
      </c>
      <c r="F990" s="49">
        <f>E990-D990</f>
        <v>0</v>
      </c>
      <c r="G990" s="50">
        <f>IF(D990=0,0,ABS(F990/D990))</f>
        <v>0</v>
      </c>
      <c r="H990" s="49">
        <v>0</v>
      </c>
      <c r="I990" s="49">
        <v>0</v>
      </c>
      <c r="J990" s="51" t="str">
        <f>IF(H990=0,"No plan at start",I990/H990)</f>
        <v>No plan at start</v>
      </c>
      <c r="K990" s="52">
        <f>H990-I990</f>
        <v>0</v>
      </c>
      <c r="L990" s="49">
        <v>0</v>
      </c>
      <c r="M990" s="49">
        <f>I990+L990</f>
        <v>0</v>
      </c>
      <c r="N990" s="49">
        <f>M990-H990</f>
        <v>0</v>
      </c>
      <c r="O990" s="50" t="str">
        <f>IF(H990=0,"No plan at start",M990/H990)</f>
        <v>No plan at start</v>
      </c>
    </row>
    <row r="991" spans="2:15" hidden="1" outlineLevel="2" x14ac:dyDescent="0.2">
      <c r="B991" s="49" t="s">
        <v>97</v>
      </c>
      <c r="C991" s="49" t="s">
        <v>59</v>
      </c>
      <c r="D991" s="49">
        <v>0</v>
      </c>
      <c r="E991" s="49">
        <v>0</v>
      </c>
      <c r="F991" s="49">
        <f>E991-D991</f>
        <v>0</v>
      </c>
      <c r="G991" s="50">
        <f>IF(D991=0,0,ABS(F991/D991))</f>
        <v>0</v>
      </c>
      <c r="H991" s="49">
        <v>0</v>
      </c>
      <c r="I991" s="49">
        <v>0</v>
      </c>
      <c r="J991" s="51" t="str">
        <f>IF(H991=0,"No plan at start",I991/H991)</f>
        <v>No plan at start</v>
      </c>
      <c r="K991" s="52">
        <f>H991-I991</f>
        <v>0</v>
      </c>
      <c r="L991" s="49">
        <v>0</v>
      </c>
      <c r="M991" s="49">
        <f>I991+L991</f>
        <v>0</v>
      </c>
      <c r="N991" s="49">
        <f>M991-H991</f>
        <v>0</v>
      </c>
      <c r="O991" s="50" t="str">
        <f>IF(H991=0,"No plan at start",M991/H991)</f>
        <v>No plan at start</v>
      </c>
    </row>
    <row r="992" spans="2:15" hidden="1" outlineLevel="2" x14ac:dyDescent="0.2">
      <c r="B992" s="49" t="s">
        <v>97</v>
      </c>
      <c r="C992" s="49" t="s">
        <v>60</v>
      </c>
      <c r="D992" s="49">
        <v>0</v>
      </c>
      <c r="E992" s="49">
        <v>0</v>
      </c>
      <c r="F992" s="49">
        <f>E992-D992</f>
        <v>0</v>
      </c>
      <c r="G992" s="50">
        <f>IF(D992=0,0,ABS(F992/D992))</f>
        <v>0</v>
      </c>
      <c r="H992" s="49">
        <v>0</v>
      </c>
      <c r="I992" s="49">
        <v>0</v>
      </c>
      <c r="J992" s="51" t="str">
        <f>IF(H992=0,"No plan at start",I992/H992)</f>
        <v>No plan at start</v>
      </c>
      <c r="K992" s="52">
        <f>H992-I992</f>
        <v>0</v>
      </c>
      <c r="L992" s="49">
        <v>0</v>
      </c>
      <c r="M992" s="49">
        <f>I992+L992</f>
        <v>0</v>
      </c>
      <c r="N992" s="49">
        <f>M992-H992</f>
        <v>0</v>
      </c>
      <c r="O992" s="50" t="str">
        <f>IF(H992=0,"No plan at start",M992/H992)</f>
        <v>No plan at start</v>
      </c>
    </row>
    <row r="993" spans="2:15" hidden="1" outlineLevel="2" x14ac:dyDescent="0.2">
      <c r="B993" s="49" t="s">
        <v>97</v>
      </c>
      <c r="C993" s="49" t="s">
        <v>61</v>
      </c>
      <c r="D993" s="49">
        <v>0</v>
      </c>
      <c r="E993" s="49">
        <v>0</v>
      </c>
      <c r="F993" s="49">
        <f>E993-D993</f>
        <v>0</v>
      </c>
      <c r="G993" s="50">
        <f>IF(D993=0,0,ABS(F993/D993))</f>
        <v>0</v>
      </c>
      <c r="H993" s="49">
        <v>0</v>
      </c>
      <c r="I993" s="49">
        <v>0</v>
      </c>
      <c r="J993" s="51" t="str">
        <f>IF(H993=0,"No plan at start",I993/H993)</f>
        <v>No plan at start</v>
      </c>
      <c r="K993" s="52">
        <f>H993-I993</f>
        <v>0</v>
      </c>
      <c r="L993" s="49">
        <v>0</v>
      </c>
      <c r="M993" s="49">
        <f>I993+L993</f>
        <v>0</v>
      </c>
      <c r="N993" s="49">
        <f>M993-H993</f>
        <v>0</v>
      </c>
      <c r="O993" s="50" t="str">
        <f>IF(H993=0,"No plan at start",M993/H993)</f>
        <v>No plan at start</v>
      </c>
    </row>
    <row r="994" spans="2:15" hidden="1" outlineLevel="2" x14ac:dyDescent="0.2">
      <c r="B994" s="49" t="s">
        <v>97</v>
      </c>
      <c r="C994" s="49" t="s">
        <v>62</v>
      </c>
      <c r="D994" s="49">
        <v>0</v>
      </c>
      <c r="E994" s="49">
        <v>0</v>
      </c>
      <c r="F994" s="49">
        <f>E994-D994</f>
        <v>0</v>
      </c>
      <c r="G994" s="50">
        <f>IF(D994=0,0,ABS(F994/D994))</f>
        <v>0</v>
      </c>
      <c r="H994" s="49">
        <v>0</v>
      </c>
      <c r="I994" s="49">
        <v>0</v>
      </c>
      <c r="J994" s="51" t="str">
        <f>IF(H994=0,"No plan at start",I994/H994)</f>
        <v>No plan at start</v>
      </c>
      <c r="K994" s="52">
        <f>H994-I994</f>
        <v>0</v>
      </c>
      <c r="L994" s="49">
        <v>0</v>
      </c>
      <c r="M994" s="49">
        <f>I994+L994</f>
        <v>0</v>
      </c>
      <c r="N994" s="49">
        <f>M994-H994</f>
        <v>0</v>
      </c>
      <c r="O994" s="50" t="str">
        <f>IF(H994=0,"No plan at start",M994/H994)</f>
        <v>No plan at start</v>
      </c>
    </row>
    <row r="995" spans="2:15" outlineLevel="1" collapsed="1" x14ac:dyDescent="0.2">
      <c r="B995" s="56" t="s">
        <v>136</v>
      </c>
      <c r="C995" s="49"/>
      <c r="D995" s="49">
        <f>SUBTOTAL(9,D983:D994)</f>
        <v>0</v>
      </c>
      <c r="E995" s="49">
        <f>SUBTOTAL(9,E983:E994)</f>
        <v>0</v>
      </c>
      <c r="F995" s="49">
        <f>SUBTOTAL(9,F983:F994)</f>
        <v>0</v>
      </c>
      <c r="G995" s="50">
        <f>IF(D995=0,0,ABS(F995/D995))</f>
        <v>0</v>
      </c>
      <c r="H995" s="49">
        <f>SUBTOTAL(9,H983:H994)</f>
        <v>0</v>
      </c>
      <c r="I995" s="49">
        <f>SUBTOTAL(9,I983:I994)</f>
        <v>0</v>
      </c>
      <c r="J995" s="51" t="str">
        <f>IF(H995=0,"No plan at start",I995/H995)</f>
        <v>No plan at start</v>
      </c>
      <c r="K995" s="52">
        <f>SUBTOTAL(9,K983:K994)</f>
        <v>0</v>
      </c>
      <c r="L995" s="49">
        <f>SUBTOTAL(9,L983:L994)</f>
        <v>0</v>
      </c>
      <c r="M995" s="49">
        <f>SUBTOTAL(9,M983:M994)</f>
        <v>0</v>
      </c>
      <c r="N995" s="49">
        <f>SUBTOTAL(9,N983:N994)</f>
        <v>0</v>
      </c>
      <c r="O995" s="50" t="str">
        <f>IF(H995=0,"No plan at start",M995/H995)</f>
        <v>No plan at start</v>
      </c>
    </row>
    <row r="996" spans="2:15" hidden="1" outlineLevel="2" x14ac:dyDescent="0.2">
      <c r="B996" s="49" t="s">
        <v>98</v>
      </c>
      <c r="C996" s="49" t="s">
        <v>52</v>
      </c>
      <c r="D996" s="49">
        <v>0</v>
      </c>
      <c r="E996" s="49">
        <v>0</v>
      </c>
      <c r="F996" s="49">
        <f>E996-D996</f>
        <v>0</v>
      </c>
      <c r="G996" s="50">
        <f>IF(D996=0,0,ABS(F996/D996))</f>
        <v>0</v>
      </c>
      <c r="H996" s="49">
        <v>0</v>
      </c>
      <c r="I996" s="49">
        <v>0</v>
      </c>
      <c r="J996" s="51" t="str">
        <f>IF(H996=0,"No plan at start",I996/H996)</f>
        <v>No plan at start</v>
      </c>
      <c r="K996" s="52">
        <f>H996-I996</f>
        <v>0</v>
      </c>
      <c r="L996" s="49">
        <v>0</v>
      </c>
      <c r="M996" s="49">
        <f>I996+L996</f>
        <v>0</v>
      </c>
      <c r="N996" s="49">
        <f>M996-H996</f>
        <v>0</v>
      </c>
      <c r="O996" s="50" t="str">
        <f>IF(H996=0,"No plan at start",M996/H996)</f>
        <v>No plan at start</v>
      </c>
    </row>
    <row r="997" spans="2:15" hidden="1" outlineLevel="2" x14ac:dyDescent="0.2">
      <c r="B997" s="49" t="s">
        <v>98</v>
      </c>
      <c r="C997" s="49" t="s">
        <v>53</v>
      </c>
      <c r="D997" s="49">
        <v>0</v>
      </c>
      <c r="E997" s="49">
        <v>0</v>
      </c>
      <c r="F997" s="49">
        <f>E997-D997</f>
        <v>0</v>
      </c>
      <c r="G997" s="50">
        <f>IF(D997=0,0,ABS(F997/D997))</f>
        <v>0</v>
      </c>
      <c r="H997" s="49">
        <v>0</v>
      </c>
      <c r="I997" s="49">
        <v>0</v>
      </c>
      <c r="J997" s="51" t="str">
        <f>IF(H997=0,"No plan at start",I997/H997)</f>
        <v>No plan at start</v>
      </c>
      <c r="K997" s="52">
        <f>H997-I997</f>
        <v>0</v>
      </c>
      <c r="L997" s="49">
        <v>0</v>
      </c>
      <c r="M997" s="49">
        <f>I997+L997</f>
        <v>0</v>
      </c>
      <c r="N997" s="49">
        <f>M997-H997</f>
        <v>0</v>
      </c>
      <c r="O997" s="50" t="str">
        <f>IF(H997=0,"No plan at start",M997/H997)</f>
        <v>No plan at start</v>
      </c>
    </row>
    <row r="998" spans="2:15" hidden="1" outlineLevel="2" x14ac:dyDescent="0.2">
      <c r="B998" s="49" t="s">
        <v>98</v>
      </c>
      <c r="C998" s="49" t="s">
        <v>54</v>
      </c>
      <c r="D998" s="49">
        <v>0</v>
      </c>
      <c r="E998" s="49">
        <v>0</v>
      </c>
      <c r="F998" s="49">
        <f>E998-D998</f>
        <v>0</v>
      </c>
      <c r="G998" s="50">
        <f>IF(D998=0,0,ABS(F998/D998))</f>
        <v>0</v>
      </c>
      <c r="H998" s="49">
        <v>0</v>
      </c>
      <c r="I998" s="49">
        <v>0</v>
      </c>
      <c r="J998" s="51" t="str">
        <f>IF(H998=0,"No plan at start",I998/H998)</f>
        <v>No plan at start</v>
      </c>
      <c r="K998" s="52">
        <f>H998-I998</f>
        <v>0</v>
      </c>
      <c r="L998" s="49">
        <v>0</v>
      </c>
      <c r="M998" s="49">
        <f>I998+L998</f>
        <v>0</v>
      </c>
      <c r="N998" s="49">
        <f>M998-H998</f>
        <v>0</v>
      </c>
      <c r="O998" s="50" t="str">
        <f>IF(H998=0,"No plan at start",M998/H998)</f>
        <v>No plan at start</v>
      </c>
    </row>
    <row r="999" spans="2:15" hidden="1" outlineLevel="2" x14ac:dyDescent="0.2">
      <c r="B999" s="49" t="s">
        <v>98</v>
      </c>
      <c r="C999" s="49" t="s">
        <v>55</v>
      </c>
      <c r="D999" s="49">
        <v>0</v>
      </c>
      <c r="E999" s="49">
        <v>0</v>
      </c>
      <c r="F999" s="49">
        <f>E999-D999</f>
        <v>0</v>
      </c>
      <c r="G999" s="50">
        <f>IF(D999=0,0,ABS(F999/D999))</f>
        <v>0</v>
      </c>
      <c r="H999" s="49">
        <v>0</v>
      </c>
      <c r="I999" s="49">
        <v>0</v>
      </c>
      <c r="J999" s="51" t="str">
        <f>IF(H999=0,"No plan at start",I999/H999)</f>
        <v>No plan at start</v>
      </c>
      <c r="K999" s="52">
        <f>H999-I999</f>
        <v>0</v>
      </c>
      <c r="L999" s="49">
        <v>0</v>
      </c>
      <c r="M999" s="49">
        <f>I999+L999</f>
        <v>0</v>
      </c>
      <c r="N999" s="49">
        <f>M999-H999</f>
        <v>0</v>
      </c>
      <c r="O999" s="50" t="str">
        <f>IF(H999=0,"No plan at start",M999/H999)</f>
        <v>No plan at start</v>
      </c>
    </row>
    <row r="1000" spans="2:15" hidden="1" outlineLevel="2" x14ac:dyDescent="0.2">
      <c r="B1000" s="49" t="s">
        <v>98</v>
      </c>
      <c r="C1000" s="49" t="s">
        <v>56</v>
      </c>
      <c r="D1000" s="49">
        <v>0</v>
      </c>
      <c r="E1000" s="49">
        <v>0</v>
      </c>
      <c r="F1000" s="49">
        <f>E1000-D1000</f>
        <v>0</v>
      </c>
      <c r="G1000" s="50">
        <f>IF(D1000=0,0,ABS(F1000/D1000))</f>
        <v>0</v>
      </c>
      <c r="H1000" s="49">
        <v>0</v>
      </c>
      <c r="I1000" s="49">
        <v>0</v>
      </c>
      <c r="J1000" s="51" t="str">
        <f>IF(H1000=0,"No plan at start",I1000/H1000)</f>
        <v>No plan at start</v>
      </c>
      <c r="K1000" s="52">
        <f>H1000-I1000</f>
        <v>0</v>
      </c>
      <c r="L1000" s="49">
        <v>0</v>
      </c>
      <c r="M1000" s="49">
        <f>I1000+L1000</f>
        <v>0</v>
      </c>
      <c r="N1000" s="49">
        <f>M1000-H1000</f>
        <v>0</v>
      </c>
      <c r="O1000" s="50" t="str">
        <f>IF(H1000=0,"No plan at start",M1000/H1000)</f>
        <v>No plan at start</v>
      </c>
    </row>
    <row r="1001" spans="2:15" hidden="1" outlineLevel="2" x14ac:dyDescent="0.2">
      <c r="B1001" s="49" t="s">
        <v>98</v>
      </c>
      <c r="C1001" s="49" t="s">
        <v>57</v>
      </c>
      <c r="D1001" s="49">
        <v>0</v>
      </c>
      <c r="E1001" s="49">
        <v>0</v>
      </c>
      <c r="F1001" s="49">
        <f>E1001-D1001</f>
        <v>0</v>
      </c>
      <c r="G1001" s="50">
        <f>IF(D1001=0,0,ABS(F1001/D1001))</f>
        <v>0</v>
      </c>
      <c r="H1001" s="49">
        <v>0</v>
      </c>
      <c r="I1001" s="49">
        <v>0</v>
      </c>
      <c r="J1001" s="51" t="str">
        <f>IF(H1001=0,"No plan at start",I1001/H1001)</f>
        <v>No plan at start</v>
      </c>
      <c r="K1001" s="52">
        <f>H1001-I1001</f>
        <v>0</v>
      </c>
      <c r="L1001" s="49">
        <v>0</v>
      </c>
      <c r="M1001" s="49">
        <f>I1001+L1001</f>
        <v>0</v>
      </c>
      <c r="N1001" s="49">
        <f>M1001-H1001</f>
        <v>0</v>
      </c>
      <c r="O1001" s="50" t="str">
        <f>IF(H1001=0,"No plan at start",M1001/H1001)</f>
        <v>No plan at start</v>
      </c>
    </row>
    <row r="1002" spans="2:15" hidden="1" outlineLevel="2" x14ac:dyDescent="0.2">
      <c r="B1002" s="49" t="s">
        <v>98</v>
      </c>
      <c r="C1002" s="49" t="s">
        <v>48</v>
      </c>
      <c r="D1002" s="49">
        <v>0</v>
      </c>
      <c r="E1002" s="49">
        <v>0</v>
      </c>
      <c r="F1002" s="49">
        <f>E1002-D1002</f>
        <v>0</v>
      </c>
      <c r="G1002" s="50">
        <f>IF(D1002=0,0,ABS(F1002/D1002))</f>
        <v>0</v>
      </c>
      <c r="H1002" s="49">
        <v>0</v>
      </c>
      <c r="I1002" s="49">
        <v>0</v>
      </c>
      <c r="J1002" s="51" t="str">
        <f>IF(H1002=0,"No plan at start",I1002/H1002)</f>
        <v>No plan at start</v>
      </c>
      <c r="K1002" s="52">
        <f>H1002-I1002</f>
        <v>0</v>
      </c>
      <c r="L1002" s="49">
        <v>0</v>
      </c>
      <c r="M1002" s="49">
        <f>I1002+L1002</f>
        <v>0</v>
      </c>
      <c r="N1002" s="49">
        <f>M1002-H1002</f>
        <v>0</v>
      </c>
      <c r="O1002" s="50" t="str">
        <f>IF(H1002=0,"No plan at start",M1002/H1002)</f>
        <v>No plan at start</v>
      </c>
    </row>
    <row r="1003" spans="2:15" hidden="1" outlineLevel="2" x14ac:dyDescent="0.2">
      <c r="B1003" s="49" t="s">
        <v>98</v>
      </c>
      <c r="C1003" s="49" t="s">
        <v>58</v>
      </c>
      <c r="D1003" s="49">
        <v>0</v>
      </c>
      <c r="E1003" s="49">
        <v>0</v>
      </c>
      <c r="F1003" s="49">
        <f>E1003-D1003</f>
        <v>0</v>
      </c>
      <c r="G1003" s="50">
        <f>IF(D1003=0,0,ABS(F1003/D1003))</f>
        <v>0</v>
      </c>
      <c r="H1003" s="49">
        <v>0</v>
      </c>
      <c r="I1003" s="49">
        <v>0</v>
      </c>
      <c r="J1003" s="51" t="str">
        <f>IF(H1003=0,"No plan at start",I1003/H1003)</f>
        <v>No plan at start</v>
      </c>
      <c r="K1003" s="52">
        <f>H1003-I1003</f>
        <v>0</v>
      </c>
      <c r="L1003" s="49">
        <v>0</v>
      </c>
      <c r="M1003" s="49">
        <f>I1003+L1003</f>
        <v>0</v>
      </c>
      <c r="N1003" s="49">
        <f>M1003-H1003</f>
        <v>0</v>
      </c>
      <c r="O1003" s="50" t="str">
        <f>IF(H1003=0,"No plan at start",M1003/H1003)</f>
        <v>No plan at start</v>
      </c>
    </row>
    <row r="1004" spans="2:15" hidden="1" outlineLevel="2" x14ac:dyDescent="0.2">
      <c r="B1004" s="49" t="s">
        <v>98</v>
      </c>
      <c r="C1004" s="49" t="s">
        <v>59</v>
      </c>
      <c r="D1004" s="49">
        <v>0</v>
      </c>
      <c r="E1004" s="49">
        <v>0</v>
      </c>
      <c r="F1004" s="49">
        <f>E1004-D1004</f>
        <v>0</v>
      </c>
      <c r="G1004" s="50">
        <f>IF(D1004=0,0,ABS(F1004/D1004))</f>
        <v>0</v>
      </c>
      <c r="H1004" s="49">
        <v>0</v>
      </c>
      <c r="I1004" s="49">
        <v>0</v>
      </c>
      <c r="J1004" s="51" t="str">
        <f>IF(H1004=0,"No plan at start",I1004/H1004)</f>
        <v>No plan at start</v>
      </c>
      <c r="K1004" s="52">
        <f>H1004-I1004</f>
        <v>0</v>
      </c>
      <c r="L1004" s="49">
        <v>0</v>
      </c>
      <c r="M1004" s="49">
        <f>I1004+L1004</f>
        <v>0</v>
      </c>
      <c r="N1004" s="49">
        <f>M1004-H1004</f>
        <v>0</v>
      </c>
      <c r="O1004" s="50" t="str">
        <f>IF(H1004=0,"No plan at start",M1004/H1004)</f>
        <v>No plan at start</v>
      </c>
    </row>
    <row r="1005" spans="2:15" hidden="1" outlineLevel="2" x14ac:dyDescent="0.2">
      <c r="B1005" s="49" t="s">
        <v>98</v>
      </c>
      <c r="C1005" s="49" t="s">
        <v>60</v>
      </c>
      <c r="D1005" s="49">
        <v>0</v>
      </c>
      <c r="E1005" s="49">
        <v>0</v>
      </c>
      <c r="F1005" s="49">
        <f>E1005-D1005</f>
        <v>0</v>
      </c>
      <c r="G1005" s="50">
        <f>IF(D1005=0,0,ABS(F1005/D1005))</f>
        <v>0</v>
      </c>
      <c r="H1005" s="49">
        <v>0</v>
      </c>
      <c r="I1005" s="49">
        <v>0</v>
      </c>
      <c r="J1005" s="51" t="str">
        <f>IF(H1005=0,"No plan at start",I1005/H1005)</f>
        <v>No plan at start</v>
      </c>
      <c r="K1005" s="52">
        <f>H1005-I1005</f>
        <v>0</v>
      </c>
      <c r="L1005" s="49">
        <v>0</v>
      </c>
      <c r="M1005" s="49">
        <f>I1005+L1005</f>
        <v>0</v>
      </c>
      <c r="N1005" s="49">
        <f>M1005-H1005</f>
        <v>0</v>
      </c>
      <c r="O1005" s="50" t="str">
        <f>IF(H1005=0,"No plan at start",M1005/H1005)</f>
        <v>No plan at start</v>
      </c>
    </row>
    <row r="1006" spans="2:15" hidden="1" outlineLevel="2" x14ac:dyDescent="0.2">
      <c r="B1006" s="49" t="s">
        <v>98</v>
      </c>
      <c r="C1006" s="49" t="s">
        <v>61</v>
      </c>
      <c r="D1006" s="49">
        <v>0</v>
      </c>
      <c r="E1006" s="49">
        <v>0</v>
      </c>
      <c r="F1006" s="49">
        <f>E1006-D1006</f>
        <v>0</v>
      </c>
      <c r="G1006" s="50">
        <f>IF(D1006=0,0,ABS(F1006/D1006))</f>
        <v>0</v>
      </c>
      <c r="H1006" s="49">
        <v>0</v>
      </c>
      <c r="I1006" s="49">
        <v>0</v>
      </c>
      <c r="J1006" s="51" t="str">
        <f>IF(H1006=0,"No plan at start",I1006/H1006)</f>
        <v>No plan at start</v>
      </c>
      <c r="K1006" s="52">
        <f>H1006-I1006</f>
        <v>0</v>
      </c>
      <c r="L1006" s="49">
        <v>0</v>
      </c>
      <c r="M1006" s="49">
        <f>I1006+L1006</f>
        <v>0</v>
      </c>
      <c r="N1006" s="49">
        <f>M1006-H1006</f>
        <v>0</v>
      </c>
      <c r="O1006" s="50" t="str">
        <f>IF(H1006=0,"No plan at start",M1006/H1006)</f>
        <v>No plan at start</v>
      </c>
    </row>
    <row r="1007" spans="2:15" hidden="1" outlineLevel="2" x14ac:dyDescent="0.2">
      <c r="B1007" s="49" t="s">
        <v>98</v>
      </c>
      <c r="C1007" s="49" t="s">
        <v>62</v>
      </c>
      <c r="D1007" s="49">
        <v>0</v>
      </c>
      <c r="E1007" s="49">
        <v>0</v>
      </c>
      <c r="F1007" s="49">
        <f>E1007-D1007</f>
        <v>0</v>
      </c>
      <c r="G1007" s="50">
        <f>IF(D1007=0,0,ABS(F1007/D1007))</f>
        <v>0</v>
      </c>
      <c r="H1007" s="49">
        <v>0</v>
      </c>
      <c r="I1007" s="49">
        <v>0</v>
      </c>
      <c r="J1007" s="51" t="str">
        <f>IF(H1007=0,"No plan at start",I1007/H1007)</f>
        <v>No plan at start</v>
      </c>
      <c r="K1007" s="52">
        <f>H1007-I1007</f>
        <v>0</v>
      </c>
      <c r="L1007" s="49">
        <v>0</v>
      </c>
      <c r="M1007" s="49">
        <f>I1007+L1007</f>
        <v>0</v>
      </c>
      <c r="N1007" s="49">
        <f>M1007-H1007</f>
        <v>0</v>
      </c>
      <c r="O1007" s="50" t="str">
        <f>IF(H1007=0,"No plan at start",M1007/H1007)</f>
        <v>No plan at start</v>
      </c>
    </row>
    <row r="1008" spans="2:15" outlineLevel="1" collapsed="1" x14ac:dyDescent="0.2">
      <c r="B1008" s="56" t="s">
        <v>137</v>
      </c>
      <c r="C1008" s="49"/>
      <c r="D1008" s="49">
        <f>SUBTOTAL(9,D996:D1007)</f>
        <v>0</v>
      </c>
      <c r="E1008" s="49">
        <f>SUBTOTAL(9,E996:E1007)</f>
        <v>0</v>
      </c>
      <c r="F1008" s="49">
        <f>SUBTOTAL(9,F996:F1007)</f>
        <v>0</v>
      </c>
      <c r="G1008" s="50">
        <f>IF(D1008=0,0,ABS(F1008/D1008))</f>
        <v>0</v>
      </c>
      <c r="H1008" s="49">
        <f>SUBTOTAL(9,H996:H1007)</f>
        <v>0</v>
      </c>
      <c r="I1008" s="49">
        <f>SUBTOTAL(9,I996:I1007)</f>
        <v>0</v>
      </c>
      <c r="J1008" s="51" t="str">
        <f>IF(H1008=0,"No plan at start",I1008/H1008)</f>
        <v>No plan at start</v>
      </c>
      <c r="K1008" s="52">
        <f>SUBTOTAL(9,K996:K1007)</f>
        <v>0</v>
      </c>
      <c r="L1008" s="49">
        <f>SUBTOTAL(9,L996:L1007)</f>
        <v>0</v>
      </c>
      <c r="M1008" s="49">
        <f>SUBTOTAL(9,M996:M1007)</f>
        <v>0</v>
      </c>
      <c r="N1008" s="49">
        <f>SUBTOTAL(9,N996:N1007)</f>
        <v>0</v>
      </c>
      <c r="O1008" s="50" t="str">
        <f>IF(H1008=0,"No plan at start",M1008/H1008)</f>
        <v>No plan at start</v>
      </c>
    </row>
    <row r="1009" spans="2:15" hidden="1" outlineLevel="2" x14ac:dyDescent="0.2">
      <c r="B1009" s="49" t="s">
        <v>99</v>
      </c>
      <c r="C1009" s="49" t="s">
        <v>52</v>
      </c>
      <c r="D1009" s="49">
        <v>1580.8</v>
      </c>
      <c r="E1009" s="49">
        <v>858</v>
      </c>
      <c r="F1009" s="49">
        <f>E1009-D1009</f>
        <v>-722.8</v>
      </c>
      <c r="G1009" s="50">
        <f>IF(D1009=0,0,ABS(F1009/D1009))</f>
        <v>0.45723684210526316</v>
      </c>
      <c r="H1009" s="49">
        <v>32323.199999999997</v>
      </c>
      <c r="I1009" s="49">
        <v>6942</v>
      </c>
      <c r="J1009" s="51">
        <f>IF(H1009=0,"No plan at start",I1009/H1009)</f>
        <v>0.21476833976833978</v>
      </c>
      <c r="K1009" s="52">
        <f>H1009-I1009</f>
        <v>25381.199999999997</v>
      </c>
      <c r="L1009" s="49">
        <v>24086.400000000001</v>
      </c>
      <c r="M1009" s="49">
        <f>I1009+L1009</f>
        <v>31028.400000000001</v>
      </c>
      <c r="N1009" s="49">
        <f>M1009-H1009</f>
        <v>-1294.7999999999956</v>
      </c>
      <c r="O1009" s="50">
        <f>IF(H1009=0,"No plan at start",M1009/H1009)</f>
        <v>0.95994208494208511</v>
      </c>
    </row>
    <row r="1010" spans="2:15" hidden="1" outlineLevel="2" x14ac:dyDescent="0.2">
      <c r="B1010" s="49" t="s">
        <v>99</v>
      </c>
      <c r="C1010" s="49" t="s">
        <v>53</v>
      </c>
      <c r="D1010" s="49">
        <v>0</v>
      </c>
      <c r="E1010" s="49">
        <v>0</v>
      </c>
      <c r="F1010" s="49">
        <f>E1010-D1010</f>
        <v>0</v>
      </c>
      <c r="G1010" s="50">
        <f>IF(D1010=0,0,ABS(F1010/D1010))</f>
        <v>0</v>
      </c>
      <c r="H1010" s="49">
        <v>0</v>
      </c>
      <c r="I1010" s="49">
        <v>0</v>
      </c>
      <c r="J1010" s="51" t="str">
        <f>IF(H1010=0,"No plan at start",I1010/H1010)</f>
        <v>No plan at start</v>
      </c>
      <c r="K1010" s="52">
        <f>H1010-I1010</f>
        <v>0</v>
      </c>
      <c r="L1010" s="49">
        <v>0</v>
      </c>
      <c r="M1010" s="49">
        <f>I1010+L1010</f>
        <v>0</v>
      </c>
      <c r="N1010" s="49">
        <f>M1010-H1010</f>
        <v>0</v>
      </c>
      <c r="O1010" s="50" t="str">
        <f>IF(H1010=0,"No plan at start",M1010/H1010)</f>
        <v>No plan at start</v>
      </c>
    </row>
    <row r="1011" spans="2:15" hidden="1" outlineLevel="2" x14ac:dyDescent="0.2">
      <c r="B1011" s="49" t="s">
        <v>99</v>
      </c>
      <c r="C1011" s="49" t="s">
        <v>54</v>
      </c>
      <c r="D1011" s="49">
        <v>0</v>
      </c>
      <c r="E1011" s="49">
        <v>0</v>
      </c>
      <c r="F1011" s="49">
        <f>E1011-D1011</f>
        <v>0</v>
      </c>
      <c r="G1011" s="50">
        <f>IF(D1011=0,0,ABS(F1011/D1011))</f>
        <v>0</v>
      </c>
      <c r="H1011" s="49">
        <v>0</v>
      </c>
      <c r="I1011" s="49">
        <v>0</v>
      </c>
      <c r="J1011" s="51" t="str">
        <f>IF(H1011=0,"No plan at start",I1011/H1011)</f>
        <v>No plan at start</v>
      </c>
      <c r="K1011" s="52">
        <f>H1011-I1011</f>
        <v>0</v>
      </c>
      <c r="L1011" s="49">
        <v>0</v>
      </c>
      <c r="M1011" s="49">
        <f>I1011+L1011</f>
        <v>0</v>
      </c>
      <c r="N1011" s="49">
        <f>M1011-H1011</f>
        <v>0</v>
      </c>
      <c r="O1011" s="50" t="str">
        <f>IF(H1011=0,"No plan at start",M1011/H1011)</f>
        <v>No plan at start</v>
      </c>
    </row>
    <row r="1012" spans="2:15" hidden="1" outlineLevel="2" x14ac:dyDescent="0.2">
      <c r="B1012" s="49" t="s">
        <v>99</v>
      </c>
      <c r="C1012" s="49" t="s">
        <v>55</v>
      </c>
      <c r="D1012" s="49">
        <v>0</v>
      </c>
      <c r="E1012" s="49">
        <v>156</v>
      </c>
      <c r="F1012" s="49">
        <f>E1012-D1012</f>
        <v>156</v>
      </c>
      <c r="G1012" s="50">
        <f>IF(D1012=0,0,ABS(F1012/D1012))</f>
        <v>0</v>
      </c>
      <c r="H1012" s="49">
        <v>0</v>
      </c>
      <c r="I1012" s="49">
        <v>2860</v>
      </c>
      <c r="J1012" s="51" t="str">
        <f>IF(H1012=0,"No plan at start",I1012/H1012)</f>
        <v>No plan at start</v>
      </c>
      <c r="K1012" s="52">
        <f>H1012-I1012</f>
        <v>-2860</v>
      </c>
      <c r="L1012" s="49">
        <v>0</v>
      </c>
      <c r="M1012" s="49">
        <f>I1012+L1012</f>
        <v>2860</v>
      </c>
      <c r="N1012" s="49">
        <f>M1012-H1012</f>
        <v>2860</v>
      </c>
      <c r="O1012" s="50" t="str">
        <f>IF(H1012=0,"No plan at start",M1012/H1012)</f>
        <v>No plan at start</v>
      </c>
    </row>
    <row r="1013" spans="2:15" hidden="1" outlineLevel="2" x14ac:dyDescent="0.2">
      <c r="B1013" s="49" t="s">
        <v>99</v>
      </c>
      <c r="C1013" s="49" t="s">
        <v>56</v>
      </c>
      <c r="D1013" s="49">
        <v>2718.9759999999997</v>
      </c>
      <c r="E1013" s="49">
        <v>0</v>
      </c>
      <c r="F1013" s="49">
        <f>E1013-D1013</f>
        <v>-2718.9759999999997</v>
      </c>
      <c r="G1013" s="50">
        <f>IF(D1013=0,0,ABS(F1013/D1013))</f>
        <v>1</v>
      </c>
      <c r="H1013" s="49">
        <v>32735.03999999999</v>
      </c>
      <c r="I1013" s="49">
        <v>178.88</v>
      </c>
      <c r="J1013" s="51">
        <f>IF(H1013=0,"No plan at start",I1013/H1013)</f>
        <v>5.4644808743169416E-3</v>
      </c>
      <c r="K1013" s="52">
        <f>H1013-I1013</f>
        <v>32556.159999999989</v>
      </c>
      <c r="L1013" s="49">
        <v>26152.25599999999</v>
      </c>
      <c r="M1013" s="49">
        <f>I1013+L1013</f>
        <v>26331.135999999991</v>
      </c>
      <c r="N1013" s="49">
        <f>M1013-H1013</f>
        <v>-6403.9039999999986</v>
      </c>
      <c r="O1013" s="50">
        <f>IF(H1013=0,"No plan at start",M1013/H1013)</f>
        <v>0.80437158469945358</v>
      </c>
    </row>
    <row r="1014" spans="2:15" hidden="1" outlineLevel="2" x14ac:dyDescent="0.2">
      <c r="B1014" s="49" t="s">
        <v>99</v>
      </c>
      <c r="C1014" s="49" t="s">
        <v>57</v>
      </c>
      <c r="D1014" s="49">
        <v>0</v>
      </c>
      <c r="E1014" s="49">
        <v>0</v>
      </c>
      <c r="F1014" s="49">
        <f>E1014-D1014</f>
        <v>0</v>
      </c>
      <c r="G1014" s="50">
        <f>IF(D1014=0,0,ABS(F1014/D1014))</f>
        <v>0</v>
      </c>
      <c r="H1014" s="49">
        <v>0</v>
      </c>
      <c r="I1014" s="49">
        <v>0</v>
      </c>
      <c r="J1014" s="51" t="str">
        <f>IF(H1014=0,"No plan at start",I1014/H1014)</f>
        <v>No plan at start</v>
      </c>
      <c r="K1014" s="52">
        <f>H1014-I1014</f>
        <v>0</v>
      </c>
      <c r="L1014" s="49">
        <v>0</v>
      </c>
      <c r="M1014" s="49">
        <f>I1014+L1014</f>
        <v>0</v>
      </c>
      <c r="N1014" s="49">
        <f>M1014-H1014</f>
        <v>0</v>
      </c>
      <c r="O1014" s="50" t="str">
        <f>IF(H1014=0,"No plan at start",M1014/H1014)</f>
        <v>No plan at start</v>
      </c>
    </row>
    <row r="1015" spans="2:15" hidden="1" outlineLevel="2" x14ac:dyDescent="0.2">
      <c r="B1015" s="49" t="s">
        <v>99</v>
      </c>
      <c r="C1015" s="49" t="s">
        <v>48</v>
      </c>
      <c r="D1015" s="49">
        <v>0</v>
      </c>
      <c r="E1015" s="49">
        <v>0</v>
      </c>
      <c r="F1015" s="49">
        <f>E1015-D1015</f>
        <v>0</v>
      </c>
      <c r="G1015" s="50">
        <f>IF(D1015=0,0,ABS(F1015/D1015))</f>
        <v>0</v>
      </c>
      <c r="H1015" s="49">
        <v>0</v>
      </c>
      <c r="I1015" s="49">
        <v>0</v>
      </c>
      <c r="J1015" s="51" t="str">
        <f>IF(H1015=0,"No plan at start",I1015/H1015)</f>
        <v>No plan at start</v>
      </c>
      <c r="K1015" s="52">
        <f>H1015-I1015</f>
        <v>0</v>
      </c>
      <c r="L1015" s="49">
        <v>0</v>
      </c>
      <c r="M1015" s="49">
        <f>I1015+L1015</f>
        <v>0</v>
      </c>
      <c r="N1015" s="49">
        <f>M1015-H1015</f>
        <v>0</v>
      </c>
      <c r="O1015" s="50" t="str">
        <f>IF(H1015=0,"No plan at start",M1015/H1015)</f>
        <v>No plan at start</v>
      </c>
    </row>
    <row r="1016" spans="2:15" hidden="1" outlineLevel="2" x14ac:dyDescent="0.2">
      <c r="B1016" s="49" t="s">
        <v>99</v>
      </c>
      <c r="C1016" s="49" t="s">
        <v>58</v>
      </c>
      <c r="D1016" s="49">
        <v>0</v>
      </c>
      <c r="E1016" s="49">
        <v>0</v>
      </c>
      <c r="F1016" s="49">
        <f>E1016-D1016</f>
        <v>0</v>
      </c>
      <c r="G1016" s="50">
        <f>IF(D1016=0,0,ABS(F1016/D1016))</f>
        <v>0</v>
      </c>
      <c r="H1016" s="49">
        <v>0</v>
      </c>
      <c r="I1016" s="49">
        <v>0</v>
      </c>
      <c r="J1016" s="51" t="str">
        <f>IF(H1016=0,"No plan at start",I1016/H1016)</f>
        <v>No plan at start</v>
      </c>
      <c r="K1016" s="52">
        <f>H1016-I1016</f>
        <v>0</v>
      </c>
      <c r="L1016" s="49">
        <v>0</v>
      </c>
      <c r="M1016" s="49">
        <f>I1016+L1016</f>
        <v>0</v>
      </c>
      <c r="N1016" s="49">
        <f>M1016-H1016</f>
        <v>0</v>
      </c>
      <c r="O1016" s="50" t="str">
        <f>IF(H1016=0,"No plan at start",M1016/H1016)</f>
        <v>No plan at start</v>
      </c>
    </row>
    <row r="1017" spans="2:15" hidden="1" outlineLevel="2" x14ac:dyDescent="0.2">
      <c r="B1017" s="49" t="s">
        <v>99</v>
      </c>
      <c r="C1017" s="49" t="s">
        <v>59</v>
      </c>
      <c r="D1017" s="49">
        <v>0</v>
      </c>
      <c r="E1017" s="49">
        <v>0</v>
      </c>
      <c r="F1017" s="49">
        <f>E1017-D1017</f>
        <v>0</v>
      </c>
      <c r="G1017" s="50">
        <f>IF(D1017=0,0,ABS(F1017/D1017))</f>
        <v>0</v>
      </c>
      <c r="H1017" s="49">
        <v>0</v>
      </c>
      <c r="I1017" s="49">
        <v>0</v>
      </c>
      <c r="J1017" s="51" t="str">
        <f>IF(H1017=0,"No plan at start",I1017/H1017)</f>
        <v>No plan at start</v>
      </c>
      <c r="K1017" s="52">
        <f>H1017-I1017</f>
        <v>0</v>
      </c>
      <c r="L1017" s="49">
        <v>0</v>
      </c>
      <c r="M1017" s="49">
        <f>I1017+L1017</f>
        <v>0</v>
      </c>
      <c r="N1017" s="49">
        <f>M1017-H1017</f>
        <v>0</v>
      </c>
      <c r="O1017" s="50" t="str">
        <f>IF(H1017=0,"No plan at start",M1017/H1017)</f>
        <v>No plan at start</v>
      </c>
    </row>
    <row r="1018" spans="2:15" hidden="1" outlineLevel="2" x14ac:dyDescent="0.2">
      <c r="B1018" s="49" t="s">
        <v>99</v>
      </c>
      <c r="C1018" s="49" t="s">
        <v>60</v>
      </c>
      <c r="D1018" s="49">
        <v>0</v>
      </c>
      <c r="E1018" s="49">
        <v>0</v>
      </c>
      <c r="F1018" s="49">
        <f>E1018-D1018</f>
        <v>0</v>
      </c>
      <c r="G1018" s="50">
        <f>IF(D1018=0,0,ABS(F1018/D1018))</f>
        <v>0</v>
      </c>
      <c r="H1018" s="49">
        <v>0</v>
      </c>
      <c r="I1018" s="49">
        <v>0</v>
      </c>
      <c r="J1018" s="51" t="str">
        <f>IF(H1018=0,"No plan at start",I1018/H1018)</f>
        <v>No plan at start</v>
      </c>
      <c r="K1018" s="52">
        <f>H1018-I1018</f>
        <v>0</v>
      </c>
      <c r="L1018" s="49">
        <v>0</v>
      </c>
      <c r="M1018" s="49">
        <f>I1018+L1018</f>
        <v>0</v>
      </c>
      <c r="N1018" s="49">
        <f>M1018-H1018</f>
        <v>0</v>
      </c>
      <c r="O1018" s="50" t="str">
        <f>IF(H1018=0,"No plan at start",M1018/H1018)</f>
        <v>No plan at start</v>
      </c>
    </row>
    <row r="1019" spans="2:15" hidden="1" outlineLevel="2" x14ac:dyDescent="0.2">
      <c r="B1019" s="49" t="s">
        <v>99</v>
      </c>
      <c r="C1019" s="49" t="s">
        <v>61</v>
      </c>
      <c r="D1019" s="49">
        <v>0</v>
      </c>
      <c r="E1019" s="49">
        <v>0</v>
      </c>
      <c r="F1019" s="49">
        <f>E1019-D1019</f>
        <v>0</v>
      </c>
      <c r="G1019" s="50">
        <f>IF(D1019=0,0,ABS(F1019/D1019))</f>
        <v>0</v>
      </c>
      <c r="H1019" s="49">
        <v>0</v>
      </c>
      <c r="I1019" s="49">
        <v>0</v>
      </c>
      <c r="J1019" s="51" t="str">
        <f>IF(H1019=0,"No plan at start",I1019/H1019)</f>
        <v>No plan at start</v>
      </c>
      <c r="K1019" s="52">
        <f>H1019-I1019</f>
        <v>0</v>
      </c>
      <c r="L1019" s="49">
        <v>0</v>
      </c>
      <c r="M1019" s="49">
        <f>I1019+L1019</f>
        <v>0</v>
      </c>
      <c r="N1019" s="49">
        <f>M1019-H1019</f>
        <v>0</v>
      </c>
      <c r="O1019" s="50" t="str">
        <f>IF(H1019=0,"No plan at start",M1019/H1019)</f>
        <v>No plan at start</v>
      </c>
    </row>
    <row r="1020" spans="2:15" hidden="1" outlineLevel="2" x14ac:dyDescent="0.2">
      <c r="B1020" s="49" t="s">
        <v>99</v>
      </c>
      <c r="C1020" s="49" t="s">
        <v>62</v>
      </c>
      <c r="D1020" s="49">
        <v>0</v>
      </c>
      <c r="E1020" s="49">
        <v>0</v>
      </c>
      <c r="F1020" s="49">
        <f>E1020-D1020</f>
        <v>0</v>
      </c>
      <c r="G1020" s="50">
        <f>IF(D1020=0,0,ABS(F1020/D1020))</f>
        <v>0</v>
      </c>
      <c r="H1020" s="49">
        <v>0</v>
      </c>
      <c r="I1020" s="49">
        <v>0</v>
      </c>
      <c r="J1020" s="51" t="str">
        <f>IF(H1020=0,"No plan at start",I1020/H1020)</f>
        <v>No plan at start</v>
      </c>
      <c r="K1020" s="52">
        <f>H1020-I1020</f>
        <v>0</v>
      </c>
      <c r="L1020" s="49">
        <v>0</v>
      </c>
      <c r="M1020" s="49">
        <f>I1020+L1020</f>
        <v>0</v>
      </c>
      <c r="N1020" s="49">
        <f>M1020-H1020</f>
        <v>0</v>
      </c>
      <c r="O1020" s="50" t="str">
        <f>IF(H1020=0,"No plan at start",M1020/H1020)</f>
        <v>No plan at start</v>
      </c>
    </row>
    <row r="1021" spans="2:15" outlineLevel="1" collapsed="1" x14ac:dyDescent="0.2">
      <c r="B1021" s="56" t="s">
        <v>138</v>
      </c>
      <c r="C1021" s="49"/>
      <c r="D1021" s="49">
        <f>SUBTOTAL(9,D1009:D1020)</f>
        <v>4299.7759999999998</v>
      </c>
      <c r="E1021" s="49">
        <f>SUBTOTAL(9,E1009:E1020)</f>
        <v>1014</v>
      </c>
      <c r="F1021" s="49">
        <f>SUBTOTAL(9,F1009:F1020)</f>
        <v>-3285.7759999999998</v>
      </c>
      <c r="G1021" s="50">
        <f>IF(D1021=0,0,ABS(F1021/D1021))</f>
        <v>0.76417376160990713</v>
      </c>
      <c r="H1021" s="49">
        <f>SUBTOTAL(9,H1009:H1020)</f>
        <v>65058.239999999991</v>
      </c>
      <c r="I1021" s="49">
        <f>SUBTOTAL(9,I1009:I1020)</f>
        <v>9980.8799999999992</v>
      </c>
      <c r="J1021" s="51">
        <f>IF(H1021=0,"No plan at start",I1021/H1021)</f>
        <v>0.1534145405716478</v>
      </c>
      <c r="K1021" s="52">
        <f>SUBTOTAL(9,K1009:K1020)</f>
        <v>55077.359999999986</v>
      </c>
      <c r="L1021" s="49">
        <f>SUBTOTAL(9,L1009:L1020)</f>
        <v>50238.655999999988</v>
      </c>
      <c r="M1021" s="49">
        <f>SUBTOTAL(9,M1009:M1020)</f>
        <v>60219.535999999993</v>
      </c>
      <c r="N1021" s="49">
        <f>SUBTOTAL(9,N1009:N1020)</f>
        <v>-4838.7039999999943</v>
      </c>
      <c r="O1021" s="50">
        <f>IF(H1021=0,"No plan at start",M1021/H1021)</f>
        <v>0.9256250399641921</v>
      </c>
    </row>
    <row r="1022" spans="2:15" hidden="1" outlineLevel="2" x14ac:dyDescent="0.2">
      <c r="B1022" s="49" t="s">
        <v>100</v>
      </c>
      <c r="C1022" s="49" t="s">
        <v>52</v>
      </c>
      <c r="D1022" s="49">
        <v>592.80000000000007</v>
      </c>
      <c r="E1022" s="49">
        <v>780</v>
      </c>
      <c r="F1022" s="49">
        <f>E1022-D1022</f>
        <v>187.19999999999993</v>
      </c>
      <c r="G1022" s="50">
        <f>IF(D1022=0,0,ABS(F1022/D1022))</f>
        <v>0.3157894736842104</v>
      </c>
      <c r="H1022" s="49">
        <v>6614.4</v>
      </c>
      <c r="I1022" s="49">
        <v>780</v>
      </c>
      <c r="J1022" s="51">
        <f>IF(H1022=0,"No plan at start",I1022/H1022)</f>
        <v>0.11792452830188679</v>
      </c>
      <c r="K1022" s="52">
        <f>H1022-I1022</f>
        <v>5834.4</v>
      </c>
      <c r="L1022" s="49">
        <v>5179.2</v>
      </c>
      <c r="M1022" s="49">
        <f>I1022+L1022</f>
        <v>5959.2</v>
      </c>
      <c r="N1022" s="49">
        <f>M1022-H1022</f>
        <v>-655.19999999999982</v>
      </c>
      <c r="O1022" s="50">
        <f>IF(H1022=0,"No plan at start",M1022/H1022)</f>
        <v>0.90094339622641517</v>
      </c>
    </row>
    <row r="1023" spans="2:15" hidden="1" outlineLevel="2" x14ac:dyDescent="0.2">
      <c r="B1023" s="49" t="s">
        <v>100</v>
      </c>
      <c r="C1023" s="49" t="s">
        <v>53</v>
      </c>
      <c r="D1023" s="49">
        <v>0</v>
      </c>
      <c r="E1023" s="49">
        <v>0</v>
      </c>
      <c r="F1023" s="49">
        <f>E1023-D1023</f>
        <v>0</v>
      </c>
      <c r="G1023" s="50">
        <f>IF(D1023=0,0,ABS(F1023/D1023))</f>
        <v>0</v>
      </c>
      <c r="H1023" s="49">
        <v>0</v>
      </c>
      <c r="I1023" s="49">
        <v>0</v>
      </c>
      <c r="J1023" s="51" t="str">
        <f>IF(H1023=0,"No plan at start",I1023/H1023)</f>
        <v>No plan at start</v>
      </c>
      <c r="K1023" s="52">
        <f>H1023-I1023</f>
        <v>0</v>
      </c>
      <c r="L1023" s="49">
        <v>0</v>
      </c>
      <c r="M1023" s="49">
        <f>I1023+L1023</f>
        <v>0</v>
      </c>
      <c r="N1023" s="49">
        <f>M1023-H1023</f>
        <v>0</v>
      </c>
      <c r="O1023" s="50" t="str">
        <f>IF(H1023=0,"No plan at start",M1023/H1023)</f>
        <v>No plan at start</v>
      </c>
    </row>
    <row r="1024" spans="2:15" hidden="1" outlineLevel="2" x14ac:dyDescent="0.2">
      <c r="B1024" s="49" t="s">
        <v>100</v>
      </c>
      <c r="C1024" s="49" t="s">
        <v>54</v>
      </c>
      <c r="D1024" s="49">
        <v>0</v>
      </c>
      <c r="E1024" s="49">
        <v>0</v>
      </c>
      <c r="F1024" s="49">
        <f>E1024-D1024</f>
        <v>0</v>
      </c>
      <c r="G1024" s="50">
        <f>IF(D1024=0,0,ABS(F1024/D1024))</f>
        <v>0</v>
      </c>
      <c r="H1024" s="49">
        <v>0</v>
      </c>
      <c r="I1024" s="49">
        <v>0</v>
      </c>
      <c r="J1024" s="51" t="str">
        <f>IF(H1024=0,"No plan at start",I1024/H1024)</f>
        <v>No plan at start</v>
      </c>
      <c r="K1024" s="52">
        <f>H1024-I1024</f>
        <v>0</v>
      </c>
      <c r="L1024" s="49">
        <v>0</v>
      </c>
      <c r="M1024" s="49">
        <f>I1024+L1024</f>
        <v>0</v>
      </c>
      <c r="N1024" s="49">
        <f>M1024-H1024</f>
        <v>0</v>
      </c>
      <c r="O1024" s="50" t="str">
        <f>IF(H1024=0,"No plan at start",M1024/H1024)</f>
        <v>No plan at start</v>
      </c>
    </row>
    <row r="1025" spans="2:15" hidden="1" outlineLevel="2" x14ac:dyDescent="0.2">
      <c r="B1025" s="49" t="s">
        <v>100</v>
      </c>
      <c r="C1025" s="49" t="s">
        <v>55</v>
      </c>
      <c r="D1025" s="49">
        <v>1976</v>
      </c>
      <c r="E1025" s="49">
        <v>1716</v>
      </c>
      <c r="F1025" s="49">
        <f>E1025-D1025</f>
        <v>-260</v>
      </c>
      <c r="G1025" s="50">
        <f>IF(D1025=0,0,ABS(F1025/D1025))</f>
        <v>0.13157894736842105</v>
      </c>
      <c r="H1025" s="49">
        <v>37169.600000000006</v>
      </c>
      <c r="I1025" s="49">
        <v>2145</v>
      </c>
      <c r="J1025" s="51">
        <f>IF(H1025=0,"No plan at start",I1025/H1025)</f>
        <v>5.7708449916060431E-2</v>
      </c>
      <c r="K1025" s="52">
        <f>H1025-I1025</f>
        <v>35024.600000000006</v>
      </c>
      <c r="L1025" s="49">
        <v>33342.400000000001</v>
      </c>
      <c r="M1025" s="49">
        <f>I1025+L1025</f>
        <v>35487.4</v>
      </c>
      <c r="N1025" s="49">
        <f>M1025-H1025</f>
        <v>-1682.2000000000044</v>
      </c>
      <c r="O1025" s="50">
        <f>IF(H1025=0,"No plan at start",M1025/H1025)</f>
        <v>0.95474258533855616</v>
      </c>
    </row>
    <row r="1026" spans="2:15" hidden="1" outlineLevel="2" x14ac:dyDescent="0.2">
      <c r="B1026" s="49" t="s">
        <v>100</v>
      </c>
      <c r="C1026" s="49" t="s">
        <v>56</v>
      </c>
      <c r="D1026" s="49">
        <v>0</v>
      </c>
      <c r="E1026" s="49">
        <v>268.32</v>
      </c>
      <c r="F1026" s="49">
        <f>E1026-D1026</f>
        <v>268.32</v>
      </c>
      <c r="G1026" s="50">
        <f>IF(D1026=0,0,ABS(F1026/D1026))</f>
        <v>0</v>
      </c>
      <c r="H1026" s="49">
        <v>0</v>
      </c>
      <c r="I1026" s="49">
        <v>313.03999999999996</v>
      </c>
      <c r="J1026" s="51" t="str">
        <f>IF(H1026=0,"No plan at start",I1026/H1026)</f>
        <v>No plan at start</v>
      </c>
      <c r="K1026" s="52">
        <f>H1026-I1026</f>
        <v>-313.03999999999996</v>
      </c>
      <c r="L1026" s="49">
        <v>0</v>
      </c>
      <c r="M1026" s="49">
        <f>I1026+L1026</f>
        <v>313.03999999999996</v>
      </c>
      <c r="N1026" s="49">
        <f>M1026-H1026</f>
        <v>313.03999999999996</v>
      </c>
      <c r="O1026" s="50" t="str">
        <f>IF(H1026=0,"No plan at start",M1026/H1026)</f>
        <v>No plan at start</v>
      </c>
    </row>
    <row r="1027" spans="2:15" hidden="1" outlineLevel="2" x14ac:dyDescent="0.2">
      <c r="B1027" s="49" t="s">
        <v>100</v>
      </c>
      <c r="C1027" s="49" t="s">
        <v>57</v>
      </c>
      <c r="D1027" s="49">
        <v>0</v>
      </c>
      <c r="E1027" s="49">
        <v>0</v>
      </c>
      <c r="F1027" s="49">
        <f>E1027-D1027</f>
        <v>0</v>
      </c>
      <c r="G1027" s="50">
        <f>IF(D1027=0,0,ABS(F1027/D1027))</f>
        <v>0</v>
      </c>
      <c r="H1027" s="49">
        <v>0</v>
      </c>
      <c r="I1027" s="49">
        <v>0</v>
      </c>
      <c r="J1027" s="51" t="str">
        <f>IF(H1027=0,"No plan at start",I1027/H1027)</f>
        <v>No plan at start</v>
      </c>
      <c r="K1027" s="52">
        <f>H1027-I1027</f>
        <v>0</v>
      </c>
      <c r="L1027" s="49">
        <v>0</v>
      </c>
      <c r="M1027" s="49">
        <f>I1027+L1027</f>
        <v>0</v>
      </c>
      <c r="N1027" s="49">
        <f>M1027-H1027</f>
        <v>0</v>
      </c>
      <c r="O1027" s="50" t="str">
        <f>IF(H1027=0,"No plan at start",M1027/H1027)</f>
        <v>No plan at start</v>
      </c>
    </row>
    <row r="1028" spans="2:15" hidden="1" outlineLevel="2" x14ac:dyDescent="0.2">
      <c r="B1028" s="49" t="s">
        <v>100</v>
      </c>
      <c r="C1028" s="49" t="s">
        <v>48</v>
      </c>
      <c r="D1028" s="49">
        <v>0</v>
      </c>
      <c r="E1028" s="49">
        <v>0</v>
      </c>
      <c r="F1028" s="49">
        <f>E1028-D1028</f>
        <v>0</v>
      </c>
      <c r="G1028" s="50">
        <f>IF(D1028=0,0,ABS(F1028/D1028))</f>
        <v>0</v>
      </c>
      <c r="H1028" s="49">
        <v>0</v>
      </c>
      <c r="I1028" s="49">
        <v>0</v>
      </c>
      <c r="J1028" s="51" t="str">
        <f>IF(H1028=0,"No plan at start",I1028/H1028)</f>
        <v>No plan at start</v>
      </c>
      <c r="K1028" s="52">
        <f>H1028-I1028</f>
        <v>0</v>
      </c>
      <c r="L1028" s="49">
        <v>0</v>
      </c>
      <c r="M1028" s="49">
        <f>I1028+L1028</f>
        <v>0</v>
      </c>
      <c r="N1028" s="49">
        <f>M1028-H1028</f>
        <v>0</v>
      </c>
      <c r="O1028" s="50" t="str">
        <f>IF(H1028=0,"No plan at start",M1028/H1028)</f>
        <v>No plan at start</v>
      </c>
    </row>
    <row r="1029" spans="2:15" hidden="1" outlineLevel="2" x14ac:dyDescent="0.2">
      <c r="B1029" s="49" t="s">
        <v>100</v>
      </c>
      <c r="C1029" s="49" t="s">
        <v>58</v>
      </c>
      <c r="D1029" s="49">
        <v>0</v>
      </c>
      <c r="E1029" s="49">
        <v>0</v>
      </c>
      <c r="F1029" s="49">
        <f>E1029-D1029</f>
        <v>0</v>
      </c>
      <c r="G1029" s="50">
        <f>IF(D1029=0,0,ABS(F1029/D1029))</f>
        <v>0</v>
      </c>
      <c r="H1029" s="49">
        <v>0</v>
      </c>
      <c r="I1029" s="49">
        <v>0</v>
      </c>
      <c r="J1029" s="51" t="str">
        <f>IF(H1029=0,"No plan at start",I1029/H1029)</f>
        <v>No plan at start</v>
      </c>
      <c r="K1029" s="52">
        <f>H1029-I1029</f>
        <v>0</v>
      </c>
      <c r="L1029" s="49">
        <v>0</v>
      </c>
      <c r="M1029" s="49">
        <f>I1029+L1029</f>
        <v>0</v>
      </c>
      <c r="N1029" s="49">
        <f>M1029-H1029</f>
        <v>0</v>
      </c>
      <c r="O1029" s="50" t="str">
        <f>IF(H1029=0,"No plan at start",M1029/H1029)</f>
        <v>No plan at start</v>
      </c>
    </row>
    <row r="1030" spans="2:15" hidden="1" outlineLevel="2" x14ac:dyDescent="0.2">
      <c r="B1030" s="49" t="s">
        <v>100</v>
      </c>
      <c r="C1030" s="49" t="s">
        <v>59</v>
      </c>
      <c r="D1030" s="49">
        <v>0</v>
      </c>
      <c r="E1030" s="49">
        <v>0</v>
      </c>
      <c r="F1030" s="49">
        <f>E1030-D1030</f>
        <v>0</v>
      </c>
      <c r="G1030" s="50">
        <f>IF(D1030=0,0,ABS(F1030/D1030))</f>
        <v>0</v>
      </c>
      <c r="H1030" s="49">
        <v>0</v>
      </c>
      <c r="I1030" s="49">
        <v>0</v>
      </c>
      <c r="J1030" s="51" t="str">
        <f>IF(H1030=0,"No plan at start",I1030/H1030)</f>
        <v>No plan at start</v>
      </c>
      <c r="K1030" s="52">
        <f>H1030-I1030</f>
        <v>0</v>
      </c>
      <c r="L1030" s="49">
        <v>0</v>
      </c>
      <c r="M1030" s="49">
        <f>I1030+L1030</f>
        <v>0</v>
      </c>
      <c r="N1030" s="49">
        <f>M1030-H1030</f>
        <v>0</v>
      </c>
      <c r="O1030" s="50" t="str">
        <f>IF(H1030=0,"No plan at start",M1030/H1030)</f>
        <v>No plan at start</v>
      </c>
    </row>
    <row r="1031" spans="2:15" hidden="1" outlineLevel="2" x14ac:dyDescent="0.2">
      <c r="B1031" s="49" t="s">
        <v>100</v>
      </c>
      <c r="C1031" s="49" t="s">
        <v>60</v>
      </c>
      <c r="D1031" s="49">
        <v>0</v>
      </c>
      <c r="E1031" s="49">
        <v>0</v>
      </c>
      <c r="F1031" s="49">
        <f>E1031-D1031</f>
        <v>0</v>
      </c>
      <c r="G1031" s="50">
        <f>IF(D1031=0,0,ABS(F1031/D1031))</f>
        <v>0</v>
      </c>
      <c r="H1031" s="49">
        <v>0</v>
      </c>
      <c r="I1031" s="49">
        <v>0</v>
      </c>
      <c r="J1031" s="51" t="str">
        <f>IF(H1031=0,"No plan at start",I1031/H1031)</f>
        <v>No plan at start</v>
      </c>
      <c r="K1031" s="52">
        <f>H1031-I1031</f>
        <v>0</v>
      </c>
      <c r="L1031" s="49">
        <v>0</v>
      </c>
      <c r="M1031" s="49">
        <f>I1031+L1031</f>
        <v>0</v>
      </c>
      <c r="N1031" s="49">
        <f>M1031-H1031</f>
        <v>0</v>
      </c>
      <c r="O1031" s="50" t="str">
        <f>IF(H1031=0,"No plan at start",M1031/H1031)</f>
        <v>No plan at start</v>
      </c>
    </row>
    <row r="1032" spans="2:15" hidden="1" outlineLevel="2" x14ac:dyDescent="0.2">
      <c r="B1032" s="49" t="s">
        <v>100</v>
      </c>
      <c r="C1032" s="49" t="s">
        <v>61</v>
      </c>
      <c r="D1032" s="49">
        <v>0</v>
      </c>
      <c r="E1032" s="49">
        <v>0</v>
      </c>
      <c r="F1032" s="49">
        <f>E1032-D1032</f>
        <v>0</v>
      </c>
      <c r="G1032" s="50">
        <f>IF(D1032=0,0,ABS(F1032/D1032))</f>
        <v>0</v>
      </c>
      <c r="H1032" s="49">
        <v>0</v>
      </c>
      <c r="I1032" s="49">
        <v>0</v>
      </c>
      <c r="J1032" s="51" t="str">
        <f>IF(H1032=0,"No plan at start",I1032/H1032)</f>
        <v>No plan at start</v>
      </c>
      <c r="K1032" s="52">
        <f>H1032-I1032</f>
        <v>0</v>
      </c>
      <c r="L1032" s="49">
        <v>0</v>
      </c>
      <c r="M1032" s="49">
        <f>I1032+L1032</f>
        <v>0</v>
      </c>
      <c r="N1032" s="49">
        <f>M1032-H1032</f>
        <v>0</v>
      </c>
      <c r="O1032" s="50" t="str">
        <f>IF(H1032=0,"No plan at start",M1032/H1032)</f>
        <v>No plan at start</v>
      </c>
    </row>
    <row r="1033" spans="2:15" hidden="1" outlineLevel="2" x14ac:dyDescent="0.2">
      <c r="B1033" s="49" t="s">
        <v>100</v>
      </c>
      <c r="C1033" s="49" t="s">
        <v>62</v>
      </c>
      <c r="D1033" s="49">
        <v>0</v>
      </c>
      <c r="E1033" s="49">
        <v>0</v>
      </c>
      <c r="F1033" s="49">
        <f>E1033-D1033</f>
        <v>0</v>
      </c>
      <c r="G1033" s="50">
        <f>IF(D1033=0,0,ABS(F1033/D1033))</f>
        <v>0</v>
      </c>
      <c r="H1033" s="49">
        <v>0</v>
      </c>
      <c r="I1033" s="49">
        <v>0</v>
      </c>
      <c r="J1033" s="51" t="str">
        <f t="shared" ref="J1033:J1034" si="1">IF(H1033=0,"No plan at start",I1033/H1033)</f>
        <v>No plan at start</v>
      </c>
      <c r="K1033" s="52">
        <f>H1033-I1033</f>
        <v>0</v>
      </c>
      <c r="L1033" s="49">
        <v>0</v>
      </c>
      <c r="M1033" s="49">
        <f>I1033+L1033</f>
        <v>0</v>
      </c>
      <c r="N1033" s="49">
        <f>M1033-H1033</f>
        <v>0</v>
      </c>
      <c r="O1033" s="50" t="str">
        <f>IF(H1033=0,"No plan at start",M1033/H1033)</f>
        <v>No plan at start</v>
      </c>
    </row>
    <row r="1034" spans="2:15" outlineLevel="1" collapsed="1" x14ac:dyDescent="0.2">
      <c r="B1034" s="56" t="s">
        <v>139</v>
      </c>
      <c r="C1034" s="49"/>
      <c r="D1034" s="49">
        <f>SUBTOTAL(9,D1022:D1033)</f>
        <v>2568.8000000000002</v>
      </c>
      <c r="E1034" s="49">
        <f>SUBTOTAL(9,E1022:E1033)</f>
        <v>2764.32</v>
      </c>
      <c r="F1034" s="49">
        <f>SUBTOTAL(9,F1022:F1033)</f>
        <v>195.51999999999992</v>
      </c>
      <c r="G1034" s="50">
        <f>IF(D1034=0,0,ABS(F1034/D1034))</f>
        <v>7.6113360323886603E-2</v>
      </c>
      <c r="H1034" s="49">
        <f>SUBTOTAL(9,H1022:H1033)</f>
        <v>43784.000000000007</v>
      </c>
      <c r="I1034" s="49">
        <f>SUBTOTAL(9,I1022:I1033)</f>
        <v>3238.04</v>
      </c>
      <c r="J1034" s="51">
        <f t="shared" si="1"/>
        <v>7.3954869358669822E-2</v>
      </c>
      <c r="K1034" s="52">
        <f>SUBTOTAL(9,K1022:K1033)</f>
        <v>40545.960000000006</v>
      </c>
      <c r="L1034" s="49">
        <f>SUBTOTAL(9,L1022:L1033)</f>
        <v>38521.599999999999</v>
      </c>
      <c r="M1034" s="49">
        <f>SUBTOTAL(9,M1022:M1033)</f>
        <v>41759.64</v>
      </c>
      <c r="N1034" s="49">
        <f>SUBTOTAL(9,N1022:N1033)</f>
        <v>-2024.3600000000042</v>
      </c>
      <c r="O1034" s="50">
        <f>IF(H1034=0,"No plan at start",M1034/H1034)</f>
        <v>0.95376484560570052</v>
      </c>
    </row>
    <row r="1035" spans="2:15" x14ac:dyDescent="0.2"/>
    <row r="1036" spans="2:15" x14ac:dyDescent="0.2"/>
    <row r="1037" spans="2:15" x14ac:dyDescent="0.2"/>
    <row r="1038" spans="2:15" x14ac:dyDescent="0.2"/>
    <row r="1039" spans="2:15" x14ac:dyDescent="0.2"/>
    <row r="1040" spans="2:15" x14ac:dyDescent="0.2"/>
    <row r="1041" x14ac:dyDescent="0.2"/>
    <row r="1042" x14ac:dyDescent="0.2"/>
    <row r="1043" x14ac:dyDescent="0.2"/>
    <row r="1044" x14ac:dyDescent="0.2"/>
    <row r="1045" x14ac:dyDescent="0.2"/>
    <row r="1046" x14ac:dyDescent="0.2"/>
    <row r="1047" x14ac:dyDescent="0.2"/>
    <row r="1048" x14ac:dyDescent="0.2"/>
    <row r="1049" x14ac:dyDescent="0.2"/>
    <row r="1050" x14ac:dyDescent="0.2"/>
    <row r="1051" x14ac:dyDescent="0.2"/>
    <row r="1052" x14ac:dyDescent="0.2"/>
    <row r="1053" x14ac:dyDescent="0.2"/>
    <row r="1054" x14ac:dyDescent="0.2"/>
    <row r="1055" x14ac:dyDescent="0.2"/>
    <row r="1056" x14ac:dyDescent="0.2"/>
    <row r="1057" x14ac:dyDescent="0.2"/>
    <row r="1058" x14ac:dyDescent="0.2"/>
    <row r="1059" x14ac:dyDescent="0.2"/>
    <row r="1060" x14ac:dyDescent="0.2"/>
    <row r="1061" x14ac:dyDescent="0.2"/>
    <row r="1062" x14ac:dyDescent="0.2"/>
    <row r="1063" x14ac:dyDescent="0.2"/>
    <row r="1064" x14ac:dyDescent="0.2"/>
    <row r="1065" x14ac:dyDescent="0.2"/>
    <row r="1066" x14ac:dyDescent="0.2"/>
    <row r="1067" x14ac:dyDescent="0.2"/>
    <row r="1068" x14ac:dyDescent="0.2"/>
    <row r="1069" x14ac:dyDescent="0.2"/>
    <row r="1070" x14ac:dyDescent="0.2"/>
    <row r="1071" x14ac:dyDescent="0.2"/>
    <row r="1072" x14ac:dyDescent="0.2"/>
    <row r="1073" x14ac:dyDescent="0.2"/>
    <row r="1074" x14ac:dyDescent="0.2"/>
    <row r="1075" x14ac:dyDescent="0.2"/>
    <row r="1076" x14ac:dyDescent="0.2"/>
    <row r="1077" x14ac:dyDescent="0.2"/>
    <row r="1078" x14ac:dyDescent="0.2"/>
    <row r="1079" x14ac:dyDescent="0.2"/>
    <row r="1080" x14ac:dyDescent="0.2"/>
    <row r="1081" x14ac:dyDescent="0.2"/>
    <row r="1082" x14ac:dyDescent="0.2"/>
    <row r="1083" x14ac:dyDescent="0.2"/>
    <row r="1084" x14ac:dyDescent="0.2"/>
    <row r="1085" x14ac:dyDescent="0.2"/>
    <row r="1086" x14ac:dyDescent="0.2"/>
    <row r="1087" x14ac:dyDescent="0.2"/>
    <row r="1088" x14ac:dyDescent="0.2"/>
    <row r="1089" x14ac:dyDescent="0.2"/>
    <row r="1090" x14ac:dyDescent="0.2"/>
    <row r="1091" x14ac:dyDescent="0.2"/>
    <row r="1092" x14ac:dyDescent="0.2"/>
    <row r="1093" x14ac:dyDescent="0.2"/>
    <row r="1094" x14ac:dyDescent="0.2"/>
    <row r="1095" x14ac:dyDescent="0.2"/>
    <row r="1096" x14ac:dyDescent="0.2"/>
    <row r="1097" x14ac:dyDescent="0.2"/>
    <row r="1098" x14ac:dyDescent="0.2"/>
    <row r="1099" x14ac:dyDescent="0.2"/>
    <row r="1100" x14ac:dyDescent="0.2"/>
    <row r="1101" x14ac:dyDescent="0.2"/>
    <row r="1102" x14ac:dyDescent="0.2"/>
    <row r="1103" x14ac:dyDescent="0.2"/>
    <row r="1104" x14ac:dyDescent="0.2"/>
    <row r="1105" x14ac:dyDescent="0.2"/>
    <row r="1106" x14ac:dyDescent="0.2"/>
    <row r="1107" x14ac:dyDescent="0.2"/>
    <row r="1108" x14ac:dyDescent="0.2"/>
    <row r="1109" x14ac:dyDescent="0.2"/>
    <row r="1110" x14ac:dyDescent="0.2"/>
    <row r="1111" x14ac:dyDescent="0.2"/>
    <row r="1112" x14ac:dyDescent="0.2"/>
    <row r="1113" x14ac:dyDescent="0.2"/>
    <row r="1114" x14ac:dyDescent="0.2"/>
    <row r="1115" x14ac:dyDescent="0.2"/>
    <row r="1116" x14ac:dyDescent="0.2"/>
    <row r="1117" x14ac:dyDescent="0.2"/>
    <row r="1118" x14ac:dyDescent="0.2"/>
    <row r="1119" x14ac:dyDescent="0.2"/>
    <row r="1120" x14ac:dyDescent="0.2"/>
    <row r="1121" x14ac:dyDescent="0.2"/>
    <row r="1122" x14ac:dyDescent="0.2"/>
    <row r="1123" x14ac:dyDescent="0.2"/>
    <row r="1124" x14ac:dyDescent="0.2"/>
    <row r="1125" x14ac:dyDescent="0.2"/>
    <row r="1126" x14ac:dyDescent="0.2"/>
    <row r="1127" x14ac:dyDescent="0.2"/>
    <row r="1128" x14ac:dyDescent="0.2"/>
    <row r="1129" x14ac:dyDescent="0.2"/>
    <row r="1130" x14ac:dyDescent="0.2"/>
    <row r="1131" x14ac:dyDescent="0.2"/>
    <row r="1132" x14ac:dyDescent="0.2"/>
    <row r="1133" x14ac:dyDescent="0.2"/>
    <row r="1134" x14ac:dyDescent="0.2"/>
    <row r="1135" x14ac:dyDescent="0.2"/>
    <row r="1136" x14ac:dyDescent="0.2"/>
    <row r="1137" x14ac:dyDescent="0.2"/>
    <row r="1138" x14ac:dyDescent="0.2"/>
    <row r="1139" x14ac:dyDescent="0.2"/>
    <row r="1140" x14ac:dyDescent="0.2"/>
    <row r="1141" x14ac:dyDescent="0.2"/>
    <row r="1142" x14ac:dyDescent="0.2"/>
    <row r="1143" x14ac:dyDescent="0.2"/>
    <row r="1144" x14ac:dyDescent="0.2"/>
    <row r="1145" x14ac:dyDescent="0.2"/>
    <row r="1146" x14ac:dyDescent="0.2"/>
    <row r="1147" x14ac:dyDescent="0.2"/>
    <row r="1148" x14ac:dyDescent="0.2"/>
    <row r="1149" x14ac:dyDescent="0.2"/>
    <row r="1150" x14ac:dyDescent="0.2"/>
    <row r="1151" x14ac:dyDescent="0.2"/>
    <row r="1152" x14ac:dyDescent="0.2"/>
    <row r="1153" x14ac:dyDescent="0.2"/>
    <row r="1154" x14ac:dyDescent="0.2"/>
    <row r="1155" x14ac:dyDescent="0.2"/>
    <row r="1156" x14ac:dyDescent="0.2"/>
    <row r="1157" x14ac:dyDescent="0.2"/>
    <row r="1158" x14ac:dyDescent="0.2"/>
    <row r="1159" x14ac:dyDescent="0.2"/>
    <row r="1160" x14ac:dyDescent="0.2"/>
    <row r="1161" x14ac:dyDescent="0.2"/>
    <row r="1162" x14ac:dyDescent="0.2"/>
    <row r="1163" x14ac:dyDescent="0.2"/>
    <row r="1164" x14ac:dyDescent="0.2"/>
    <row r="1165" ht="15" customHeight="1" x14ac:dyDescent="0.2"/>
    <row r="1166" x14ac:dyDescent="0.2"/>
    <row r="1167" x14ac:dyDescent="0.2"/>
    <row r="1168" x14ac:dyDescent="0.2"/>
    <row r="1169" x14ac:dyDescent="0.2"/>
    <row r="1170" x14ac:dyDescent="0.2"/>
    <row r="1171" x14ac:dyDescent="0.2"/>
    <row r="1172" x14ac:dyDescent="0.2"/>
    <row r="1173" x14ac:dyDescent="0.2"/>
    <row r="1174" x14ac:dyDescent="0.2"/>
    <row r="1175" x14ac:dyDescent="0.2"/>
    <row r="1176" x14ac:dyDescent="0.2"/>
    <row r="1177" x14ac:dyDescent="0.2"/>
    <row r="1178" x14ac:dyDescent="0.2"/>
    <row r="1179" x14ac:dyDescent="0.2"/>
    <row r="1180" x14ac:dyDescent="0.2"/>
    <row r="1181" x14ac:dyDescent="0.2"/>
    <row r="1182" x14ac:dyDescent="0.2"/>
    <row r="1183" x14ac:dyDescent="0.2"/>
    <row r="1184" x14ac:dyDescent="0.2"/>
    <row r="1185" x14ac:dyDescent="0.2"/>
    <row r="1186" x14ac:dyDescent="0.2"/>
    <row r="1187" x14ac:dyDescent="0.2"/>
    <row r="1188" x14ac:dyDescent="0.2"/>
    <row r="1189" x14ac:dyDescent="0.2"/>
    <row r="1190" x14ac:dyDescent="0.2"/>
    <row r="1191" x14ac:dyDescent="0.2"/>
    <row r="1192" x14ac:dyDescent="0.2"/>
    <row r="1193" x14ac:dyDescent="0.2"/>
    <row r="1194" x14ac:dyDescent="0.2"/>
    <row r="1195" x14ac:dyDescent="0.2"/>
    <row r="1196" x14ac:dyDescent="0.2"/>
    <row r="1197" x14ac:dyDescent="0.2"/>
    <row r="1198" x14ac:dyDescent="0.2"/>
    <row r="1199" x14ac:dyDescent="0.2"/>
    <row r="1200" x14ac:dyDescent="0.2"/>
    <row r="1201" x14ac:dyDescent="0.2"/>
    <row r="1202" x14ac:dyDescent="0.2"/>
    <row r="1203" x14ac:dyDescent="0.2"/>
    <row r="1204" x14ac:dyDescent="0.2"/>
    <row r="1205" x14ac:dyDescent="0.2"/>
    <row r="1206" x14ac:dyDescent="0.2"/>
    <row r="1207" x14ac:dyDescent="0.2"/>
    <row r="1208" x14ac:dyDescent="0.2"/>
    <row r="1209" x14ac:dyDescent="0.2"/>
    <row r="1210" x14ac:dyDescent="0.2"/>
    <row r="1211" x14ac:dyDescent="0.2"/>
  </sheetData>
  <mergeCells count="5">
    <mergeCell ref="B2:C2"/>
    <mergeCell ref="F2:G2"/>
    <mergeCell ref="F4:G4"/>
    <mergeCell ref="F5:O7"/>
    <mergeCell ref="F8:M9"/>
  </mergeCells>
  <conditionalFormatting sqref="U12">
    <cfRule type="iconSet" priority="5180">
      <iconSet iconSet="3Symbols" showValue="0" reverse="1">
        <cfvo type="percent" val="0"/>
        <cfvo type="num" val="1"/>
        <cfvo type="num" val="1.05"/>
      </iconSet>
    </cfRule>
  </conditionalFormatting>
  <conditionalFormatting sqref="U15">
    <cfRule type="iconSet" priority="5179">
      <iconSet iconSet="3Symbols" showValue="0" reverse="1">
        <cfvo type="percent" val="0"/>
        <cfvo type="num" val="1"/>
        <cfvo type="num" val="1.05"/>
      </iconSet>
    </cfRule>
  </conditionalFormatting>
  <conditionalFormatting sqref="Q16">
    <cfRule type="iconSet" priority="5177">
      <iconSet iconSet="3Symbols" showValue="0" reverse="1">
        <cfvo type="percent" val="0"/>
        <cfvo type="num" val="1"/>
        <cfvo type="num" val="1.05"/>
      </iconSet>
    </cfRule>
  </conditionalFormatting>
  <conditionalFormatting sqref="P15">
    <cfRule type="iconSet" priority="5169">
      <iconSet iconSet="3Symbols" showValue="0" reverse="1">
        <cfvo type="percent" val="0"/>
        <cfvo type="num" val="1"/>
        <cfvo type="num" val="1.05"/>
      </iconSet>
    </cfRule>
  </conditionalFormatting>
  <conditionalFormatting sqref="N16">
    <cfRule type="cellIs" dxfId="3743" priority="5161" operator="lessThan">
      <formula>0</formula>
    </cfRule>
    <cfRule type="cellIs" dxfId="3742" priority="5162" operator="greaterThan">
      <formula>0</formula>
    </cfRule>
  </conditionalFormatting>
  <conditionalFormatting sqref="F16">
    <cfRule type="cellIs" dxfId="3741" priority="5159" operator="lessThan">
      <formula>0</formula>
    </cfRule>
    <cfRule type="cellIs" dxfId="3740" priority="5160" operator="greaterThan">
      <formula>0</formula>
    </cfRule>
  </conditionalFormatting>
  <conditionalFormatting sqref="U16">
    <cfRule type="iconSet" priority="5182">
      <iconSet iconSet="3Symbols" showValue="0" reverse="1">
        <cfvo type="percent" val="0"/>
        <cfvo type="num" val="1"/>
        <cfvo type="num" val="1.05"/>
      </iconSet>
    </cfRule>
  </conditionalFormatting>
  <conditionalFormatting sqref="P16">
    <cfRule type="iconSet" priority="5183">
      <iconSet iconSet="3Symbols" showValue="0" reverse="1">
        <cfvo type="percent" val="0"/>
        <cfvo type="num" val="1"/>
        <cfvo type="num" val="1.05"/>
      </iconSet>
    </cfRule>
  </conditionalFormatting>
  <conditionalFormatting sqref="N521:N522">
    <cfRule type="cellIs" dxfId="3739" priority="5137" operator="lessThan">
      <formula>0</formula>
    </cfRule>
    <cfRule type="cellIs" dxfId="3738" priority="5138" operator="greaterThan">
      <formula>0</formula>
    </cfRule>
  </conditionalFormatting>
  <conditionalFormatting sqref="F521:F522">
    <cfRule type="cellIs" dxfId="3737" priority="5135" operator="lessThan">
      <formula>0</formula>
    </cfRule>
    <cfRule type="cellIs" dxfId="3736" priority="5136" operator="greaterThan">
      <formula>0</formula>
    </cfRule>
  </conditionalFormatting>
  <conditionalFormatting sqref="N528">
    <cfRule type="cellIs" dxfId="3735" priority="5133" operator="lessThan">
      <formula>0</formula>
    </cfRule>
    <cfRule type="cellIs" dxfId="3734" priority="5134" operator="greaterThan">
      <formula>0</formula>
    </cfRule>
  </conditionalFormatting>
  <conditionalFormatting sqref="F528">
    <cfRule type="cellIs" dxfId="3733" priority="5131" operator="lessThan">
      <formula>0</formula>
    </cfRule>
    <cfRule type="cellIs" dxfId="3732" priority="5132" operator="greaterThan">
      <formula>0</formula>
    </cfRule>
  </conditionalFormatting>
  <conditionalFormatting sqref="N1033:N1034">
    <cfRule type="cellIs" dxfId="3731" priority="5129" operator="lessThan">
      <formula>0</formula>
    </cfRule>
    <cfRule type="cellIs" dxfId="3730" priority="5130" operator="greaterThan">
      <formula>0</formula>
    </cfRule>
  </conditionalFormatting>
  <conditionalFormatting sqref="F1033:F1034">
    <cfRule type="cellIs" dxfId="3729" priority="5127" operator="lessThan">
      <formula>0</formula>
    </cfRule>
    <cfRule type="cellIs" dxfId="3728" priority="5128" operator="greaterThan">
      <formula>0</formula>
    </cfRule>
  </conditionalFormatting>
  <conditionalFormatting sqref="Q520">
    <cfRule type="iconSet" priority="5124">
      <iconSet iconSet="3Symbols" showValue="0" reverse="1">
        <cfvo type="percent" val="0"/>
        <cfvo type="num" val="1"/>
        <cfvo type="num" val="1.05"/>
      </iconSet>
    </cfRule>
  </conditionalFormatting>
  <conditionalFormatting sqref="N520">
    <cfRule type="cellIs" dxfId="3727" priority="5122" operator="lessThan">
      <formula>0</formula>
    </cfRule>
    <cfRule type="cellIs" dxfId="3726" priority="5123" operator="greaterThan">
      <formula>0</formula>
    </cfRule>
  </conditionalFormatting>
  <conditionalFormatting sqref="F520">
    <cfRule type="cellIs" dxfId="3725" priority="5120" operator="lessThan">
      <formula>0</formula>
    </cfRule>
    <cfRule type="cellIs" dxfId="3724" priority="5121" operator="greaterThan">
      <formula>0</formula>
    </cfRule>
  </conditionalFormatting>
  <conditionalFormatting sqref="U520">
    <cfRule type="iconSet" priority="5125">
      <iconSet iconSet="3Symbols" showValue="0" reverse="1">
        <cfvo type="percent" val="0"/>
        <cfvo type="num" val="1"/>
        <cfvo type="num" val="1.05"/>
      </iconSet>
    </cfRule>
  </conditionalFormatting>
  <conditionalFormatting sqref="P520">
    <cfRule type="iconSet" priority="5126">
      <iconSet iconSet="3Symbols" showValue="0" reverse="1">
        <cfvo type="percent" val="0"/>
        <cfvo type="num" val="1"/>
        <cfvo type="num" val="1.05"/>
      </iconSet>
    </cfRule>
  </conditionalFormatting>
  <conditionalFormatting sqref="Q519">
    <cfRule type="iconSet" priority="5117">
      <iconSet iconSet="3Symbols" showValue="0" reverse="1">
        <cfvo type="percent" val="0"/>
        <cfvo type="num" val="1"/>
        <cfvo type="num" val="1.05"/>
      </iconSet>
    </cfRule>
  </conditionalFormatting>
  <conditionalFormatting sqref="N519">
    <cfRule type="cellIs" dxfId="3723" priority="5115" operator="lessThan">
      <formula>0</formula>
    </cfRule>
    <cfRule type="cellIs" dxfId="3722" priority="5116" operator="greaterThan">
      <formula>0</formula>
    </cfRule>
  </conditionalFormatting>
  <conditionalFormatting sqref="F519">
    <cfRule type="cellIs" dxfId="3721" priority="5113" operator="lessThan">
      <formula>0</formula>
    </cfRule>
    <cfRule type="cellIs" dxfId="3720" priority="5114" operator="greaterThan">
      <formula>0</formula>
    </cfRule>
  </conditionalFormatting>
  <conditionalFormatting sqref="U519">
    <cfRule type="iconSet" priority="5118">
      <iconSet iconSet="3Symbols" showValue="0" reverse="1">
        <cfvo type="percent" val="0"/>
        <cfvo type="num" val="1"/>
        <cfvo type="num" val="1.05"/>
      </iconSet>
    </cfRule>
  </conditionalFormatting>
  <conditionalFormatting sqref="P519">
    <cfRule type="iconSet" priority="5119">
      <iconSet iconSet="3Symbols" showValue="0" reverse="1">
        <cfvo type="percent" val="0"/>
        <cfvo type="num" val="1"/>
        <cfvo type="num" val="1.05"/>
      </iconSet>
    </cfRule>
  </conditionalFormatting>
  <conditionalFormatting sqref="Q518">
    <cfRule type="iconSet" priority="5110">
      <iconSet iconSet="3Symbols" showValue="0" reverse="1">
        <cfvo type="percent" val="0"/>
        <cfvo type="num" val="1"/>
        <cfvo type="num" val="1.05"/>
      </iconSet>
    </cfRule>
  </conditionalFormatting>
  <conditionalFormatting sqref="N518">
    <cfRule type="cellIs" dxfId="3719" priority="5108" operator="lessThan">
      <formula>0</formula>
    </cfRule>
    <cfRule type="cellIs" dxfId="3718" priority="5109" operator="greaterThan">
      <formula>0</formula>
    </cfRule>
  </conditionalFormatting>
  <conditionalFormatting sqref="F518">
    <cfRule type="cellIs" dxfId="3717" priority="5106" operator="lessThan">
      <formula>0</formula>
    </cfRule>
    <cfRule type="cellIs" dxfId="3716" priority="5107" operator="greaterThan">
      <formula>0</formula>
    </cfRule>
  </conditionalFormatting>
  <conditionalFormatting sqref="U518">
    <cfRule type="iconSet" priority="5111">
      <iconSet iconSet="3Symbols" showValue="0" reverse="1">
        <cfvo type="percent" val="0"/>
        <cfvo type="num" val="1"/>
        <cfvo type="num" val="1.05"/>
      </iconSet>
    </cfRule>
  </conditionalFormatting>
  <conditionalFormatting sqref="P518">
    <cfRule type="iconSet" priority="5112">
      <iconSet iconSet="3Symbols" showValue="0" reverse="1">
        <cfvo type="percent" val="0"/>
        <cfvo type="num" val="1"/>
        <cfvo type="num" val="1.05"/>
      </iconSet>
    </cfRule>
  </conditionalFormatting>
  <conditionalFormatting sqref="Q517">
    <cfRule type="iconSet" priority="5103">
      <iconSet iconSet="3Symbols" showValue="0" reverse="1">
        <cfvo type="percent" val="0"/>
        <cfvo type="num" val="1"/>
        <cfvo type="num" val="1.05"/>
      </iconSet>
    </cfRule>
  </conditionalFormatting>
  <conditionalFormatting sqref="N517">
    <cfRule type="cellIs" dxfId="3715" priority="5101" operator="lessThan">
      <formula>0</formula>
    </cfRule>
    <cfRule type="cellIs" dxfId="3714" priority="5102" operator="greaterThan">
      <formula>0</formula>
    </cfRule>
  </conditionalFormatting>
  <conditionalFormatting sqref="F517">
    <cfRule type="cellIs" dxfId="3713" priority="5099" operator="lessThan">
      <formula>0</formula>
    </cfRule>
    <cfRule type="cellIs" dxfId="3712" priority="5100" operator="greaterThan">
      <formula>0</formula>
    </cfRule>
  </conditionalFormatting>
  <conditionalFormatting sqref="U517">
    <cfRule type="iconSet" priority="5104">
      <iconSet iconSet="3Symbols" showValue="0" reverse="1">
        <cfvo type="percent" val="0"/>
        <cfvo type="num" val="1"/>
        <cfvo type="num" val="1.05"/>
      </iconSet>
    </cfRule>
  </conditionalFormatting>
  <conditionalFormatting sqref="P517">
    <cfRule type="iconSet" priority="5105">
      <iconSet iconSet="3Symbols" showValue="0" reverse="1">
        <cfvo type="percent" val="0"/>
        <cfvo type="num" val="1"/>
        <cfvo type="num" val="1.05"/>
      </iconSet>
    </cfRule>
  </conditionalFormatting>
  <conditionalFormatting sqref="Q516">
    <cfRule type="iconSet" priority="5096">
      <iconSet iconSet="3Symbols" showValue="0" reverse="1">
        <cfvo type="percent" val="0"/>
        <cfvo type="num" val="1"/>
        <cfvo type="num" val="1.05"/>
      </iconSet>
    </cfRule>
  </conditionalFormatting>
  <conditionalFormatting sqref="N516">
    <cfRule type="cellIs" dxfId="3711" priority="5094" operator="lessThan">
      <formula>0</formula>
    </cfRule>
    <cfRule type="cellIs" dxfId="3710" priority="5095" operator="greaterThan">
      <formula>0</formula>
    </cfRule>
  </conditionalFormatting>
  <conditionalFormatting sqref="F516">
    <cfRule type="cellIs" dxfId="3709" priority="5092" operator="lessThan">
      <formula>0</formula>
    </cfRule>
    <cfRule type="cellIs" dxfId="3708" priority="5093" operator="greaterThan">
      <formula>0</formula>
    </cfRule>
  </conditionalFormatting>
  <conditionalFormatting sqref="U516">
    <cfRule type="iconSet" priority="5097">
      <iconSet iconSet="3Symbols" showValue="0" reverse="1">
        <cfvo type="percent" val="0"/>
        <cfvo type="num" val="1"/>
        <cfvo type="num" val="1.05"/>
      </iconSet>
    </cfRule>
  </conditionalFormatting>
  <conditionalFormatting sqref="P516">
    <cfRule type="iconSet" priority="5098">
      <iconSet iconSet="3Symbols" showValue="0" reverse="1">
        <cfvo type="percent" val="0"/>
        <cfvo type="num" val="1"/>
        <cfvo type="num" val="1.05"/>
      </iconSet>
    </cfRule>
  </conditionalFormatting>
  <conditionalFormatting sqref="Q515">
    <cfRule type="iconSet" priority="5089">
      <iconSet iconSet="3Symbols" showValue="0" reverse="1">
        <cfvo type="percent" val="0"/>
        <cfvo type="num" val="1"/>
        <cfvo type="num" val="1.05"/>
      </iconSet>
    </cfRule>
  </conditionalFormatting>
  <conditionalFormatting sqref="N515">
    <cfRule type="cellIs" dxfId="3707" priority="5087" operator="lessThan">
      <formula>0</formula>
    </cfRule>
    <cfRule type="cellIs" dxfId="3706" priority="5088" operator="greaterThan">
      <formula>0</formula>
    </cfRule>
  </conditionalFormatting>
  <conditionalFormatting sqref="F515">
    <cfRule type="cellIs" dxfId="3705" priority="5085" operator="lessThan">
      <formula>0</formula>
    </cfRule>
    <cfRule type="cellIs" dxfId="3704" priority="5086" operator="greaterThan">
      <formula>0</formula>
    </cfRule>
  </conditionalFormatting>
  <conditionalFormatting sqref="U515">
    <cfRule type="iconSet" priority="5090">
      <iconSet iconSet="3Symbols" showValue="0" reverse="1">
        <cfvo type="percent" val="0"/>
        <cfvo type="num" val="1"/>
        <cfvo type="num" val="1.05"/>
      </iconSet>
    </cfRule>
  </conditionalFormatting>
  <conditionalFormatting sqref="P515">
    <cfRule type="iconSet" priority="5091">
      <iconSet iconSet="3Symbols" showValue="0" reverse="1">
        <cfvo type="percent" val="0"/>
        <cfvo type="num" val="1"/>
        <cfvo type="num" val="1.05"/>
      </iconSet>
    </cfRule>
  </conditionalFormatting>
  <conditionalFormatting sqref="Q514">
    <cfRule type="iconSet" priority="5082">
      <iconSet iconSet="3Symbols" showValue="0" reverse="1">
        <cfvo type="percent" val="0"/>
        <cfvo type="num" val="1"/>
        <cfvo type="num" val="1.05"/>
      </iconSet>
    </cfRule>
  </conditionalFormatting>
  <conditionalFormatting sqref="N514">
    <cfRule type="cellIs" dxfId="3703" priority="5080" operator="lessThan">
      <formula>0</formula>
    </cfRule>
    <cfRule type="cellIs" dxfId="3702" priority="5081" operator="greaterThan">
      <formula>0</formula>
    </cfRule>
  </conditionalFormatting>
  <conditionalFormatting sqref="F514">
    <cfRule type="cellIs" dxfId="3701" priority="5078" operator="lessThan">
      <formula>0</formula>
    </cfRule>
    <cfRule type="cellIs" dxfId="3700" priority="5079" operator="greaterThan">
      <formula>0</formula>
    </cfRule>
  </conditionalFormatting>
  <conditionalFormatting sqref="U514">
    <cfRule type="iconSet" priority="5083">
      <iconSet iconSet="3Symbols" showValue="0" reverse="1">
        <cfvo type="percent" val="0"/>
        <cfvo type="num" val="1"/>
        <cfvo type="num" val="1.05"/>
      </iconSet>
    </cfRule>
  </conditionalFormatting>
  <conditionalFormatting sqref="P514">
    <cfRule type="iconSet" priority="5084">
      <iconSet iconSet="3Symbols" showValue="0" reverse="1">
        <cfvo type="percent" val="0"/>
        <cfvo type="num" val="1"/>
        <cfvo type="num" val="1.05"/>
      </iconSet>
    </cfRule>
  </conditionalFormatting>
  <conditionalFormatting sqref="Q513">
    <cfRule type="iconSet" priority="5075">
      <iconSet iconSet="3Symbols" showValue="0" reverse="1">
        <cfvo type="percent" val="0"/>
        <cfvo type="num" val="1"/>
        <cfvo type="num" val="1.05"/>
      </iconSet>
    </cfRule>
  </conditionalFormatting>
  <conditionalFormatting sqref="N513">
    <cfRule type="cellIs" dxfId="3699" priority="5073" operator="lessThan">
      <formula>0</formula>
    </cfRule>
    <cfRule type="cellIs" dxfId="3698" priority="5074" operator="greaterThan">
      <formula>0</formula>
    </cfRule>
  </conditionalFormatting>
  <conditionalFormatting sqref="F513">
    <cfRule type="cellIs" dxfId="3697" priority="5071" operator="lessThan">
      <formula>0</formula>
    </cfRule>
    <cfRule type="cellIs" dxfId="3696" priority="5072" operator="greaterThan">
      <formula>0</formula>
    </cfRule>
  </conditionalFormatting>
  <conditionalFormatting sqref="U513">
    <cfRule type="iconSet" priority="5076">
      <iconSet iconSet="3Symbols" showValue="0" reverse="1">
        <cfvo type="percent" val="0"/>
        <cfvo type="num" val="1"/>
        <cfvo type="num" val="1.05"/>
      </iconSet>
    </cfRule>
  </conditionalFormatting>
  <conditionalFormatting sqref="P513">
    <cfRule type="iconSet" priority="5077">
      <iconSet iconSet="3Symbols" showValue="0" reverse="1">
        <cfvo type="percent" val="0"/>
        <cfvo type="num" val="1"/>
        <cfvo type="num" val="1.05"/>
      </iconSet>
    </cfRule>
  </conditionalFormatting>
  <conditionalFormatting sqref="Q512">
    <cfRule type="iconSet" priority="5068">
      <iconSet iconSet="3Symbols" showValue="0" reverse="1">
        <cfvo type="percent" val="0"/>
        <cfvo type="num" val="1"/>
        <cfvo type="num" val="1.05"/>
      </iconSet>
    </cfRule>
  </conditionalFormatting>
  <conditionalFormatting sqref="N512">
    <cfRule type="cellIs" dxfId="3695" priority="5066" operator="lessThan">
      <formula>0</formula>
    </cfRule>
    <cfRule type="cellIs" dxfId="3694" priority="5067" operator="greaterThan">
      <formula>0</formula>
    </cfRule>
  </conditionalFormatting>
  <conditionalFormatting sqref="F512">
    <cfRule type="cellIs" dxfId="3693" priority="5064" operator="lessThan">
      <formula>0</formula>
    </cfRule>
    <cfRule type="cellIs" dxfId="3692" priority="5065" operator="greaterThan">
      <formula>0</formula>
    </cfRule>
  </conditionalFormatting>
  <conditionalFormatting sqref="U512">
    <cfRule type="iconSet" priority="5069">
      <iconSet iconSet="3Symbols" showValue="0" reverse="1">
        <cfvo type="percent" val="0"/>
        <cfvo type="num" val="1"/>
        <cfvo type="num" val="1.05"/>
      </iconSet>
    </cfRule>
  </conditionalFormatting>
  <conditionalFormatting sqref="P512">
    <cfRule type="iconSet" priority="5070">
      <iconSet iconSet="3Symbols" showValue="0" reverse="1">
        <cfvo type="percent" val="0"/>
        <cfvo type="num" val="1"/>
        <cfvo type="num" val="1.05"/>
      </iconSet>
    </cfRule>
  </conditionalFormatting>
  <conditionalFormatting sqref="Q511">
    <cfRule type="iconSet" priority="5061">
      <iconSet iconSet="3Symbols" showValue="0" reverse="1">
        <cfvo type="percent" val="0"/>
        <cfvo type="num" val="1"/>
        <cfvo type="num" val="1.05"/>
      </iconSet>
    </cfRule>
  </conditionalFormatting>
  <conditionalFormatting sqref="N511">
    <cfRule type="cellIs" dxfId="3691" priority="5059" operator="lessThan">
      <formula>0</formula>
    </cfRule>
    <cfRule type="cellIs" dxfId="3690" priority="5060" operator="greaterThan">
      <formula>0</formula>
    </cfRule>
  </conditionalFormatting>
  <conditionalFormatting sqref="F511">
    <cfRule type="cellIs" dxfId="3689" priority="5057" operator="lessThan">
      <formula>0</formula>
    </cfRule>
    <cfRule type="cellIs" dxfId="3688" priority="5058" operator="greaterThan">
      <formula>0</formula>
    </cfRule>
  </conditionalFormatting>
  <conditionalFormatting sqref="U511">
    <cfRule type="iconSet" priority="5062">
      <iconSet iconSet="3Symbols" showValue="0" reverse="1">
        <cfvo type="percent" val="0"/>
        <cfvo type="num" val="1"/>
        <cfvo type="num" val="1.05"/>
      </iconSet>
    </cfRule>
  </conditionalFormatting>
  <conditionalFormatting sqref="P511">
    <cfRule type="iconSet" priority="5063">
      <iconSet iconSet="3Symbols" showValue="0" reverse="1">
        <cfvo type="percent" val="0"/>
        <cfvo type="num" val="1"/>
        <cfvo type="num" val="1.05"/>
      </iconSet>
    </cfRule>
  </conditionalFormatting>
  <conditionalFormatting sqref="Q510">
    <cfRule type="iconSet" priority="5054">
      <iconSet iconSet="3Symbols" showValue="0" reverse="1">
        <cfvo type="percent" val="0"/>
        <cfvo type="num" val="1"/>
        <cfvo type="num" val="1.05"/>
      </iconSet>
    </cfRule>
  </conditionalFormatting>
  <conditionalFormatting sqref="N510">
    <cfRule type="cellIs" dxfId="3687" priority="5052" operator="lessThan">
      <formula>0</formula>
    </cfRule>
    <cfRule type="cellIs" dxfId="3686" priority="5053" operator="greaterThan">
      <formula>0</formula>
    </cfRule>
  </conditionalFormatting>
  <conditionalFormatting sqref="F510">
    <cfRule type="cellIs" dxfId="3685" priority="5050" operator="lessThan">
      <formula>0</formula>
    </cfRule>
    <cfRule type="cellIs" dxfId="3684" priority="5051" operator="greaterThan">
      <formula>0</formula>
    </cfRule>
  </conditionalFormatting>
  <conditionalFormatting sqref="U510">
    <cfRule type="iconSet" priority="5055">
      <iconSet iconSet="3Symbols" showValue="0" reverse="1">
        <cfvo type="percent" val="0"/>
        <cfvo type="num" val="1"/>
        <cfvo type="num" val="1.05"/>
      </iconSet>
    </cfRule>
  </conditionalFormatting>
  <conditionalFormatting sqref="P510">
    <cfRule type="iconSet" priority="5056">
      <iconSet iconSet="3Symbols" showValue="0" reverse="1">
        <cfvo type="percent" val="0"/>
        <cfvo type="num" val="1"/>
        <cfvo type="num" val="1.05"/>
      </iconSet>
    </cfRule>
  </conditionalFormatting>
  <conditionalFormatting sqref="Q508:Q509">
    <cfRule type="iconSet" priority="5047">
      <iconSet iconSet="3Symbols" showValue="0" reverse="1">
        <cfvo type="percent" val="0"/>
        <cfvo type="num" val="1"/>
        <cfvo type="num" val="1.05"/>
      </iconSet>
    </cfRule>
  </conditionalFormatting>
  <conditionalFormatting sqref="N508:N509">
    <cfRule type="cellIs" dxfId="3683" priority="5045" operator="lessThan">
      <formula>0</formula>
    </cfRule>
    <cfRule type="cellIs" dxfId="3682" priority="5046" operator="greaterThan">
      <formula>0</formula>
    </cfRule>
  </conditionalFormatting>
  <conditionalFormatting sqref="F508:F509">
    <cfRule type="cellIs" dxfId="3681" priority="5043" operator="lessThan">
      <formula>0</formula>
    </cfRule>
    <cfRule type="cellIs" dxfId="3680" priority="5044" operator="greaterThan">
      <formula>0</formula>
    </cfRule>
  </conditionalFormatting>
  <conditionalFormatting sqref="U508:U509">
    <cfRule type="iconSet" priority="5048">
      <iconSet iconSet="3Symbols" showValue="0" reverse="1">
        <cfvo type="percent" val="0"/>
        <cfvo type="num" val="1"/>
        <cfvo type="num" val="1.05"/>
      </iconSet>
    </cfRule>
  </conditionalFormatting>
  <conditionalFormatting sqref="P508:P509">
    <cfRule type="iconSet" priority="5049">
      <iconSet iconSet="3Symbols" showValue="0" reverse="1">
        <cfvo type="percent" val="0"/>
        <cfvo type="num" val="1"/>
        <cfvo type="num" val="1.05"/>
      </iconSet>
    </cfRule>
  </conditionalFormatting>
  <conditionalFormatting sqref="Q507">
    <cfRule type="iconSet" priority="5040">
      <iconSet iconSet="3Symbols" showValue="0" reverse="1">
        <cfvo type="percent" val="0"/>
        <cfvo type="num" val="1"/>
        <cfvo type="num" val="1.05"/>
      </iconSet>
    </cfRule>
  </conditionalFormatting>
  <conditionalFormatting sqref="N507">
    <cfRule type="cellIs" dxfId="3679" priority="5038" operator="lessThan">
      <formula>0</formula>
    </cfRule>
    <cfRule type="cellIs" dxfId="3678" priority="5039" operator="greaterThan">
      <formula>0</formula>
    </cfRule>
  </conditionalFormatting>
  <conditionalFormatting sqref="F507">
    <cfRule type="cellIs" dxfId="3677" priority="5036" operator="lessThan">
      <formula>0</formula>
    </cfRule>
    <cfRule type="cellIs" dxfId="3676" priority="5037" operator="greaterThan">
      <formula>0</formula>
    </cfRule>
  </conditionalFormatting>
  <conditionalFormatting sqref="U507">
    <cfRule type="iconSet" priority="5041">
      <iconSet iconSet="3Symbols" showValue="0" reverse="1">
        <cfvo type="percent" val="0"/>
        <cfvo type="num" val="1"/>
        <cfvo type="num" val="1.05"/>
      </iconSet>
    </cfRule>
  </conditionalFormatting>
  <conditionalFormatting sqref="P507">
    <cfRule type="iconSet" priority="5042">
      <iconSet iconSet="3Symbols" showValue="0" reverse="1">
        <cfvo type="percent" val="0"/>
        <cfvo type="num" val="1"/>
        <cfvo type="num" val="1.05"/>
      </iconSet>
    </cfRule>
  </conditionalFormatting>
  <conditionalFormatting sqref="Q506">
    <cfRule type="iconSet" priority="5033">
      <iconSet iconSet="3Symbols" showValue="0" reverse="1">
        <cfvo type="percent" val="0"/>
        <cfvo type="num" val="1"/>
        <cfvo type="num" val="1.05"/>
      </iconSet>
    </cfRule>
  </conditionalFormatting>
  <conditionalFormatting sqref="N506">
    <cfRule type="cellIs" dxfId="3675" priority="5031" operator="lessThan">
      <formula>0</formula>
    </cfRule>
    <cfRule type="cellIs" dxfId="3674" priority="5032" operator="greaterThan">
      <formula>0</formula>
    </cfRule>
  </conditionalFormatting>
  <conditionalFormatting sqref="F506">
    <cfRule type="cellIs" dxfId="3673" priority="5029" operator="lessThan">
      <formula>0</formula>
    </cfRule>
    <cfRule type="cellIs" dxfId="3672" priority="5030" operator="greaterThan">
      <formula>0</formula>
    </cfRule>
  </conditionalFormatting>
  <conditionalFormatting sqref="U506">
    <cfRule type="iconSet" priority="5034">
      <iconSet iconSet="3Symbols" showValue="0" reverse="1">
        <cfvo type="percent" val="0"/>
        <cfvo type="num" val="1"/>
        <cfvo type="num" val="1.05"/>
      </iconSet>
    </cfRule>
  </conditionalFormatting>
  <conditionalFormatting sqref="P506">
    <cfRule type="iconSet" priority="5035">
      <iconSet iconSet="3Symbols" showValue="0" reverse="1">
        <cfvo type="percent" val="0"/>
        <cfvo type="num" val="1"/>
        <cfvo type="num" val="1.05"/>
      </iconSet>
    </cfRule>
  </conditionalFormatting>
  <conditionalFormatting sqref="Q505">
    <cfRule type="iconSet" priority="5026">
      <iconSet iconSet="3Symbols" showValue="0" reverse="1">
        <cfvo type="percent" val="0"/>
        <cfvo type="num" val="1"/>
        <cfvo type="num" val="1.05"/>
      </iconSet>
    </cfRule>
  </conditionalFormatting>
  <conditionalFormatting sqref="N505">
    <cfRule type="cellIs" dxfId="3671" priority="5024" operator="lessThan">
      <formula>0</formula>
    </cfRule>
    <cfRule type="cellIs" dxfId="3670" priority="5025" operator="greaterThan">
      <formula>0</formula>
    </cfRule>
  </conditionalFormatting>
  <conditionalFormatting sqref="F505">
    <cfRule type="cellIs" dxfId="3669" priority="5022" operator="lessThan">
      <formula>0</formula>
    </cfRule>
    <cfRule type="cellIs" dxfId="3668" priority="5023" operator="greaterThan">
      <formula>0</formula>
    </cfRule>
  </conditionalFormatting>
  <conditionalFormatting sqref="U505">
    <cfRule type="iconSet" priority="5027">
      <iconSet iconSet="3Symbols" showValue="0" reverse="1">
        <cfvo type="percent" val="0"/>
        <cfvo type="num" val="1"/>
        <cfvo type="num" val="1.05"/>
      </iconSet>
    </cfRule>
  </conditionalFormatting>
  <conditionalFormatting sqref="P505">
    <cfRule type="iconSet" priority="5028">
      <iconSet iconSet="3Symbols" showValue="0" reverse="1">
        <cfvo type="percent" val="0"/>
        <cfvo type="num" val="1"/>
        <cfvo type="num" val="1.05"/>
      </iconSet>
    </cfRule>
  </conditionalFormatting>
  <conditionalFormatting sqref="Q504">
    <cfRule type="iconSet" priority="5019">
      <iconSet iconSet="3Symbols" showValue="0" reverse="1">
        <cfvo type="percent" val="0"/>
        <cfvo type="num" val="1"/>
        <cfvo type="num" val="1.05"/>
      </iconSet>
    </cfRule>
  </conditionalFormatting>
  <conditionalFormatting sqref="N504">
    <cfRule type="cellIs" dxfId="3667" priority="5017" operator="lessThan">
      <formula>0</formula>
    </cfRule>
    <cfRule type="cellIs" dxfId="3666" priority="5018" operator="greaterThan">
      <formula>0</formula>
    </cfRule>
  </conditionalFormatting>
  <conditionalFormatting sqref="F504">
    <cfRule type="cellIs" dxfId="3665" priority="5015" operator="lessThan">
      <formula>0</formula>
    </cfRule>
    <cfRule type="cellIs" dxfId="3664" priority="5016" operator="greaterThan">
      <formula>0</formula>
    </cfRule>
  </conditionalFormatting>
  <conditionalFormatting sqref="U504">
    <cfRule type="iconSet" priority="5020">
      <iconSet iconSet="3Symbols" showValue="0" reverse="1">
        <cfvo type="percent" val="0"/>
        <cfvo type="num" val="1"/>
        <cfvo type="num" val="1.05"/>
      </iconSet>
    </cfRule>
  </conditionalFormatting>
  <conditionalFormatting sqref="P504">
    <cfRule type="iconSet" priority="5021">
      <iconSet iconSet="3Symbols" showValue="0" reverse="1">
        <cfvo type="percent" val="0"/>
        <cfvo type="num" val="1"/>
        <cfvo type="num" val="1.05"/>
      </iconSet>
    </cfRule>
  </conditionalFormatting>
  <conditionalFormatting sqref="Q503">
    <cfRule type="iconSet" priority="5012">
      <iconSet iconSet="3Symbols" showValue="0" reverse="1">
        <cfvo type="percent" val="0"/>
        <cfvo type="num" val="1"/>
        <cfvo type="num" val="1.05"/>
      </iconSet>
    </cfRule>
  </conditionalFormatting>
  <conditionalFormatting sqref="N503">
    <cfRule type="cellIs" dxfId="3663" priority="5010" operator="lessThan">
      <formula>0</formula>
    </cfRule>
    <cfRule type="cellIs" dxfId="3662" priority="5011" operator="greaterThan">
      <formula>0</formula>
    </cfRule>
  </conditionalFormatting>
  <conditionalFormatting sqref="F503">
    <cfRule type="cellIs" dxfId="3661" priority="5008" operator="lessThan">
      <formula>0</formula>
    </cfRule>
    <cfRule type="cellIs" dxfId="3660" priority="5009" operator="greaterThan">
      <formula>0</formula>
    </cfRule>
  </conditionalFormatting>
  <conditionalFormatting sqref="U503">
    <cfRule type="iconSet" priority="5013">
      <iconSet iconSet="3Symbols" showValue="0" reverse="1">
        <cfvo type="percent" val="0"/>
        <cfvo type="num" val="1"/>
        <cfvo type="num" val="1.05"/>
      </iconSet>
    </cfRule>
  </conditionalFormatting>
  <conditionalFormatting sqref="P503">
    <cfRule type="iconSet" priority="5014">
      <iconSet iconSet="3Symbols" showValue="0" reverse="1">
        <cfvo type="percent" val="0"/>
        <cfvo type="num" val="1"/>
        <cfvo type="num" val="1.05"/>
      </iconSet>
    </cfRule>
  </conditionalFormatting>
  <conditionalFormatting sqref="Q502">
    <cfRule type="iconSet" priority="5005">
      <iconSet iconSet="3Symbols" showValue="0" reverse="1">
        <cfvo type="percent" val="0"/>
        <cfvo type="num" val="1"/>
        <cfvo type="num" val="1.05"/>
      </iconSet>
    </cfRule>
  </conditionalFormatting>
  <conditionalFormatting sqref="N502">
    <cfRule type="cellIs" dxfId="3659" priority="5003" operator="lessThan">
      <formula>0</formula>
    </cfRule>
    <cfRule type="cellIs" dxfId="3658" priority="5004" operator="greaterThan">
      <formula>0</formula>
    </cfRule>
  </conditionalFormatting>
  <conditionalFormatting sqref="F502">
    <cfRule type="cellIs" dxfId="3657" priority="5001" operator="lessThan">
      <formula>0</formula>
    </cfRule>
    <cfRule type="cellIs" dxfId="3656" priority="5002" operator="greaterThan">
      <formula>0</formula>
    </cfRule>
  </conditionalFormatting>
  <conditionalFormatting sqref="U502">
    <cfRule type="iconSet" priority="5006">
      <iconSet iconSet="3Symbols" showValue="0" reverse="1">
        <cfvo type="percent" val="0"/>
        <cfvo type="num" val="1"/>
        <cfvo type="num" val="1.05"/>
      </iconSet>
    </cfRule>
  </conditionalFormatting>
  <conditionalFormatting sqref="P502">
    <cfRule type="iconSet" priority="5007">
      <iconSet iconSet="3Symbols" showValue="0" reverse="1">
        <cfvo type="percent" val="0"/>
        <cfvo type="num" val="1"/>
        <cfvo type="num" val="1.05"/>
      </iconSet>
    </cfRule>
  </conditionalFormatting>
  <conditionalFormatting sqref="Q501">
    <cfRule type="iconSet" priority="4998">
      <iconSet iconSet="3Symbols" showValue="0" reverse="1">
        <cfvo type="percent" val="0"/>
        <cfvo type="num" val="1"/>
        <cfvo type="num" val="1.05"/>
      </iconSet>
    </cfRule>
  </conditionalFormatting>
  <conditionalFormatting sqref="N501">
    <cfRule type="cellIs" dxfId="3655" priority="4996" operator="lessThan">
      <formula>0</formula>
    </cfRule>
    <cfRule type="cellIs" dxfId="3654" priority="4997" operator="greaterThan">
      <formula>0</formula>
    </cfRule>
  </conditionalFormatting>
  <conditionalFormatting sqref="F501">
    <cfRule type="cellIs" dxfId="3653" priority="4994" operator="lessThan">
      <formula>0</formula>
    </cfRule>
    <cfRule type="cellIs" dxfId="3652" priority="4995" operator="greaterThan">
      <formula>0</formula>
    </cfRule>
  </conditionalFormatting>
  <conditionalFormatting sqref="U501">
    <cfRule type="iconSet" priority="4999">
      <iconSet iconSet="3Symbols" showValue="0" reverse="1">
        <cfvo type="percent" val="0"/>
        <cfvo type="num" val="1"/>
        <cfvo type="num" val="1.05"/>
      </iconSet>
    </cfRule>
  </conditionalFormatting>
  <conditionalFormatting sqref="P501">
    <cfRule type="iconSet" priority="5000">
      <iconSet iconSet="3Symbols" showValue="0" reverse="1">
        <cfvo type="percent" val="0"/>
        <cfvo type="num" val="1"/>
        <cfvo type="num" val="1.05"/>
      </iconSet>
    </cfRule>
  </conditionalFormatting>
  <conditionalFormatting sqref="Q500">
    <cfRule type="iconSet" priority="4991">
      <iconSet iconSet="3Symbols" showValue="0" reverse="1">
        <cfvo type="percent" val="0"/>
        <cfvo type="num" val="1"/>
        <cfvo type="num" val="1.05"/>
      </iconSet>
    </cfRule>
  </conditionalFormatting>
  <conditionalFormatting sqref="N500">
    <cfRule type="cellIs" dxfId="3651" priority="4989" operator="lessThan">
      <formula>0</formula>
    </cfRule>
    <cfRule type="cellIs" dxfId="3650" priority="4990" operator="greaterThan">
      <formula>0</formula>
    </cfRule>
  </conditionalFormatting>
  <conditionalFormatting sqref="F500">
    <cfRule type="cellIs" dxfId="3649" priority="4987" operator="lessThan">
      <formula>0</formula>
    </cfRule>
    <cfRule type="cellIs" dxfId="3648" priority="4988" operator="greaterThan">
      <formula>0</formula>
    </cfRule>
  </conditionalFormatting>
  <conditionalFormatting sqref="U500">
    <cfRule type="iconSet" priority="4992">
      <iconSet iconSet="3Symbols" showValue="0" reverse="1">
        <cfvo type="percent" val="0"/>
        <cfvo type="num" val="1"/>
        <cfvo type="num" val="1.05"/>
      </iconSet>
    </cfRule>
  </conditionalFormatting>
  <conditionalFormatting sqref="P500">
    <cfRule type="iconSet" priority="4993">
      <iconSet iconSet="3Symbols" showValue="0" reverse="1">
        <cfvo type="percent" val="0"/>
        <cfvo type="num" val="1"/>
        <cfvo type="num" val="1.05"/>
      </iconSet>
    </cfRule>
  </conditionalFormatting>
  <conditionalFormatting sqref="Q499">
    <cfRule type="iconSet" priority="4984">
      <iconSet iconSet="3Symbols" showValue="0" reverse="1">
        <cfvo type="percent" val="0"/>
        <cfvo type="num" val="1"/>
        <cfvo type="num" val="1.05"/>
      </iconSet>
    </cfRule>
  </conditionalFormatting>
  <conditionalFormatting sqref="N499">
    <cfRule type="cellIs" dxfId="3647" priority="4982" operator="lessThan">
      <formula>0</formula>
    </cfRule>
    <cfRule type="cellIs" dxfId="3646" priority="4983" operator="greaterThan">
      <formula>0</formula>
    </cfRule>
  </conditionalFormatting>
  <conditionalFormatting sqref="F499">
    <cfRule type="cellIs" dxfId="3645" priority="4980" operator="lessThan">
      <formula>0</formula>
    </cfRule>
    <cfRule type="cellIs" dxfId="3644" priority="4981" operator="greaterThan">
      <formula>0</formula>
    </cfRule>
  </conditionalFormatting>
  <conditionalFormatting sqref="U499">
    <cfRule type="iconSet" priority="4985">
      <iconSet iconSet="3Symbols" showValue="0" reverse="1">
        <cfvo type="percent" val="0"/>
        <cfvo type="num" val="1"/>
        <cfvo type="num" val="1.05"/>
      </iconSet>
    </cfRule>
  </conditionalFormatting>
  <conditionalFormatting sqref="P499">
    <cfRule type="iconSet" priority="4986">
      <iconSet iconSet="3Symbols" showValue="0" reverse="1">
        <cfvo type="percent" val="0"/>
        <cfvo type="num" val="1"/>
        <cfvo type="num" val="1.05"/>
      </iconSet>
    </cfRule>
  </conditionalFormatting>
  <conditionalFormatting sqref="Q498">
    <cfRule type="iconSet" priority="4977">
      <iconSet iconSet="3Symbols" showValue="0" reverse="1">
        <cfvo type="percent" val="0"/>
        <cfvo type="num" val="1"/>
        <cfvo type="num" val="1.05"/>
      </iconSet>
    </cfRule>
  </conditionalFormatting>
  <conditionalFormatting sqref="N498">
    <cfRule type="cellIs" dxfId="3643" priority="4975" operator="lessThan">
      <formula>0</formula>
    </cfRule>
    <cfRule type="cellIs" dxfId="3642" priority="4976" operator="greaterThan">
      <formula>0</formula>
    </cfRule>
  </conditionalFormatting>
  <conditionalFormatting sqref="F498">
    <cfRule type="cellIs" dxfId="3641" priority="4973" operator="lessThan">
      <formula>0</formula>
    </cfRule>
    <cfRule type="cellIs" dxfId="3640" priority="4974" operator="greaterThan">
      <formula>0</formula>
    </cfRule>
  </conditionalFormatting>
  <conditionalFormatting sqref="U498">
    <cfRule type="iconSet" priority="4978">
      <iconSet iconSet="3Symbols" showValue="0" reverse="1">
        <cfvo type="percent" val="0"/>
        <cfvo type="num" val="1"/>
        <cfvo type="num" val="1.05"/>
      </iconSet>
    </cfRule>
  </conditionalFormatting>
  <conditionalFormatting sqref="P498">
    <cfRule type="iconSet" priority="4979">
      <iconSet iconSet="3Symbols" showValue="0" reverse="1">
        <cfvo type="percent" val="0"/>
        <cfvo type="num" val="1"/>
        <cfvo type="num" val="1.05"/>
      </iconSet>
    </cfRule>
  </conditionalFormatting>
  <conditionalFormatting sqref="Q497">
    <cfRule type="iconSet" priority="4970">
      <iconSet iconSet="3Symbols" showValue="0" reverse="1">
        <cfvo type="percent" val="0"/>
        <cfvo type="num" val="1"/>
        <cfvo type="num" val="1.05"/>
      </iconSet>
    </cfRule>
  </conditionalFormatting>
  <conditionalFormatting sqref="N497">
    <cfRule type="cellIs" dxfId="3639" priority="4968" operator="lessThan">
      <formula>0</formula>
    </cfRule>
    <cfRule type="cellIs" dxfId="3638" priority="4969" operator="greaterThan">
      <formula>0</formula>
    </cfRule>
  </conditionalFormatting>
  <conditionalFormatting sqref="F497">
    <cfRule type="cellIs" dxfId="3637" priority="4966" operator="lessThan">
      <formula>0</formula>
    </cfRule>
    <cfRule type="cellIs" dxfId="3636" priority="4967" operator="greaterThan">
      <formula>0</formula>
    </cfRule>
  </conditionalFormatting>
  <conditionalFormatting sqref="U497">
    <cfRule type="iconSet" priority="4971">
      <iconSet iconSet="3Symbols" showValue="0" reverse="1">
        <cfvo type="percent" val="0"/>
        <cfvo type="num" val="1"/>
        <cfvo type="num" val="1.05"/>
      </iconSet>
    </cfRule>
  </conditionalFormatting>
  <conditionalFormatting sqref="P497">
    <cfRule type="iconSet" priority="4972">
      <iconSet iconSet="3Symbols" showValue="0" reverse="1">
        <cfvo type="percent" val="0"/>
        <cfvo type="num" val="1"/>
        <cfvo type="num" val="1.05"/>
      </iconSet>
    </cfRule>
  </conditionalFormatting>
  <conditionalFormatting sqref="Q495:Q496">
    <cfRule type="iconSet" priority="4963">
      <iconSet iconSet="3Symbols" showValue="0" reverse="1">
        <cfvo type="percent" val="0"/>
        <cfvo type="num" val="1"/>
        <cfvo type="num" val="1.05"/>
      </iconSet>
    </cfRule>
  </conditionalFormatting>
  <conditionalFormatting sqref="N495:N496">
    <cfRule type="cellIs" dxfId="3635" priority="4961" operator="lessThan">
      <formula>0</formula>
    </cfRule>
    <cfRule type="cellIs" dxfId="3634" priority="4962" operator="greaterThan">
      <formula>0</formula>
    </cfRule>
  </conditionalFormatting>
  <conditionalFormatting sqref="F495:F496">
    <cfRule type="cellIs" dxfId="3633" priority="4959" operator="lessThan">
      <formula>0</formula>
    </cfRule>
    <cfRule type="cellIs" dxfId="3632" priority="4960" operator="greaterThan">
      <formula>0</formula>
    </cfRule>
  </conditionalFormatting>
  <conditionalFormatting sqref="U495:U496">
    <cfRule type="iconSet" priority="4964">
      <iconSet iconSet="3Symbols" showValue="0" reverse="1">
        <cfvo type="percent" val="0"/>
        <cfvo type="num" val="1"/>
        <cfvo type="num" val="1.05"/>
      </iconSet>
    </cfRule>
  </conditionalFormatting>
  <conditionalFormatting sqref="P495:P496">
    <cfRule type="iconSet" priority="4965">
      <iconSet iconSet="3Symbols" showValue="0" reverse="1">
        <cfvo type="percent" val="0"/>
        <cfvo type="num" val="1"/>
        <cfvo type="num" val="1.05"/>
      </iconSet>
    </cfRule>
  </conditionalFormatting>
  <conditionalFormatting sqref="Q494">
    <cfRule type="iconSet" priority="4956">
      <iconSet iconSet="3Symbols" showValue="0" reverse="1">
        <cfvo type="percent" val="0"/>
        <cfvo type="num" val="1"/>
        <cfvo type="num" val="1.05"/>
      </iconSet>
    </cfRule>
  </conditionalFormatting>
  <conditionalFormatting sqref="N494">
    <cfRule type="cellIs" dxfId="3631" priority="4954" operator="lessThan">
      <formula>0</formula>
    </cfRule>
    <cfRule type="cellIs" dxfId="3630" priority="4955" operator="greaterThan">
      <formula>0</formula>
    </cfRule>
  </conditionalFormatting>
  <conditionalFormatting sqref="F494">
    <cfRule type="cellIs" dxfId="3629" priority="4952" operator="lessThan">
      <formula>0</formula>
    </cfRule>
    <cfRule type="cellIs" dxfId="3628" priority="4953" operator="greaterThan">
      <formula>0</formula>
    </cfRule>
  </conditionalFormatting>
  <conditionalFormatting sqref="U494">
    <cfRule type="iconSet" priority="4957">
      <iconSet iconSet="3Symbols" showValue="0" reverse="1">
        <cfvo type="percent" val="0"/>
        <cfvo type="num" val="1"/>
        <cfvo type="num" val="1.05"/>
      </iconSet>
    </cfRule>
  </conditionalFormatting>
  <conditionalFormatting sqref="P494">
    <cfRule type="iconSet" priority="4958">
      <iconSet iconSet="3Symbols" showValue="0" reverse="1">
        <cfvo type="percent" val="0"/>
        <cfvo type="num" val="1"/>
        <cfvo type="num" val="1.05"/>
      </iconSet>
    </cfRule>
  </conditionalFormatting>
  <conditionalFormatting sqref="Q493">
    <cfRule type="iconSet" priority="4949">
      <iconSet iconSet="3Symbols" showValue="0" reverse="1">
        <cfvo type="percent" val="0"/>
        <cfvo type="num" val="1"/>
        <cfvo type="num" val="1.05"/>
      </iconSet>
    </cfRule>
  </conditionalFormatting>
  <conditionalFormatting sqref="N493">
    <cfRule type="cellIs" dxfId="3627" priority="4947" operator="lessThan">
      <formula>0</formula>
    </cfRule>
    <cfRule type="cellIs" dxfId="3626" priority="4948" operator="greaterThan">
      <formula>0</formula>
    </cfRule>
  </conditionalFormatting>
  <conditionalFormatting sqref="F493">
    <cfRule type="cellIs" dxfId="3625" priority="4945" operator="lessThan">
      <formula>0</formula>
    </cfRule>
    <cfRule type="cellIs" dxfId="3624" priority="4946" operator="greaterThan">
      <formula>0</formula>
    </cfRule>
  </conditionalFormatting>
  <conditionalFormatting sqref="U493">
    <cfRule type="iconSet" priority="4950">
      <iconSet iconSet="3Symbols" showValue="0" reverse="1">
        <cfvo type="percent" val="0"/>
        <cfvo type="num" val="1"/>
        <cfvo type="num" val="1.05"/>
      </iconSet>
    </cfRule>
  </conditionalFormatting>
  <conditionalFormatting sqref="P493">
    <cfRule type="iconSet" priority="4951">
      <iconSet iconSet="3Symbols" showValue="0" reverse="1">
        <cfvo type="percent" val="0"/>
        <cfvo type="num" val="1"/>
        <cfvo type="num" val="1.05"/>
      </iconSet>
    </cfRule>
  </conditionalFormatting>
  <conditionalFormatting sqref="Q492">
    <cfRule type="iconSet" priority="4942">
      <iconSet iconSet="3Symbols" showValue="0" reverse="1">
        <cfvo type="percent" val="0"/>
        <cfvo type="num" val="1"/>
        <cfvo type="num" val="1.05"/>
      </iconSet>
    </cfRule>
  </conditionalFormatting>
  <conditionalFormatting sqref="N492">
    <cfRule type="cellIs" dxfId="3623" priority="4940" operator="lessThan">
      <formula>0</formula>
    </cfRule>
    <cfRule type="cellIs" dxfId="3622" priority="4941" operator="greaterThan">
      <formula>0</formula>
    </cfRule>
  </conditionalFormatting>
  <conditionalFormatting sqref="F492">
    <cfRule type="cellIs" dxfId="3621" priority="4938" operator="lessThan">
      <formula>0</formula>
    </cfRule>
    <cfRule type="cellIs" dxfId="3620" priority="4939" operator="greaterThan">
      <formula>0</formula>
    </cfRule>
  </conditionalFormatting>
  <conditionalFormatting sqref="U492">
    <cfRule type="iconSet" priority="4943">
      <iconSet iconSet="3Symbols" showValue="0" reverse="1">
        <cfvo type="percent" val="0"/>
        <cfvo type="num" val="1"/>
        <cfvo type="num" val="1.05"/>
      </iconSet>
    </cfRule>
  </conditionalFormatting>
  <conditionalFormatting sqref="P492">
    <cfRule type="iconSet" priority="4944">
      <iconSet iconSet="3Symbols" showValue="0" reverse="1">
        <cfvo type="percent" val="0"/>
        <cfvo type="num" val="1"/>
        <cfvo type="num" val="1.05"/>
      </iconSet>
    </cfRule>
  </conditionalFormatting>
  <conditionalFormatting sqref="Q491">
    <cfRule type="iconSet" priority="4935">
      <iconSet iconSet="3Symbols" showValue="0" reverse="1">
        <cfvo type="percent" val="0"/>
        <cfvo type="num" val="1"/>
        <cfvo type="num" val="1.05"/>
      </iconSet>
    </cfRule>
  </conditionalFormatting>
  <conditionalFormatting sqref="N491">
    <cfRule type="cellIs" dxfId="3619" priority="4933" operator="lessThan">
      <formula>0</formula>
    </cfRule>
    <cfRule type="cellIs" dxfId="3618" priority="4934" operator="greaterThan">
      <formula>0</formula>
    </cfRule>
  </conditionalFormatting>
  <conditionalFormatting sqref="F491">
    <cfRule type="cellIs" dxfId="3617" priority="4931" operator="lessThan">
      <formula>0</formula>
    </cfRule>
    <cfRule type="cellIs" dxfId="3616" priority="4932" operator="greaterThan">
      <formula>0</formula>
    </cfRule>
  </conditionalFormatting>
  <conditionalFormatting sqref="U491">
    <cfRule type="iconSet" priority="4936">
      <iconSet iconSet="3Symbols" showValue="0" reverse="1">
        <cfvo type="percent" val="0"/>
        <cfvo type="num" val="1"/>
        <cfvo type="num" val="1.05"/>
      </iconSet>
    </cfRule>
  </conditionalFormatting>
  <conditionalFormatting sqref="P491">
    <cfRule type="iconSet" priority="4937">
      <iconSet iconSet="3Symbols" showValue="0" reverse="1">
        <cfvo type="percent" val="0"/>
        <cfvo type="num" val="1"/>
        <cfvo type="num" val="1.05"/>
      </iconSet>
    </cfRule>
  </conditionalFormatting>
  <conditionalFormatting sqref="Q490">
    <cfRule type="iconSet" priority="4928">
      <iconSet iconSet="3Symbols" showValue="0" reverse="1">
        <cfvo type="percent" val="0"/>
        <cfvo type="num" val="1"/>
        <cfvo type="num" val="1.05"/>
      </iconSet>
    </cfRule>
  </conditionalFormatting>
  <conditionalFormatting sqref="N490">
    <cfRule type="cellIs" dxfId="3615" priority="4926" operator="lessThan">
      <formula>0</formula>
    </cfRule>
    <cfRule type="cellIs" dxfId="3614" priority="4927" operator="greaterThan">
      <formula>0</formula>
    </cfRule>
  </conditionalFormatting>
  <conditionalFormatting sqref="F490">
    <cfRule type="cellIs" dxfId="3613" priority="4924" operator="lessThan">
      <formula>0</formula>
    </cfRule>
    <cfRule type="cellIs" dxfId="3612" priority="4925" operator="greaterThan">
      <formula>0</formula>
    </cfRule>
  </conditionalFormatting>
  <conditionalFormatting sqref="U490">
    <cfRule type="iconSet" priority="4929">
      <iconSet iconSet="3Symbols" showValue="0" reverse="1">
        <cfvo type="percent" val="0"/>
        <cfvo type="num" val="1"/>
        <cfvo type="num" val="1.05"/>
      </iconSet>
    </cfRule>
  </conditionalFormatting>
  <conditionalFormatting sqref="P490">
    <cfRule type="iconSet" priority="4930">
      <iconSet iconSet="3Symbols" showValue="0" reverse="1">
        <cfvo type="percent" val="0"/>
        <cfvo type="num" val="1"/>
        <cfvo type="num" val="1.05"/>
      </iconSet>
    </cfRule>
  </conditionalFormatting>
  <conditionalFormatting sqref="Q489">
    <cfRule type="iconSet" priority="4921">
      <iconSet iconSet="3Symbols" showValue="0" reverse="1">
        <cfvo type="percent" val="0"/>
        <cfvo type="num" val="1"/>
        <cfvo type="num" val="1.05"/>
      </iconSet>
    </cfRule>
  </conditionalFormatting>
  <conditionalFormatting sqref="N489">
    <cfRule type="cellIs" dxfId="3611" priority="4919" operator="lessThan">
      <formula>0</formula>
    </cfRule>
    <cfRule type="cellIs" dxfId="3610" priority="4920" operator="greaterThan">
      <formula>0</formula>
    </cfRule>
  </conditionalFormatting>
  <conditionalFormatting sqref="F489">
    <cfRule type="cellIs" dxfId="3609" priority="4917" operator="lessThan">
      <formula>0</formula>
    </cfRule>
    <cfRule type="cellIs" dxfId="3608" priority="4918" operator="greaterThan">
      <formula>0</formula>
    </cfRule>
  </conditionalFormatting>
  <conditionalFormatting sqref="U489">
    <cfRule type="iconSet" priority="4922">
      <iconSet iconSet="3Symbols" showValue="0" reverse="1">
        <cfvo type="percent" val="0"/>
        <cfvo type="num" val="1"/>
        <cfvo type="num" val="1.05"/>
      </iconSet>
    </cfRule>
  </conditionalFormatting>
  <conditionalFormatting sqref="P489">
    <cfRule type="iconSet" priority="4923">
      <iconSet iconSet="3Symbols" showValue="0" reverse="1">
        <cfvo type="percent" val="0"/>
        <cfvo type="num" val="1"/>
        <cfvo type="num" val="1.05"/>
      </iconSet>
    </cfRule>
  </conditionalFormatting>
  <conditionalFormatting sqref="Q488">
    <cfRule type="iconSet" priority="4914">
      <iconSet iconSet="3Symbols" showValue="0" reverse="1">
        <cfvo type="percent" val="0"/>
        <cfvo type="num" val="1"/>
        <cfvo type="num" val="1.05"/>
      </iconSet>
    </cfRule>
  </conditionalFormatting>
  <conditionalFormatting sqref="N488">
    <cfRule type="cellIs" dxfId="3607" priority="4912" operator="lessThan">
      <formula>0</formula>
    </cfRule>
    <cfRule type="cellIs" dxfId="3606" priority="4913" operator="greaterThan">
      <formula>0</formula>
    </cfRule>
  </conditionalFormatting>
  <conditionalFormatting sqref="F488">
    <cfRule type="cellIs" dxfId="3605" priority="4910" operator="lessThan">
      <formula>0</formula>
    </cfRule>
    <cfRule type="cellIs" dxfId="3604" priority="4911" operator="greaterThan">
      <formula>0</formula>
    </cfRule>
  </conditionalFormatting>
  <conditionalFormatting sqref="U488">
    <cfRule type="iconSet" priority="4915">
      <iconSet iconSet="3Symbols" showValue="0" reverse="1">
        <cfvo type="percent" val="0"/>
        <cfvo type="num" val="1"/>
        <cfvo type="num" val="1.05"/>
      </iconSet>
    </cfRule>
  </conditionalFormatting>
  <conditionalFormatting sqref="P488">
    <cfRule type="iconSet" priority="4916">
      <iconSet iconSet="3Symbols" showValue="0" reverse="1">
        <cfvo type="percent" val="0"/>
        <cfvo type="num" val="1"/>
        <cfvo type="num" val="1.05"/>
      </iconSet>
    </cfRule>
  </conditionalFormatting>
  <conditionalFormatting sqref="Q487">
    <cfRule type="iconSet" priority="4907">
      <iconSet iconSet="3Symbols" showValue="0" reverse="1">
        <cfvo type="percent" val="0"/>
        <cfvo type="num" val="1"/>
        <cfvo type="num" val="1.05"/>
      </iconSet>
    </cfRule>
  </conditionalFormatting>
  <conditionalFormatting sqref="N487">
    <cfRule type="cellIs" dxfId="3603" priority="4905" operator="lessThan">
      <formula>0</formula>
    </cfRule>
    <cfRule type="cellIs" dxfId="3602" priority="4906" operator="greaterThan">
      <formula>0</formula>
    </cfRule>
  </conditionalFormatting>
  <conditionalFormatting sqref="F487">
    <cfRule type="cellIs" dxfId="3601" priority="4903" operator="lessThan">
      <formula>0</formula>
    </cfRule>
    <cfRule type="cellIs" dxfId="3600" priority="4904" operator="greaterThan">
      <formula>0</formula>
    </cfRule>
  </conditionalFormatting>
  <conditionalFormatting sqref="U487">
    <cfRule type="iconSet" priority="4908">
      <iconSet iconSet="3Symbols" showValue="0" reverse="1">
        <cfvo type="percent" val="0"/>
        <cfvo type="num" val="1"/>
        <cfvo type="num" val="1.05"/>
      </iconSet>
    </cfRule>
  </conditionalFormatting>
  <conditionalFormatting sqref="P487">
    <cfRule type="iconSet" priority="4909">
      <iconSet iconSet="3Symbols" showValue="0" reverse="1">
        <cfvo type="percent" val="0"/>
        <cfvo type="num" val="1"/>
        <cfvo type="num" val="1.05"/>
      </iconSet>
    </cfRule>
  </conditionalFormatting>
  <conditionalFormatting sqref="Q486">
    <cfRule type="iconSet" priority="4900">
      <iconSet iconSet="3Symbols" showValue="0" reverse="1">
        <cfvo type="percent" val="0"/>
        <cfvo type="num" val="1"/>
        <cfvo type="num" val="1.05"/>
      </iconSet>
    </cfRule>
  </conditionalFormatting>
  <conditionalFormatting sqref="N486">
    <cfRule type="cellIs" dxfId="3599" priority="4898" operator="lessThan">
      <formula>0</formula>
    </cfRule>
    <cfRule type="cellIs" dxfId="3598" priority="4899" operator="greaterThan">
      <formula>0</formula>
    </cfRule>
  </conditionalFormatting>
  <conditionalFormatting sqref="F486">
    <cfRule type="cellIs" dxfId="3597" priority="4896" operator="lessThan">
      <formula>0</formula>
    </cfRule>
    <cfRule type="cellIs" dxfId="3596" priority="4897" operator="greaterThan">
      <formula>0</formula>
    </cfRule>
  </conditionalFormatting>
  <conditionalFormatting sqref="U486">
    <cfRule type="iconSet" priority="4901">
      <iconSet iconSet="3Symbols" showValue="0" reverse="1">
        <cfvo type="percent" val="0"/>
        <cfvo type="num" val="1"/>
        <cfvo type="num" val="1.05"/>
      </iconSet>
    </cfRule>
  </conditionalFormatting>
  <conditionalFormatting sqref="P486">
    <cfRule type="iconSet" priority="4902">
      <iconSet iconSet="3Symbols" showValue="0" reverse="1">
        <cfvo type="percent" val="0"/>
        <cfvo type="num" val="1"/>
        <cfvo type="num" val="1.05"/>
      </iconSet>
    </cfRule>
  </conditionalFormatting>
  <conditionalFormatting sqref="Q485">
    <cfRule type="iconSet" priority="4893">
      <iconSet iconSet="3Symbols" showValue="0" reverse="1">
        <cfvo type="percent" val="0"/>
        <cfvo type="num" val="1"/>
        <cfvo type="num" val="1.05"/>
      </iconSet>
    </cfRule>
  </conditionalFormatting>
  <conditionalFormatting sqref="N485">
    <cfRule type="cellIs" dxfId="3595" priority="4891" operator="lessThan">
      <formula>0</formula>
    </cfRule>
    <cfRule type="cellIs" dxfId="3594" priority="4892" operator="greaterThan">
      <formula>0</formula>
    </cfRule>
  </conditionalFormatting>
  <conditionalFormatting sqref="F485">
    <cfRule type="cellIs" dxfId="3593" priority="4889" operator="lessThan">
      <formula>0</formula>
    </cfRule>
    <cfRule type="cellIs" dxfId="3592" priority="4890" operator="greaterThan">
      <formula>0</formula>
    </cfRule>
  </conditionalFormatting>
  <conditionalFormatting sqref="U485">
    <cfRule type="iconSet" priority="4894">
      <iconSet iconSet="3Symbols" showValue="0" reverse="1">
        <cfvo type="percent" val="0"/>
        <cfvo type="num" val="1"/>
        <cfvo type="num" val="1.05"/>
      </iconSet>
    </cfRule>
  </conditionalFormatting>
  <conditionalFormatting sqref="P485">
    <cfRule type="iconSet" priority="4895">
      <iconSet iconSet="3Symbols" showValue="0" reverse="1">
        <cfvo type="percent" val="0"/>
        <cfvo type="num" val="1"/>
        <cfvo type="num" val="1.05"/>
      </iconSet>
    </cfRule>
  </conditionalFormatting>
  <conditionalFormatting sqref="Q484">
    <cfRule type="iconSet" priority="4886">
      <iconSet iconSet="3Symbols" showValue="0" reverse="1">
        <cfvo type="percent" val="0"/>
        <cfvo type="num" val="1"/>
        <cfvo type="num" val="1.05"/>
      </iconSet>
    </cfRule>
  </conditionalFormatting>
  <conditionalFormatting sqref="N484">
    <cfRule type="cellIs" dxfId="3591" priority="4884" operator="lessThan">
      <formula>0</formula>
    </cfRule>
    <cfRule type="cellIs" dxfId="3590" priority="4885" operator="greaterThan">
      <formula>0</formula>
    </cfRule>
  </conditionalFormatting>
  <conditionalFormatting sqref="F484">
    <cfRule type="cellIs" dxfId="3589" priority="4882" operator="lessThan">
      <formula>0</formula>
    </cfRule>
    <cfRule type="cellIs" dxfId="3588" priority="4883" operator="greaterThan">
      <formula>0</formula>
    </cfRule>
  </conditionalFormatting>
  <conditionalFormatting sqref="U484">
    <cfRule type="iconSet" priority="4887">
      <iconSet iconSet="3Symbols" showValue="0" reverse="1">
        <cfvo type="percent" val="0"/>
        <cfvo type="num" val="1"/>
        <cfvo type="num" val="1.05"/>
      </iconSet>
    </cfRule>
  </conditionalFormatting>
  <conditionalFormatting sqref="P484">
    <cfRule type="iconSet" priority="4888">
      <iconSet iconSet="3Symbols" showValue="0" reverse="1">
        <cfvo type="percent" val="0"/>
        <cfvo type="num" val="1"/>
        <cfvo type="num" val="1.05"/>
      </iconSet>
    </cfRule>
  </conditionalFormatting>
  <conditionalFormatting sqref="Q482:Q483">
    <cfRule type="iconSet" priority="4879">
      <iconSet iconSet="3Symbols" showValue="0" reverse="1">
        <cfvo type="percent" val="0"/>
        <cfvo type="num" val="1"/>
        <cfvo type="num" val="1.05"/>
      </iconSet>
    </cfRule>
  </conditionalFormatting>
  <conditionalFormatting sqref="N482:N483">
    <cfRule type="cellIs" dxfId="3587" priority="4877" operator="lessThan">
      <formula>0</formula>
    </cfRule>
    <cfRule type="cellIs" dxfId="3586" priority="4878" operator="greaterThan">
      <formula>0</formula>
    </cfRule>
  </conditionalFormatting>
  <conditionalFormatting sqref="F482:F483">
    <cfRule type="cellIs" dxfId="3585" priority="4875" operator="lessThan">
      <formula>0</formula>
    </cfRule>
    <cfRule type="cellIs" dxfId="3584" priority="4876" operator="greaterThan">
      <formula>0</formula>
    </cfRule>
  </conditionalFormatting>
  <conditionalFormatting sqref="U482:U483">
    <cfRule type="iconSet" priority="4880">
      <iconSet iconSet="3Symbols" showValue="0" reverse="1">
        <cfvo type="percent" val="0"/>
        <cfvo type="num" val="1"/>
        <cfvo type="num" val="1.05"/>
      </iconSet>
    </cfRule>
  </conditionalFormatting>
  <conditionalFormatting sqref="P482:P483">
    <cfRule type="iconSet" priority="4881">
      <iconSet iconSet="3Symbols" showValue="0" reverse="1">
        <cfvo type="percent" val="0"/>
        <cfvo type="num" val="1"/>
        <cfvo type="num" val="1.05"/>
      </iconSet>
    </cfRule>
  </conditionalFormatting>
  <conditionalFormatting sqref="Q481">
    <cfRule type="iconSet" priority="4872">
      <iconSet iconSet="3Symbols" showValue="0" reverse="1">
        <cfvo type="percent" val="0"/>
        <cfvo type="num" val="1"/>
        <cfvo type="num" val="1.05"/>
      </iconSet>
    </cfRule>
  </conditionalFormatting>
  <conditionalFormatting sqref="N481">
    <cfRule type="cellIs" dxfId="3583" priority="4870" operator="lessThan">
      <formula>0</formula>
    </cfRule>
    <cfRule type="cellIs" dxfId="3582" priority="4871" operator="greaterThan">
      <formula>0</formula>
    </cfRule>
  </conditionalFormatting>
  <conditionalFormatting sqref="F481">
    <cfRule type="cellIs" dxfId="3581" priority="4868" operator="lessThan">
      <formula>0</formula>
    </cfRule>
    <cfRule type="cellIs" dxfId="3580" priority="4869" operator="greaterThan">
      <formula>0</formula>
    </cfRule>
  </conditionalFormatting>
  <conditionalFormatting sqref="U481">
    <cfRule type="iconSet" priority="4873">
      <iconSet iconSet="3Symbols" showValue="0" reverse="1">
        <cfvo type="percent" val="0"/>
        <cfvo type="num" val="1"/>
        <cfvo type="num" val="1.05"/>
      </iconSet>
    </cfRule>
  </conditionalFormatting>
  <conditionalFormatting sqref="P481">
    <cfRule type="iconSet" priority="4874">
      <iconSet iconSet="3Symbols" showValue="0" reverse="1">
        <cfvo type="percent" val="0"/>
        <cfvo type="num" val="1"/>
        <cfvo type="num" val="1.05"/>
      </iconSet>
    </cfRule>
  </conditionalFormatting>
  <conditionalFormatting sqref="Q480">
    <cfRule type="iconSet" priority="4865">
      <iconSet iconSet="3Symbols" showValue="0" reverse="1">
        <cfvo type="percent" val="0"/>
        <cfvo type="num" val="1"/>
        <cfvo type="num" val="1.05"/>
      </iconSet>
    </cfRule>
  </conditionalFormatting>
  <conditionalFormatting sqref="N480">
    <cfRule type="cellIs" dxfId="3579" priority="4863" operator="lessThan">
      <formula>0</formula>
    </cfRule>
    <cfRule type="cellIs" dxfId="3578" priority="4864" operator="greaterThan">
      <formula>0</formula>
    </cfRule>
  </conditionalFormatting>
  <conditionalFormatting sqref="F480">
    <cfRule type="cellIs" dxfId="3577" priority="4861" operator="lessThan">
      <formula>0</formula>
    </cfRule>
    <cfRule type="cellIs" dxfId="3576" priority="4862" operator="greaterThan">
      <formula>0</formula>
    </cfRule>
  </conditionalFormatting>
  <conditionalFormatting sqref="U480">
    <cfRule type="iconSet" priority="4866">
      <iconSet iconSet="3Symbols" showValue="0" reverse="1">
        <cfvo type="percent" val="0"/>
        <cfvo type="num" val="1"/>
        <cfvo type="num" val="1.05"/>
      </iconSet>
    </cfRule>
  </conditionalFormatting>
  <conditionalFormatting sqref="P480">
    <cfRule type="iconSet" priority="4867">
      <iconSet iconSet="3Symbols" showValue="0" reverse="1">
        <cfvo type="percent" val="0"/>
        <cfvo type="num" val="1"/>
        <cfvo type="num" val="1.05"/>
      </iconSet>
    </cfRule>
  </conditionalFormatting>
  <conditionalFormatting sqref="Q479">
    <cfRule type="iconSet" priority="4858">
      <iconSet iconSet="3Symbols" showValue="0" reverse="1">
        <cfvo type="percent" val="0"/>
        <cfvo type="num" val="1"/>
        <cfvo type="num" val="1.05"/>
      </iconSet>
    </cfRule>
  </conditionalFormatting>
  <conditionalFormatting sqref="N479">
    <cfRule type="cellIs" dxfId="3575" priority="4856" operator="lessThan">
      <formula>0</formula>
    </cfRule>
    <cfRule type="cellIs" dxfId="3574" priority="4857" operator="greaterThan">
      <formula>0</formula>
    </cfRule>
  </conditionalFormatting>
  <conditionalFormatting sqref="F479">
    <cfRule type="cellIs" dxfId="3573" priority="4854" operator="lessThan">
      <formula>0</formula>
    </cfRule>
    <cfRule type="cellIs" dxfId="3572" priority="4855" operator="greaterThan">
      <formula>0</formula>
    </cfRule>
  </conditionalFormatting>
  <conditionalFormatting sqref="U479">
    <cfRule type="iconSet" priority="4859">
      <iconSet iconSet="3Symbols" showValue="0" reverse="1">
        <cfvo type="percent" val="0"/>
        <cfvo type="num" val="1"/>
        <cfvo type="num" val="1.05"/>
      </iconSet>
    </cfRule>
  </conditionalFormatting>
  <conditionalFormatting sqref="P479">
    <cfRule type="iconSet" priority="4860">
      <iconSet iconSet="3Symbols" showValue="0" reverse="1">
        <cfvo type="percent" val="0"/>
        <cfvo type="num" val="1"/>
        <cfvo type="num" val="1.05"/>
      </iconSet>
    </cfRule>
  </conditionalFormatting>
  <conditionalFormatting sqref="Q478">
    <cfRule type="iconSet" priority="4851">
      <iconSet iconSet="3Symbols" showValue="0" reverse="1">
        <cfvo type="percent" val="0"/>
        <cfvo type="num" val="1"/>
        <cfvo type="num" val="1.05"/>
      </iconSet>
    </cfRule>
  </conditionalFormatting>
  <conditionalFormatting sqref="N478">
    <cfRule type="cellIs" dxfId="3571" priority="4849" operator="lessThan">
      <formula>0</formula>
    </cfRule>
    <cfRule type="cellIs" dxfId="3570" priority="4850" operator="greaterThan">
      <formula>0</formula>
    </cfRule>
  </conditionalFormatting>
  <conditionalFormatting sqref="F478">
    <cfRule type="cellIs" dxfId="3569" priority="4847" operator="lessThan">
      <formula>0</formula>
    </cfRule>
    <cfRule type="cellIs" dxfId="3568" priority="4848" operator="greaterThan">
      <formula>0</formula>
    </cfRule>
  </conditionalFormatting>
  <conditionalFormatting sqref="U478">
    <cfRule type="iconSet" priority="4852">
      <iconSet iconSet="3Symbols" showValue="0" reverse="1">
        <cfvo type="percent" val="0"/>
        <cfvo type="num" val="1"/>
        <cfvo type="num" val="1.05"/>
      </iconSet>
    </cfRule>
  </conditionalFormatting>
  <conditionalFormatting sqref="P478">
    <cfRule type="iconSet" priority="4853">
      <iconSet iconSet="3Symbols" showValue="0" reverse="1">
        <cfvo type="percent" val="0"/>
        <cfvo type="num" val="1"/>
        <cfvo type="num" val="1.05"/>
      </iconSet>
    </cfRule>
  </conditionalFormatting>
  <conditionalFormatting sqref="Q477">
    <cfRule type="iconSet" priority="4844">
      <iconSet iconSet="3Symbols" showValue="0" reverse="1">
        <cfvo type="percent" val="0"/>
        <cfvo type="num" val="1"/>
        <cfvo type="num" val="1.05"/>
      </iconSet>
    </cfRule>
  </conditionalFormatting>
  <conditionalFormatting sqref="N477">
    <cfRule type="cellIs" dxfId="3567" priority="4842" operator="lessThan">
      <formula>0</formula>
    </cfRule>
    <cfRule type="cellIs" dxfId="3566" priority="4843" operator="greaterThan">
      <formula>0</formula>
    </cfRule>
  </conditionalFormatting>
  <conditionalFormatting sqref="F477">
    <cfRule type="cellIs" dxfId="3565" priority="4840" operator="lessThan">
      <formula>0</formula>
    </cfRule>
    <cfRule type="cellIs" dxfId="3564" priority="4841" operator="greaterThan">
      <formula>0</formula>
    </cfRule>
  </conditionalFormatting>
  <conditionalFormatting sqref="U477">
    <cfRule type="iconSet" priority="4845">
      <iconSet iconSet="3Symbols" showValue="0" reverse="1">
        <cfvo type="percent" val="0"/>
        <cfvo type="num" val="1"/>
        <cfvo type="num" val="1.05"/>
      </iconSet>
    </cfRule>
  </conditionalFormatting>
  <conditionalFormatting sqref="P477">
    <cfRule type="iconSet" priority="4846">
      <iconSet iconSet="3Symbols" showValue="0" reverse="1">
        <cfvo type="percent" val="0"/>
        <cfvo type="num" val="1"/>
        <cfvo type="num" val="1.05"/>
      </iconSet>
    </cfRule>
  </conditionalFormatting>
  <conditionalFormatting sqref="Q476">
    <cfRule type="iconSet" priority="4837">
      <iconSet iconSet="3Symbols" showValue="0" reverse="1">
        <cfvo type="percent" val="0"/>
        <cfvo type="num" val="1"/>
        <cfvo type="num" val="1.05"/>
      </iconSet>
    </cfRule>
  </conditionalFormatting>
  <conditionalFormatting sqref="N476">
    <cfRule type="cellIs" dxfId="3563" priority="4835" operator="lessThan">
      <formula>0</formula>
    </cfRule>
    <cfRule type="cellIs" dxfId="3562" priority="4836" operator="greaterThan">
      <formula>0</formula>
    </cfRule>
  </conditionalFormatting>
  <conditionalFormatting sqref="F476">
    <cfRule type="cellIs" dxfId="3561" priority="4833" operator="lessThan">
      <formula>0</formula>
    </cfRule>
    <cfRule type="cellIs" dxfId="3560" priority="4834" operator="greaterThan">
      <formula>0</formula>
    </cfRule>
  </conditionalFormatting>
  <conditionalFormatting sqref="U476">
    <cfRule type="iconSet" priority="4838">
      <iconSet iconSet="3Symbols" showValue="0" reverse="1">
        <cfvo type="percent" val="0"/>
        <cfvo type="num" val="1"/>
        <cfvo type="num" val="1.05"/>
      </iconSet>
    </cfRule>
  </conditionalFormatting>
  <conditionalFormatting sqref="P476">
    <cfRule type="iconSet" priority="4839">
      <iconSet iconSet="3Symbols" showValue="0" reverse="1">
        <cfvo type="percent" val="0"/>
        <cfvo type="num" val="1"/>
        <cfvo type="num" val="1.05"/>
      </iconSet>
    </cfRule>
  </conditionalFormatting>
  <conditionalFormatting sqref="Q475">
    <cfRule type="iconSet" priority="4830">
      <iconSet iconSet="3Symbols" showValue="0" reverse="1">
        <cfvo type="percent" val="0"/>
        <cfvo type="num" val="1"/>
        <cfvo type="num" val="1.05"/>
      </iconSet>
    </cfRule>
  </conditionalFormatting>
  <conditionalFormatting sqref="N475">
    <cfRule type="cellIs" dxfId="3559" priority="4828" operator="lessThan">
      <formula>0</formula>
    </cfRule>
    <cfRule type="cellIs" dxfId="3558" priority="4829" operator="greaterThan">
      <formula>0</formula>
    </cfRule>
  </conditionalFormatting>
  <conditionalFormatting sqref="F475">
    <cfRule type="cellIs" dxfId="3557" priority="4826" operator="lessThan">
      <formula>0</formula>
    </cfRule>
    <cfRule type="cellIs" dxfId="3556" priority="4827" operator="greaterThan">
      <formula>0</formula>
    </cfRule>
  </conditionalFormatting>
  <conditionalFormatting sqref="U475">
    <cfRule type="iconSet" priority="4831">
      <iconSet iconSet="3Symbols" showValue="0" reverse="1">
        <cfvo type="percent" val="0"/>
        <cfvo type="num" val="1"/>
        <cfvo type="num" val="1.05"/>
      </iconSet>
    </cfRule>
  </conditionalFormatting>
  <conditionalFormatting sqref="P475">
    <cfRule type="iconSet" priority="4832">
      <iconSet iconSet="3Symbols" showValue="0" reverse="1">
        <cfvo type="percent" val="0"/>
        <cfvo type="num" val="1"/>
        <cfvo type="num" val="1.05"/>
      </iconSet>
    </cfRule>
  </conditionalFormatting>
  <conditionalFormatting sqref="Q474">
    <cfRule type="iconSet" priority="4823">
      <iconSet iconSet="3Symbols" showValue="0" reverse="1">
        <cfvo type="percent" val="0"/>
        <cfvo type="num" val="1"/>
        <cfvo type="num" val="1.05"/>
      </iconSet>
    </cfRule>
  </conditionalFormatting>
  <conditionalFormatting sqref="N474">
    <cfRule type="cellIs" dxfId="3555" priority="4821" operator="lessThan">
      <formula>0</formula>
    </cfRule>
    <cfRule type="cellIs" dxfId="3554" priority="4822" operator="greaterThan">
      <formula>0</formula>
    </cfRule>
  </conditionalFormatting>
  <conditionalFormatting sqref="F474">
    <cfRule type="cellIs" dxfId="3553" priority="4819" operator="lessThan">
      <formula>0</formula>
    </cfRule>
    <cfRule type="cellIs" dxfId="3552" priority="4820" operator="greaterThan">
      <formula>0</formula>
    </cfRule>
  </conditionalFormatting>
  <conditionalFormatting sqref="U474">
    <cfRule type="iconSet" priority="4824">
      <iconSet iconSet="3Symbols" showValue="0" reverse="1">
        <cfvo type="percent" val="0"/>
        <cfvo type="num" val="1"/>
        <cfvo type="num" val="1.05"/>
      </iconSet>
    </cfRule>
  </conditionalFormatting>
  <conditionalFormatting sqref="P474">
    <cfRule type="iconSet" priority="4825">
      <iconSet iconSet="3Symbols" showValue="0" reverse="1">
        <cfvo type="percent" val="0"/>
        <cfvo type="num" val="1"/>
        <cfvo type="num" val="1.05"/>
      </iconSet>
    </cfRule>
  </conditionalFormatting>
  <conditionalFormatting sqref="Q473">
    <cfRule type="iconSet" priority="4816">
      <iconSet iconSet="3Symbols" showValue="0" reverse="1">
        <cfvo type="percent" val="0"/>
        <cfvo type="num" val="1"/>
        <cfvo type="num" val="1.05"/>
      </iconSet>
    </cfRule>
  </conditionalFormatting>
  <conditionalFormatting sqref="N473">
    <cfRule type="cellIs" dxfId="3551" priority="4814" operator="lessThan">
      <formula>0</formula>
    </cfRule>
    <cfRule type="cellIs" dxfId="3550" priority="4815" operator="greaterThan">
      <formula>0</formula>
    </cfRule>
  </conditionalFormatting>
  <conditionalFormatting sqref="F473">
    <cfRule type="cellIs" dxfId="3549" priority="4812" operator="lessThan">
      <formula>0</formula>
    </cfRule>
    <cfRule type="cellIs" dxfId="3548" priority="4813" operator="greaterThan">
      <formula>0</formula>
    </cfRule>
  </conditionalFormatting>
  <conditionalFormatting sqref="U473">
    <cfRule type="iconSet" priority="4817">
      <iconSet iconSet="3Symbols" showValue="0" reverse="1">
        <cfvo type="percent" val="0"/>
        <cfvo type="num" val="1"/>
        <cfvo type="num" val="1.05"/>
      </iconSet>
    </cfRule>
  </conditionalFormatting>
  <conditionalFormatting sqref="P473">
    <cfRule type="iconSet" priority="4818">
      <iconSet iconSet="3Symbols" showValue="0" reverse="1">
        <cfvo type="percent" val="0"/>
        <cfvo type="num" val="1"/>
        <cfvo type="num" val="1.05"/>
      </iconSet>
    </cfRule>
  </conditionalFormatting>
  <conditionalFormatting sqref="Q472">
    <cfRule type="iconSet" priority="4809">
      <iconSet iconSet="3Symbols" showValue="0" reverse="1">
        <cfvo type="percent" val="0"/>
        <cfvo type="num" val="1"/>
        <cfvo type="num" val="1.05"/>
      </iconSet>
    </cfRule>
  </conditionalFormatting>
  <conditionalFormatting sqref="N472">
    <cfRule type="cellIs" dxfId="3547" priority="4807" operator="lessThan">
      <formula>0</formula>
    </cfRule>
    <cfRule type="cellIs" dxfId="3546" priority="4808" operator="greaterThan">
      <formula>0</formula>
    </cfRule>
  </conditionalFormatting>
  <conditionalFormatting sqref="F472">
    <cfRule type="cellIs" dxfId="3545" priority="4805" operator="lessThan">
      <formula>0</formula>
    </cfRule>
    <cfRule type="cellIs" dxfId="3544" priority="4806" operator="greaterThan">
      <formula>0</formula>
    </cfRule>
  </conditionalFormatting>
  <conditionalFormatting sqref="U472">
    <cfRule type="iconSet" priority="4810">
      <iconSet iconSet="3Symbols" showValue="0" reverse="1">
        <cfvo type="percent" val="0"/>
        <cfvo type="num" val="1"/>
        <cfvo type="num" val="1.05"/>
      </iconSet>
    </cfRule>
  </conditionalFormatting>
  <conditionalFormatting sqref="P472">
    <cfRule type="iconSet" priority="4811">
      <iconSet iconSet="3Symbols" showValue="0" reverse="1">
        <cfvo type="percent" val="0"/>
        <cfvo type="num" val="1"/>
        <cfvo type="num" val="1.05"/>
      </iconSet>
    </cfRule>
  </conditionalFormatting>
  <conditionalFormatting sqref="Q471">
    <cfRule type="iconSet" priority="4802">
      <iconSet iconSet="3Symbols" showValue="0" reverse="1">
        <cfvo type="percent" val="0"/>
        <cfvo type="num" val="1"/>
        <cfvo type="num" val="1.05"/>
      </iconSet>
    </cfRule>
  </conditionalFormatting>
  <conditionalFormatting sqref="N471">
    <cfRule type="cellIs" dxfId="3543" priority="4800" operator="lessThan">
      <formula>0</formula>
    </cfRule>
    <cfRule type="cellIs" dxfId="3542" priority="4801" operator="greaterThan">
      <formula>0</formula>
    </cfRule>
  </conditionalFormatting>
  <conditionalFormatting sqref="F471">
    <cfRule type="cellIs" dxfId="3541" priority="4798" operator="lessThan">
      <formula>0</formula>
    </cfRule>
    <cfRule type="cellIs" dxfId="3540" priority="4799" operator="greaterThan">
      <formula>0</formula>
    </cfRule>
  </conditionalFormatting>
  <conditionalFormatting sqref="U471">
    <cfRule type="iconSet" priority="4803">
      <iconSet iconSet="3Symbols" showValue="0" reverse="1">
        <cfvo type="percent" val="0"/>
        <cfvo type="num" val="1"/>
        <cfvo type="num" val="1.05"/>
      </iconSet>
    </cfRule>
  </conditionalFormatting>
  <conditionalFormatting sqref="P471">
    <cfRule type="iconSet" priority="4804">
      <iconSet iconSet="3Symbols" showValue="0" reverse="1">
        <cfvo type="percent" val="0"/>
        <cfvo type="num" val="1"/>
        <cfvo type="num" val="1.05"/>
      </iconSet>
    </cfRule>
  </conditionalFormatting>
  <conditionalFormatting sqref="Q469:Q470">
    <cfRule type="iconSet" priority="4795">
      <iconSet iconSet="3Symbols" showValue="0" reverse="1">
        <cfvo type="percent" val="0"/>
        <cfvo type="num" val="1"/>
        <cfvo type="num" val="1.05"/>
      </iconSet>
    </cfRule>
  </conditionalFormatting>
  <conditionalFormatting sqref="N469:N470">
    <cfRule type="cellIs" dxfId="3539" priority="4793" operator="lessThan">
      <formula>0</formula>
    </cfRule>
    <cfRule type="cellIs" dxfId="3538" priority="4794" operator="greaterThan">
      <formula>0</formula>
    </cfRule>
  </conditionalFormatting>
  <conditionalFormatting sqref="F469:F470">
    <cfRule type="cellIs" dxfId="3537" priority="4791" operator="lessThan">
      <formula>0</formula>
    </cfRule>
    <cfRule type="cellIs" dxfId="3536" priority="4792" operator="greaterThan">
      <formula>0</formula>
    </cfRule>
  </conditionalFormatting>
  <conditionalFormatting sqref="U469:U470">
    <cfRule type="iconSet" priority="4796">
      <iconSet iconSet="3Symbols" showValue="0" reverse="1">
        <cfvo type="percent" val="0"/>
        <cfvo type="num" val="1"/>
        <cfvo type="num" val="1.05"/>
      </iconSet>
    </cfRule>
  </conditionalFormatting>
  <conditionalFormatting sqref="P469:P470">
    <cfRule type="iconSet" priority="4797">
      <iconSet iconSet="3Symbols" showValue="0" reverse="1">
        <cfvo type="percent" val="0"/>
        <cfvo type="num" val="1"/>
        <cfvo type="num" val="1.05"/>
      </iconSet>
    </cfRule>
  </conditionalFormatting>
  <conditionalFormatting sqref="Q468">
    <cfRule type="iconSet" priority="4788">
      <iconSet iconSet="3Symbols" showValue="0" reverse="1">
        <cfvo type="percent" val="0"/>
        <cfvo type="num" val="1"/>
        <cfvo type="num" val="1.05"/>
      </iconSet>
    </cfRule>
  </conditionalFormatting>
  <conditionalFormatting sqref="N468">
    <cfRule type="cellIs" dxfId="3535" priority="4786" operator="lessThan">
      <formula>0</formula>
    </cfRule>
    <cfRule type="cellIs" dxfId="3534" priority="4787" operator="greaterThan">
      <formula>0</formula>
    </cfRule>
  </conditionalFormatting>
  <conditionalFormatting sqref="F468">
    <cfRule type="cellIs" dxfId="3533" priority="4784" operator="lessThan">
      <formula>0</formula>
    </cfRule>
    <cfRule type="cellIs" dxfId="3532" priority="4785" operator="greaterThan">
      <formula>0</formula>
    </cfRule>
  </conditionalFormatting>
  <conditionalFormatting sqref="U468">
    <cfRule type="iconSet" priority="4789">
      <iconSet iconSet="3Symbols" showValue="0" reverse="1">
        <cfvo type="percent" val="0"/>
        <cfvo type="num" val="1"/>
        <cfvo type="num" val="1.05"/>
      </iconSet>
    </cfRule>
  </conditionalFormatting>
  <conditionalFormatting sqref="P468">
    <cfRule type="iconSet" priority="4790">
      <iconSet iconSet="3Symbols" showValue="0" reverse="1">
        <cfvo type="percent" val="0"/>
        <cfvo type="num" val="1"/>
        <cfvo type="num" val="1.05"/>
      </iconSet>
    </cfRule>
  </conditionalFormatting>
  <conditionalFormatting sqref="Q467">
    <cfRule type="iconSet" priority="4781">
      <iconSet iconSet="3Symbols" showValue="0" reverse="1">
        <cfvo type="percent" val="0"/>
        <cfvo type="num" val="1"/>
        <cfvo type="num" val="1.05"/>
      </iconSet>
    </cfRule>
  </conditionalFormatting>
  <conditionalFormatting sqref="N467">
    <cfRule type="cellIs" dxfId="3531" priority="4779" operator="lessThan">
      <formula>0</formula>
    </cfRule>
    <cfRule type="cellIs" dxfId="3530" priority="4780" operator="greaterThan">
      <formula>0</formula>
    </cfRule>
  </conditionalFormatting>
  <conditionalFormatting sqref="F467">
    <cfRule type="cellIs" dxfId="3529" priority="4777" operator="lessThan">
      <formula>0</formula>
    </cfRule>
    <cfRule type="cellIs" dxfId="3528" priority="4778" operator="greaterThan">
      <formula>0</formula>
    </cfRule>
  </conditionalFormatting>
  <conditionalFormatting sqref="U467">
    <cfRule type="iconSet" priority="4782">
      <iconSet iconSet="3Symbols" showValue="0" reverse="1">
        <cfvo type="percent" val="0"/>
        <cfvo type="num" val="1"/>
        <cfvo type="num" val="1.05"/>
      </iconSet>
    </cfRule>
  </conditionalFormatting>
  <conditionalFormatting sqref="P467">
    <cfRule type="iconSet" priority="4783">
      <iconSet iconSet="3Symbols" showValue="0" reverse="1">
        <cfvo type="percent" val="0"/>
        <cfvo type="num" val="1"/>
        <cfvo type="num" val="1.05"/>
      </iconSet>
    </cfRule>
  </conditionalFormatting>
  <conditionalFormatting sqref="Q466">
    <cfRule type="iconSet" priority="4774">
      <iconSet iconSet="3Symbols" showValue="0" reverse="1">
        <cfvo type="percent" val="0"/>
        <cfvo type="num" val="1"/>
        <cfvo type="num" val="1.05"/>
      </iconSet>
    </cfRule>
  </conditionalFormatting>
  <conditionalFormatting sqref="N466">
    <cfRule type="cellIs" dxfId="3527" priority="4772" operator="lessThan">
      <formula>0</formula>
    </cfRule>
    <cfRule type="cellIs" dxfId="3526" priority="4773" operator="greaterThan">
      <formula>0</formula>
    </cfRule>
  </conditionalFormatting>
  <conditionalFormatting sqref="F466">
    <cfRule type="cellIs" dxfId="3525" priority="4770" operator="lessThan">
      <formula>0</formula>
    </cfRule>
    <cfRule type="cellIs" dxfId="3524" priority="4771" operator="greaterThan">
      <formula>0</formula>
    </cfRule>
  </conditionalFormatting>
  <conditionalFormatting sqref="U466">
    <cfRule type="iconSet" priority="4775">
      <iconSet iconSet="3Symbols" showValue="0" reverse="1">
        <cfvo type="percent" val="0"/>
        <cfvo type="num" val="1"/>
        <cfvo type="num" val="1.05"/>
      </iconSet>
    </cfRule>
  </conditionalFormatting>
  <conditionalFormatting sqref="P466">
    <cfRule type="iconSet" priority="4776">
      <iconSet iconSet="3Symbols" showValue="0" reverse="1">
        <cfvo type="percent" val="0"/>
        <cfvo type="num" val="1"/>
        <cfvo type="num" val="1.05"/>
      </iconSet>
    </cfRule>
  </conditionalFormatting>
  <conditionalFormatting sqref="Q465">
    <cfRule type="iconSet" priority="4767">
      <iconSet iconSet="3Symbols" showValue="0" reverse="1">
        <cfvo type="percent" val="0"/>
        <cfvo type="num" val="1"/>
        <cfvo type="num" val="1.05"/>
      </iconSet>
    </cfRule>
  </conditionalFormatting>
  <conditionalFormatting sqref="N465">
    <cfRule type="cellIs" dxfId="3523" priority="4765" operator="lessThan">
      <formula>0</formula>
    </cfRule>
    <cfRule type="cellIs" dxfId="3522" priority="4766" operator="greaterThan">
      <formula>0</formula>
    </cfRule>
  </conditionalFormatting>
  <conditionalFormatting sqref="F465">
    <cfRule type="cellIs" dxfId="3521" priority="4763" operator="lessThan">
      <formula>0</formula>
    </cfRule>
    <cfRule type="cellIs" dxfId="3520" priority="4764" operator="greaterThan">
      <formula>0</formula>
    </cfRule>
  </conditionalFormatting>
  <conditionalFormatting sqref="U465">
    <cfRule type="iconSet" priority="4768">
      <iconSet iconSet="3Symbols" showValue="0" reverse="1">
        <cfvo type="percent" val="0"/>
        <cfvo type="num" val="1"/>
        <cfvo type="num" val="1.05"/>
      </iconSet>
    </cfRule>
  </conditionalFormatting>
  <conditionalFormatting sqref="P465">
    <cfRule type="iconSet" priority="4769">
      <iconSet iconSet="3Symbols" showValue="0" reverse="1">
        <cfvo type="percent" val="0"/>
        <cfvo type="num" val="1"/>
        <cfvo type="num" val="1.05"/>
      </iconSet>
    </cfRule>
  </conditionalFormatting>
  <conditionalFormatting sqref="Q464">
    <cfRule type="iconSet" priority="4760">
      <iconSet iconSet="3Symbols" showValue="0" reverse="1">
        <cfvo type="percent" val="0"/>
        <cfvo type="num" val="1"/>
        <cfvo type="num" val="1.05"/>
      </iconSet>
    </cfRule>
  </conditionalFormatting>
  <conditionalFormatting sqref="N464">
    <cfRule type="cellIs" dxfId="3519" priority="4758" operator="lessThan">
      <formula>0</formula>
    </cfRule>
    <cfRule type="cellIs" dxfId="3518" priority="4759" operator="greaterThan">
      <formula>0</formula>
    </cfRule>
  </conditionalFormatting>
  <conditionalFormatting sqref="F464">
    <cfRule type="cellIs" dxfId="3517" priority="4756" operator="lessThan">
      <formula>0</formula>
    </cfRule>
    <cfRule type="cellIs" dxfId="3516" priority="4757" operator="greaterThan">
      <formula>0</formula>
    </cfRule>
  </conditionalFormatting>
  <conditionalFormatting sqref="U464">
    <cfRule type="iconSet" priority="4761">
      <iconSet iconSet="3Symbols" showValue="0" reverse="1">
        <cfvo type="percent" val="0"/>
        <cfvo type="num" val="1"/>
        <cfvo type="num" val="1.05"/>
      </iconSet>
    </cfRule>
  </conditionalFormatting>
  <conditionalFormatting sqref="P464">
    <cfRule type="iconSet" priority="4762">
      <iconSet iconSet="3Symbols" showValue="0" reverse="1">
        <cfvo type="percent" val="0"/>
        <cfvo type="num" val="1"/>
        <cfvo type="num" val="1.05"/>
      </iconSet>
    </cfRule>
  </conditionalFormatting>
  <conditionalFormatting sqref="Q463">
    <cfRule type="iconSet" priority="4753">
      <iconSet iconSet="3Symbols" showValue="0" reverse="1">
        <cfvo type="percent" val="0"/>
        <cfvo type="num" val="1"/>
        <cfvo type="num" val="1.05"/>
      </iconSet>
    </cfRule>
  </conditionalFormatting>
  <conditionalFormatting sqref="N463">
    <cfRule type="cellIs" dxfId="3515" priority="4751" operator="lessThan">
      <formula>0</formula>
    </cfRule>
    <cfRule type="cellIs" dxfId="3514" priority="4752" operator="greaterThan">
      <formula>0</formula>
    </cfRule>
  </conditionalFormatting>
  <conditionalFormatting sqref="F463">
    <cfRule type="cellIs" dxfId="3513" priority="4749" operator="lessThan">
      <formula>0</formula>
    </cfRule>
    <cfRule type="cellIs" dxfId="3512" priority="4750" operator="greaterThan">
      <formula>0</formula>
    </cfRule>
  </conditionalFormatting>
  <conditionalFormatting sqref="U463">
    <cfRule type="iconSet" priority="4754">
      <iconSet iconSet="3Symbols" showValue="0" reverse="1">
        <cfvo type="percent" val="0"/>
        <cfvo type="num" val="1"/>
        <cfvo type="num" val="1.05"/>
      </iconSet>
    </cfRule>
  </conditionalFormatting>
  <conditionalFormatting sqref="P463">
    <cfRule type="iconSet" priority="4755">
      <iconSet iconSet="3Symbols" showValue="0" reverse="1">
        <cfvo type="percent" val="0"/>
        <cfvo type="num" val="1"/>
        <cfvo type="num" val="1.05"/>
      </iconSet>
    </cfRule>
  </conditionalFormatting>
  <conditionalFormatting sqref="Q462">
    <cfRule type="iconSet" priority="4746">
      <iconSet iconSet="3Symbols" showValue="0" reverse="1">
        <cfvo type="percent" val="0"/>
        <cfvo type="num" val="1"/>
        <cfvo type="num" val="1.05"/>
      </iconSet>
    </cfRule>
  </conditionalFormatting>
  <conditionalFormatting sqref="N462">
    <cfRule type="cellIs" dxfId="3511" priority="4744" operator="lessThan">
      <formula>0</formula>
    </cfRule>
    <cfRule type="cellIs" dxfId="3510" priority="4745" operator="greaterThan">
      <formula>0</formula>
    </cfRule>
  </conditionalFormatting>
  <conditionalFormatting sqref="F462">
    <cfRule type="cellIs" dxfId="3509" priority="4742" operator="lessThan">
      <formula>0</formula>
    </cfRule>
    <cfRule type="cellIs" dxfId="3508" priority="4743" operator="greaterThan">
      <formula>0</formula>
    </cfRule>
  </conditionalFormatting>
  <conditionalFormatting sqref="U462">
    <cfRule type="iconSet" priority="4747">
      <iconSet iconSet="3Symbols" showValue="0" reverse="1">
        <cfvo type="percent" val="0"/>
        <cfvo type="num" val="1"/>
        <cfvo type="num" val="1.05"/>
      </iconSet>
    </cfRule>
  </conditionalFormatting>
  <conditionalFormatting sqref="P462">
    <cfRule type="iconSet" priority="4748">
      <iconSet iconSet="3Symbols" showValue="0" reverse="1">
        <cfvo type="percent" val="0"/>
        <cfvo type="num" val="1"/>
        <cfvo type="num" val="1.05"/>
      </iconSet>
    </cfRule>
  </conditionalFormatting>
  <conditionalFormatting sqref="Q461">
    <cfRule type="iconSet" priority="4739">
      <iconSet iconSet="3Symbols" showValue="0" reverse="1">
        <cfvo type="percent" val="0"/>
        <cfvo type="num" val="1"/>
        <cfvo type="num" val="1.05"/>
      </iconSet>
    </cfRule>
  </conditionalFormatting>
  <conditionalFormatting sqref="N461">
    <cfRule type="cellIs" dxfId="3507" priority="4737" operator="lessThan">
      <formula>0</formula>
    </cfRule>
    <cfRule type="cellIs" dxfId="3506" priority="4738" operator="greaterThan">
      <formula>0</formula>
    </cfRule>
  </conditionalFormatting>
  <conditionalFormatting sqref="F461">
    <cfRule type="cellIs" dxfId="3505" priority="4735" operator="lessThan">
      <formula>0</formula>
    </cfRule>
    <cfRule type="cellIs" dxfId="3504" priority="4736" operator="greaterThan">
      <formula>0</formula>
    </cfRule>
  </conditionalFormatting>
  <conditionalFormatting sqref="U461">
    <cfRule type="iconSet" priority="4740">
      <iconSet iconSet="3Symbols" showValue="0" reverse="1">
        <cfvo type="percent" val="0"/>
        <cfvo type="num" val="1"/>
        <cfvo type="num" val="1.05"/>
      </iconSet>
    </cfRule>
  </conditionalFormatting>
  <conditionalFormatting sqref="P461">
    <cfRule type="iconSet" priority="4741">
      <iconSet iconSet="3Symbols" showValue="0" reverse="1">
        <cfvo type="percent" val="0"/>
        <cfvo type="num" val="1"/>
        <cfvo type="num" val="1.05"/>
      </iconSet>
    </cfRule>
  </conditionalFormatting>
  <conditionalFormatting sqref="Q460">
    <cfRule type="iconSet" priority="4732">
      <iconSet iconSet="3Symbols" showValue="0" reverse="1">
        <cfvo type="percent" val="0"/>
        <cfvo type="num" val="1"/>
        <cfvo type="num" val="1.05"/>
      </iconSet>
    </cfRule>
  </conditionalFormatting>
  <conditionalFormatting sqref="N460">
    <cfRule type="cellIs" dxfId="3503" priority="4730" operator="lessThan">
      <formula>0</formula>
    </cfRule>
    <cfRule type="cellIs" dxfId="3502" priority="4731" operator="greaterThan">
      <formula>0</formula>
    </cfRule>
  </conditionalFormatting>
  <conditionalFormatting sqref="F460">
    <cfRule type="cellIs" dxfId="3501" priority="4728" operator="lessThan">
      <formula>0</formula>
    </cfRule>
    <cfRule type="cellIs" dxfId="3500" priority="4729" operator="greaterThan">
      <formula>0</formula>
    </cfRule>
  </conditionalFormatting>
  <conditionalFormatting sqref="U460">
    <cfRule type="iconSet" priority="4733">
      <iconSet iconSet="3Symbols" showValue="0" reverse="1">
        <cfvo type="percent" val="0"/>
        <cfvo type="num" val="1"/>
        <cfvo type="num" val="1.05"/>
      </iconSet>
    </cfRule>
  </conditionalFormatting>
  <conditionalFormatting sqref="P460">
    <cfRule type="iconSet" priority="4734">
      <iconSet iconSet="3Symbols" showValue="0" reverse="1">
        <cfvo type="percent" val="0"/>
        <cfvo type="num" val="1"/>
        <cfvo type="num" val="1.05"/>
      </iconSet>
    </cfRule>
  </conditionalFormatting>
  <conditionalFormatting sqref="Q459">
    <cfRule type="iconSet" priority="4725">
      <iconSet iconSet="3Symbols" showValue="0" reverse="1">
        <cfvo type="percent" val="0"/>
        <cfvo type="num" val="1"/>
        <cfvo type="num" val="1.05"/>
      </iconSet>
    </cfRule>
  </conditionalFormatting>
  <conditionalFormatting sqref="N459">
    <cfRule type="cellIs" dxfId="3499" priority="4723" operator="lessThan">
      <formula>0</formula>
    </cfRule>
    <cfRule type="cellIs" dxfId="3498" priority="4724" operator="greaterThan">
      <formula>0</formula>
    </cfRule>
  </conditionalFormatting>
  <conditionalFormatting sqref="F459">
    <cfRule type="cellIs" dxfId="3497" priority="4721" operator="lessThan">
      <formula>0</formula>
    </cfRule>
    <cfRule type="cellIs" dxfId="3496" priority="4722" operator="greaterThan">
      <formula>0</formula>
    </cfRule>
  </conditionalFormatting>
  <conditionalFormatting sqref="U459">
    <cfRule type="iconSet" priority="4726">
      <iconSet iconSet="3Symbols" showValue="0" reverse="1">
        <cfvo type="percent" val="0"/>
        <cfvo type="num" val="1"/>
        <cfvo type="num" val="1.05"/>
      </iconSet>
    </cfRule>
  </conditionalFormatting>
  <conditionalFormatting sqref="P459">
    <cfRule type="iconSet" priority="4727">
      <iconSet iconSet="3Symbols" showValue="0" reverse="1">
        <cfvo type="percent" val="0"/>
        <cfvo type="num" val="1"/>
        <cfvo type="num" val="1.05"/>
      </iconSet>
    </cfRule>
  </conditionalFormatting>
  <conditionalFormatting sqref="Q458">
    <cfRule type="iconSet" priority="4718">
      <iconSet iconSet="3Symbols" showValue="0" reverse="1">
        <cfvo type="percent" val="0"/>
        <cfvo type="num" val="1"/>
        <cfvo type="num" val="1.05"/>
      </iconSet>
    </cfRule>
  </conditionalFormatting>
  <conditionalFormatting sqref="N458">
    <cfRule type="cellIs" dxfId="3495" priority="4716" operator="lessThan">
      <formula>0</formula>
    </cfRule>
    <cfRule type="cellIs" dxfId="3494" priority="4717" operator="greaterThan">
      <formula>0</formula>
    </cfRule>
  </conditionalFormatting>
  <conditionalFormatting sqref="F458">
    <cfRule type="cellIs" dxfId="3493" priority="4714" operator="lessThan">
      <formula>0</formula>
    </cfRule>
    <cfRule type="cellIs" dxfId="3492" priority="4715" operator="greaterThan">
      <formula>0</formula>
    </cfRule>
  </conditionalFormatting>
  <conditionalFormatting sqref="U458">
    <cfRule type="iconSet" priority="4719">
      <iconSet iconSet="3Symbols" showValue="0" reverse="1">
        <cfvo type="percent" val="0"/>
        <cfvo type="num" val="1"/>
        <cfvo type="num" val="1.05"/>
      </iconSet>
    </cfRule>
  </conditionalFormatting>
  <conditionalFormatting sqref="P458">
    <cfRule type="iconSet" priority="4720">
      <iconSet iconSet="3Symbols" showValue="0" reverse="1">
        <cfvo type="percent" val="0"/>
        <cfvo type="num" val="1"/>
        <cfvo type="num" val="1.05"/>
      </iconSet>
    </cfRule>
  </conditionalFormatting>
  <conditionalFormatting sqref="Q456:Q457">
    <cfRule type="iconSet" priority="4711">
      <iconSet iconSet="3Symbols" showValue="0" reverse="1">
        <cfvo type="percent" val="0"/>
        <cfvo type="num" val="1"/>
        <cfvo type="num" val="1.05"/>
      </iconSet>
    </cfRule>
  </conditionalFormatting>
  <conditionalFormatting sqref="N456:N457">
    <cfRule type="cellIs" dxfId="3491" priority="4709" operator="lessThan">
      <formula>0</formula>
    </cfRule>
    <cfRule type="cellIs" dxfId="3490" priority="4710" operator="greaterThan">
      <formula>0</formula>
    </cfRule>
  </conditionalFormatting>
  <conditionalFormatting sqref="F456:F457">
    <cfRule type="cellIs" dxfId="3489" priority="4707" operator="lessThan">
      <formula>0</formula>
    </cfRule>
    <cfRule type="cellIs" dxfId="3488" priority="4708" operator="greaterThan">
      <formula>0</formula>
    </cfRule>
  </conditionalFormatting>
  <conditionalFormatting sqref="U456:U457">
    <cfRule type="iconSet" priority="4712">
      <iconSet iconSet="3Symbols" showValue="0" reverse="1">
        <cfvo type="percent" val="0"/>
        <cfvo type="num" val="1"/>
        <cfvo type="num" val="1.05"/>
      </iconSet>
    </cfRule>
  </conditionalFormatting>
  <conditionalFormatting sqref="P456:P457">
    <cfRule type="iconSet" priority="4713">
      <iconSet iconSet="3Symbols" showValue="0" reverse="1">
        <cfvo type="percent" val="0"/>
        <cfvo type="num" val="1"/>
        <cfvo type="num" val="1.05"/>
      </iconSet>
    </cfRule>
  </conditionalFormatting>
  <conditionalFormatting sqref="Q455">
    <cfRule type="iconSet" priority="4704">
      <iconSet iconSet="3Symbols" showValue="0" reverse="1">
        <cfvo type="percent" val="0"/>
        <cfvo type="num" val="1"/>
        <cfvo type="num" val="1.05"/>
      </iconSet>
    </cfRule>
  </conditionalFormatting>
  <conditionalFormatting sqref="N455">
    <cfRule type="cellIs" dxfId="3487" priority="4702" operator="lessThan">
      <formula>0</formula>
    </cfRule>
    <cfRule type="cellIs" dxfId="3486" priority="4703" operator="greaterThan">
      <formula>0</formula>
    </cfRule>
  </conditionalFormatting>
  <conditionalFormatting sqref="F455">
    <cfRule type="cellIs" dxfId="3485" priority="4700" operator="lessThan">
      <formula>0</formula>
    </cfRule>
    <cfRule type="cellIs" dxfId="3484" priority="4701" operator="greaterThan">
      <formula>0</formula>
    </cfRule>
  </conditionalFormatting>
  <conditionalFormatting sqref="U455">
    <cfRule type="iconSet" priority="4705">
      <iconSet iconSet="3Symbols" showValue="0" reverse="1">
        <cfvo type="percent" val="0"/>
        <cfvo type="num" val="1"/>
        <cfvo type="num" val="1.05"/>
      </iconSet>
    </cfRule>
  </conditionalFormatting>
  <conditionalFormatting sqref="P455">
    <cfRule type="iconSet" priority="4706">
      <iconSet iconSet="3Symbols" showValue="0" reverse="1">
        <cfvo type="percent" val="0"/>
        <cfvo type="num" val="1"/>
        <cfvo type="num" val="1.05"/>
      </iconSet>
    </cfRule>
  </conditionalFormatting>
  <conditionalFormatting sqref="Q454">
    <cfRule type="iconSet" priority="4697">
      <iconSet iconSet="3Symbols" showValue="0" reverse="1">
        <cfvo type="percent" val="0"/>
        <cfvo type="num" val="1"/>
        <cfvo type="num" val="1.05"/>
      </iconSet>
    </cfRule>
  </conditionalFormatting>
  <conditionalFormatting sqref="N454">
    <cfRule type="cellIs" dxfId="3483" priority="4695" operator="lessThan">
      <formula>0</formula>
    </cfRule>
    <cfRule type="cellIs" dxfId="3482" priority="4696" operator="greaterThan">
      <formula>0</formula>
    </cfRule>
  </conditionalFormatting>
  <conditionalFormatting sqref="F454">
    <cfRule type="cellIs" dxfId="3481" priority="4693" operator="lessThan">
      <formula>0</formula>
    </cfRule>
    <cfRule type="cellIs" dxfId="3480" priority="4694" operator="greaterThan">
      <formula>0</formula>
    </cfRule>
  </conditionalFormatting>
  <conditionalFormatting sqref="U454">
    <cfRule type="iconSet" priority="4698">
      <iconSet iconSet="3Symbols" showValue="0" reverse="1">
        <cfvo type="percent" val="0"/>
        <cfvo type="num" val="1"/>
        <cfvo type="num" val="1.05"/>
      </iconSet>
    </cfRule>
  </conditionalFormatting>
  <conditionalFormatting sqref="P454">
    <cfRule type="iconSet" priority="4699">
      <iconSet iconSet="3Symbols" showValue="0" reverse="1">
        <cfvo type="percent" val="0"/>
        <cfvo type="num" val="1"/>
        <cfvo type="num" val="1.05"/>
      </iconSet>
    </cfRule>
  </conditionalFormatting>
  <conditionalFormatting sqref="Q453">
    <cfRule type="iconSet" priority="4690">
      <iconSet iconSet="3Symbols" showValue="0" reverse="1">
        <cfvo type="percent" val="0"/>
        <cfvo type="num" val="1"/>
        <cfvo type="num" val="1.05"/>
      </iconSet>
    </cfRule>
  </conditionalFormatting>
  <conditionalFormatting sqref="N453">
    <cfRule type="cellIs" dxfId="3479" priority="4688" operator="lessThan">
      <formula>0</formula>
    </cfRule>
    <cfRule type="cellIs" dxfId="3478" priority="4689" operator="greaterThan">
      <formula>0</formula>
    </cfRule>
  </conditionalFormatting>
  <conditionalFormatting sqref="F453">
    <cfRule type="cellIs" dxfId="3477" priority="4686" operator="lessThan">
      <formula>0</formula>
    </cfRule>
    <cfRule type="cellIs" dxfId="3476" priority="4687" operator="greaterThan">
      <formula>0</formula>
    </cfRule>
  </conditionalFormatting>
  <conditionalFormatting sqref="U453">
    <cfRule type="iconSet" priority="4691">
      <iconSet iconSet="3Symbols" showValue="0" reverse="1">
        <cfvo type="percent" val="0"/>
        <cfvo type="num" val="1"/>
        <cfvo type="num" val="1.05"/>
      </iconSet>
    </cfRule>
  </conditionalFormatting>
  <conditionalFormatting sqref="P453">
    <cfRule type="iconSet" priority="4692">
      <iconSet iconSet="3Symbols" showValue="0" reverse="1">
        <cfvo type="percent" val="0"/>
        <cfvo type="num" val="1"/>
        <cfvo type="num" val="1.05"/>
      </iconSet>
    </cfRule>
  </conditionalFormatting>
  <conditionalFormatting sqref="Q452">
    <cfRule type="iconSet" priority="4683">
      <iconSet iconSet="3Symbols" showValue="0" reverse="1">
        <cfvo type="percent" val="0"/>
        <cfvo type="num" val="1"/>
        <cfvo type="num" val="1.05"/>
      </iconSet>
    </cfRule>
  </conditionalFormatting>
  <conditionalFormatting sqref="N452">
    <cfRule type="cellIs" dxfId="3475" priority="4681" operator="lessThan">
      <formula>0</formula>
    </cfRule>
    <cfRule type="cellIs" dxfId="3474" priority="4682" operator="greaterThan">
      <formula>0</formula>
    </cfRule>
  </conditionalFormatting>
  <conditionalFormatting sqref="F452">
    <cfRule type="cellIs" dxfId="3473" priority="4679" operator="lessThan">
      <formula>0</formula>
    </cfRule>
    <cfRule type="cellIs" dxfId="3472" priority="4680" operator="greaterThan">
      <formula>0</formula>
    </cfRule>
  </conditionalFormatting>
  <conditionalFormatting sqref="U452">
    <cfRule type="iconSet" priority="4684">
      <iconSet iconSet="3Symbols" showValue="0" reverse="1">
        <cfvo type="percent" val="0"/>
        <cfvo type="num" val="1"/>
        <cfvo type="num" val="1.05"/>
      </iconSet>
    </cfRule>
  </conditionalFormatting>
  <conditionalFormatting sqref="P452">
    <cfRule type="iconSet" priority="4685">
      <iconSet iconSet="3Symbols" showValue="0" reverse="1">
        <cfvo type="percent" val="0"/>
        <cfvo type="num" val="1"/>
        <cfvo type="num" val="1.05"/>
      </iconSet>
    </cfRule>
  </conditionalFormatting>
  <conditionalFormatting sqref="Q451">
    <cfRule type="iconSet" priority="4676">
      <iconSet iconSet="3Symbols" showValue="0" reverse="1">
        <cfvo type="percent" val="0"/>
        <cfvo type="num" val="1"/>
        <cfvo type="num" val="1.05"/>
      </iconSet>
    </cfRule>
  </conditionalFormatting>
  <conditionalFormatting sqref="N451">
    <cfRule type="cellIs" dxfId="3471" priority="4674" operator="lessThan">
      <formula>0</formula>
    </cfRule>
    <cfRule type="cellIs" dxfId="3470" priority="4675" operator="greaterThan">
      <formula>0</formula>
    </cfRule>
  </conditionalFormatting>
  <conditionalFormatting sqref="F451">
    <cfRule type="cellIs" dxfId="3469" priority="4672" operator="lessThan">
      <formula>0</formula>
    </cfRule>
    <cfRule type="cellIs" dxfId="3468" priority="4673" operator="greaterThan">
      <formula>0</formula>
    </cfRule>
  </conditionalFormatting>
  <conditionalFormatting sqref="U451">
    <cfRule type="iconSet" priority="4677">
      <iconSet iconSet="3Symbols" showValue="0" reverse="1">
        <cfvo type="percent" val="0"/>
        <cfvo type="num" val="1"/>
        <cfvo type="num" val="1.05"/>
      </iconSet>
    </cfRule>
  </conditionalFormatting>
  <conditionalFormatting sqref="P451">
    <cfRule type="iconSet" priority="4678">
      <iconSet iconSet="3Symbols" showValue="0" reverse="1">
        <cfvo type="percent" val="0"/>
        <cfvo type="num" val="1"/>
        <cfvo type="num" val="1.05"/>
      </iconSet>
    </cfRule>
  </conditionalFormatting>
  <conditionalFormatting sqref="Q450">
    <cfRule type="iconSet" priority="4669">
      <iconSet iconSet="3Symbols" showValue="0" reverse="1">
        <cfvo type="percent" val="0"/>
        <cfvo type="num" val="1"/>
        <cfvo type="num" val="1.05"/>
      </iconSet>
    </cfRule>
  </conditionalFormatting>
  <conditionalFormatting sqref="N450">
    <cfRule type="cellIs" dxfId="3467" priority="4667" operator="lessThan">
      <formula>0</formula>
    </cfRule>
    <cfRule type="cellIs" dxfId="3466" priority="4668" operator="greaterThan">
      <formula>0</formula>
    </cfRule>
  </conditionalFormatting>
  <conditionalFormatting sqref="F450">
    <cfRule type="cellIs" dxfId="3465" priority="4665" operator="lessThan">
      <formula>0</formula>
    </cfRule>
    <cfRule type="cellIs" dxfId="3464" priority="4666" operator="greaterThan">
      <formula>0</formula>
    </cfRule>
  </conditionalFormatting>
  <conditionalFormatting sqref="U450">
    <cfRule type="iconSet" priority="4670">
      <iconSet iconSet="3Symbols" showValue="0" reverse="1">
        <cfvo type="percent" val="0"/>
        <cfvo type="num" val="1"/>
        <cfvo type="num" val="1.05"/>
      </iconSet>
    </cfRule>
  </conditionalFormatting>
  <conditionalFormatting sqref="P450">
    <cfRule type="iconSet" priority="4671">
      <iconSet iconSet="3Symbols" showValue="0" reverse="1">
        <cfvo type="percent" val="0"/>
        <cfvo type="num" val="1"/>
        <cfvo type="num" val="1.05"/>
      </iconSet>
    </cfRule>
  </conditionalFormatting>
  <conditionalFormatting sqref="Q449">
    <cfRule type="iconSet" priority="4662">
      <iconSet iconSet="3Symbols" showValue="0" reverse="1">
        <cfvo type="percent" val="0"/>
        <cfvo type="num" val="1"/>
        <cfvo type="num" val="1.05"/>
      </iconSet>
    </cfRule>
  </conditionalFormatting>
  <conditionalFormatting sqref="N449">
    <cfRule type="cellIs" dxfId="3463" priority="4660" operator="lessThan">
      <formula>0</formula>
    </cfRule>
    <cfRule type="cellIs" dxfId="3462" priority="4661" operator="greaterThan">
      <formula>0</formula>
    </cfRule>
  </conditionalFormatting>
  <conditionalFormatting sqref="F449">
    <cfRule type="cellIs" dxfId="3461" priority="4658" operator="lessThan">
      <formula>0</formula>
    </cfRule>
    <cfRule type="cellIs" dxfId="3460" priority="4659" operator="greaterThan">
      <formula>0</formula>
    </cfRule>
  </conditionalFormatting>
  <conditionalFormatting sqref="U449">
    <cfRule type="iconSet" priority="4663">
      <iconSet iconSet="3Symbols" showValue="0" reverse="1">
        <cfvo type="percent" val="0"/>
        <cfvo type="num" val="1"/>
        <cfvo type="num" val="1.05"/>
      </iconSet>
    </cfRule>
  </conditionalFormatting>
  <conditionalFormatting sqref="P449">
    <cfRule type="iconSet" priority="4664">
      <iconSet iconSet="3Symbols" showValue="0" reverse="1">
        <cfvo type="percent" val="0"/>
        <cfvo type="num" val="1"/>
        <cfvo type="num" val="1.05"/>
      </iconSet>
    </cfRule>
  </conditionalFormatting>
  <conditionalFormatting sqref="Q448">
    <cfRule type="iconSet" priority="4655">
      <iconSet iconSet="3Symbols" showValue="0" reverse="1">
        <cfvo type="percent" val="0"/>
        <cfvo type="num" val="1"/>
        <cfvo type="num" val="1.05"/>
      </iconSet>
    </cfRule>
  </conditionalFormatting>
  <conditionalFormatting sqref="N448">
    <cfRule type="cellIs" dxfId="3459" priority="4653" operator="lessThan">
      <formula>0</formula>
    </cfRule>
    <cfRule type="cellIs" dxfId="3458" priority="4654" operator="greaterThan">
      <formula>0</formula>
    </cfRule>
  </conditionalFormatting>
  <conditionalFormatting sqref="F448">
    <cfRule type="cellIs" dxfId="3457" priority="4651" operator="lessThan">
      <formula>0</formula>
    </cfRule>
    <cfRule type="cellIs" dxfId="3456" priority="4652" operator="greaterThan">
      <formula>0</formula>
    </cfRule>
  </conditionalFormatting>
  <conditionalFormatting sqref="U448">
    <cfRule type="iconSet" priority="4656">
      <iconSet iconSet="3Symbols" showValue="0" reverse="1">
        <cfvo type="percent" val="0"/>
        <cfvo type="num" val="1"/>
        <cfvo type="num" val="1.05"/>
      </iconSet>
    </cfRule>
  </conditionalFormatting>
  <conditionalFormatting sqref="P448">
    <cfRule type="iconSet" priority="4657">
      <iconSet iconSet="3Symbols" showValue="0" reverse="1">
        <cfvo type="percent" val="0"/>
        <cfvo type="num" val="1"/>
        <cfvo type="num" val="1.05"/>
      </iconSet>
    </cfRule>
  </conditionalFormatting>
  <conditionalFormatting sqref="Q447">
    <cfRule type="iconSet" priority="4648">
      <iconSet iconSet="3Symbols" showValue="0" reverse="1">
        <cfvo type="percent" val="0"/>
        <cfvo type="num" val="1"/>
        <cfvo type="num" val="1.05"/>
      </iconSet>
    </cfRule>
  </conditionalFormatting>
  <conditionalFormatting sqref="N447">
    <cfRule type="cellIs" dxfId="3455" priority="4646" operator="lessThan">
      <formula>0</formula>
    </cfRule>
    <cfRule type="cellIs" dxfId="3454" priority="4647" operator="greaterThan">
      <formula>0</formula>
    </cfRule>
  </conditionalFormatting>
  <conditionalFormatting sqref="F447">
    <cfRule type="cellIs" dxfId="3453" priority="4644" operator="lessThan">
      <formula>0</formula>
    </cfRule>
    <cfRule type="cellIs" dxfId="3452" priority="4645" operator="greaterThan">
      <formula>0</formula>
    </cfRule>
  </conditionalFormatting>
  <conditionalFormatting sqref="U447">
    <cfRule type="iconSet" priority="4649">
      <iconSet iconSet="3Symbols" showValue="0" reverse="1">
        <cfvo type="percent" val="0"/>
        <cfvo type="num" val="1"/>
        <cfvo type="num" val="1.05"/>
      </iconSet>
    </cfRule>
  </conditionalFormatting>
  <conditionalFormatting sqref="P447">
    <cfRule type="iconSet" priority="4650">
      <iconSet iconSet="3Symbols" showValue="0" reverse="1">
        <cfvo type="percent" val="0"/>
        <cfvo type="num" val="1"/>
        <cfvo type="num" val="1.05"/>
      </iconSet>
    </cfRule>
  </conditionalFormatting>
  <conditionalFormatting sqref="Q446">
    <cfRule type="iconSet" priority="4641">
      <iconSet iconSet="3Symbols" showValue="0" reverse="1">
        <cfvo type="percent" val="0"/>
        <cfvo type="num" val="1"/>
        <cfvo type="num" val="1.05"/>
      </iconSet>
    </cfRule>
  </conditionalFormatting>
  <conditionalFormatting sqref="N446">
    <cfRule type="cellIs" dxfId="3451" priority="4639" operator="lessThan">
      <formula>0</formula>
    </cfRule>
    <cfRule type="cellIs" dxfId="3450" priority="4640" operator="greaterThan">
      <formula>0</formula>
    </cfRule>
  </conditionalFormatting>
  <conditionalFormatting sqref="F446">
    <cfRule type="cellIs" dxfId="3449" priority="4637" operator="lessThan">
      <formula>0</formula>
    </cfRule>
    <cfRule type="cellIs" dxfId="3448" priority="4638" operator="greaterThan">
      <formula>0</formula>
    </cfRule>
  </conditionalFormatting>
  <conditionalFormatting sqref="U446">
    <cfRule type="iconSet" priority="4642">
      <iconSet iconSet="3Symbols" showValue="0" reverse="1">
        <cfvo type="percent" val="0"/>
        <cfvo type="num" val="1"/>
        <cfvo type="num" val="1.05"/>
      </iconSet>
    </cfRule>
  </conditionalFormatting>
  <conditionalFormatting sqref="P446">
    <cfRule type="iconSet" priority="4643">
      <iconSet iconSet="3Symbols" showValue="0" reverse="1">
        <cfvo type="percent" val="0"/>
        <cfvo type="num" val="1"/>
        <cfvo type="num" val="1.05"/>
      </iconSet>
    </cfRule>
  </conditionalFormatting>
  <conditionalFormatting sqref="Q445">
    <cfRule type="iconSet" priority="4634">
      <iconSet iconSet="3Symbols" showValue="0" reverse="1">
        <cfvo type="percent" val="0"/>
        <cfvo type="num" val="1"/>
        <cfvo type="num" val="1.05"/>
      </iconSet>
    </cfRule>
  </conditionalFormatting>
  <conditionalFormatting sqref="N445">
    <cfRule type="cellIs" dxfId="3447" priority="4632" operator="lessThan">
      <formula>0</formula>
    </cfRule>
    <cfRule type="cellIs" dxfId="3446" priority="4633" operator="greaterThan">
      <formula>0</formula>
    </cfRule>
  </conditionalFormatting>
  <conditionalFormatting sqref="F445">
    <cfRule type="cellIs" dxfId="3445" priority="4630" operator="lessThan">
      <formula>0</formula>
    </cfRule>
    <cfRule type="cellIs" dxfId="3444" priority="4631" operator="greaterThan">
      <formula>0</formula>
    </cfRule>
  </conditionalFormatting>
  <conditionalFormatting sqref="U445">
    <cfRule type="iconSet" priority="4635">
      <iconSet iconSet="3Symbols" showValue="0" reverse="1">
        <cfvo type="percent" val="0"/>
        <cfvo type="num" val="1"/>
        <cfvo type="num" val="1.05"/>
      </iconSet>
    </cfRule>
  </conditionalFormatting>
  <conditionalFormatting sqref="P445">
    <cfRule type="iconSet" priority="4636">
      <iconSet iconSet="3Symbols" showValue="0" reverse="1">
        <cfvo type="percent" val="0"/>
        <cfvo type="num" val="1"/>
        <cfvo type="num" val="1.05"/>
      </iconSet>
    </cfRule>
  </conditionalFormatting>
  <conditionalFormatting sqref="Q443:Q444">
    <cfRule type="iconSet" priority="4627">
      <iconSet iconSet="3Symbols" showValue="0" reverse="1">
        <cfvo type="percent" val="0"/>
        <cfvo type="num" val="1"/>
        <cfvo type="num" val="1.05"/>
      </iconSet>
    </cfRule>
  </conditionalFormatting>
  <conditionalFormatting sqref="N443:N444">
    <cfRule type="cellIs" dxfId="3443" priority="4625" operator="lessThan">
      <formula>0</formula>
    </cfRule>
    <cfRule type="cellIs" dxfId="3442" priority="4626" operator="greaterThan">
      <formula>0</formula>
    </cfRule>
  </conditionalFormatting>
  <conditionalFormatting sqref="F443:F444">
    <cfRule type="cellIs" dxfId="3441" priority="4623" operator="lessThan">
      <formula>0</formula>
    </cfRule>
    <cfRule type="cellIs" dxfId="3440" priority="4624" operator="greaterThan">
      <formula>0</formula>
    </cfRule>
  </conditionalFormatting>
  <conditionalFormatting sqref="U443:U444">
    <cfRule type="iconSet" priority="4628">
      <iconSet iconSet="3Symbols" showValue="0" reverse="1">
        <cfvo type="percent" val="0"/>
        <cfvo type="num" val="1"/>
        <cfvo type="num" val="1.05"/>
      </iconSet>
    </cfRule>
  </conditionalFormatting>
  <conditionalFormatting sqref="P443:P444">
    <cfRule type="iconSet" priority="4629">
      <iconSet iconSet="3Symbols" showValue="0" reverse="1">
        <cfvo type="percent" val="0"/>
        <cfvo type="num" val="1"/>
        <cfvo type="num" val="1.05"/>
      </iconSet>
    </cfRule>
  </conditionalFormatting>
  <conditionalFormatting sqref="Q442">
    <cfRule type="iconSet" priority="4620">
      <iconSet iconSet="3Symbols" showValue="0" reverse="1">
        <cfvo type="percent" val="0"/>
        <cfvo type="num" val="1"/>
        <cfvo type="num" val="1.05"/>
      </iconSet>
    </cfRule>
  </conditionalFormatting>
  <conditionalFormatting sqref="N442">
    <cfRule type="cellIs" dxfId="3439" priority="4618" operator="lessThan">
      <formula>0</formula>
    </cfRule>
    <cfRule type="cellIs" dxfId="3438" priority="4619" operator="greaterThan">
      <formula>0</formula>
    </cfRule>
  </conditionalFormatting>
  <conditionalFormatting sqref="F442">
    <cfRule type="cellIs" dxfId="3437" priority="4616" operator="lessThan">
      <formula>0</formula>
    </cfRule>
    <cfRule type="cellIs" dxfId="3436" priority="4617" operator="greaterThan">
      <formula>0</formula>
    </cfRule>
  </conditionalFormatting>
  <conditionalFormatting sqref="U442">
    <cfRule type="iconSet" priority="4621">
      <iconSet iconSet="3Symbols" showValue="0" reverse="1">
        <cfvo type="percent" val="0"/>
        <cfvo type="num" val="1"/>
        <cfvo type="num" val="1.05"/>
      </iconSet>
    </cfRule>
  </conditionalFormatting>
  <conditionalFormatting sqref="P442">
    <cfRule type="iconSet" priority="4622">
      <iconSet iconSet="3Symbols" showValue="0" reverse="1">
        <cfvo type="percent" val="0"/>
        <cfvo type="num" val="1"/>
        <cfvo type="num" val="1.05"/>
      </iconSet>
    </cfRule>
  </conditionalFormatting>
  <conditionalFormatting sqref="Q441">
    <cfRule type="iconSet" priority="4613">
      <iconSet iconSet="3Symbols" showValue="0" reverse="1">
        <cfvo type="percent" val="0"/>
        <cfvo type="num" val="1"/>
        <cfvo type="num" val="1.05"/>
      </iconSet>
    </cfRule>
  </conditionalFormatting>
  <conditionalFormatting sqref="N441">
    <cfRule type="cellIs" dxfId="3435" priority="4611" operator="lessThan">
      <formula>0</formula>
    </cfRule>
    <cfRule type="cellIs" dxfId="3434" priority="4612" operator="greaterThan">
      <formula>0</formula>
    </cfRule>
  </conditionalFormatting>
  <conditionalFormatting sqref="F441">
    <cfRule type="cellIs" dxfId="3433" priority="4609" operator="lessThan">
      <formula>0</formula>
    </cfRule>
    <cfRule type="cellIs" dxfId="3432" priority="4610" operator="greaterThan">
      <formula>0</formula>
    </cfRule>
  </conditionalFormatting>
  <conditionalFormatting sqref="U441">
    <cfRule type="iconSet" priority="4614">
      <iconSet iconSet="3Symbols" showValue="0" reverse="1">
        <cfvo type="percent" val="0"/>
        <cfvo type="num" val="1"/>
        <cfvo type="num" val="1.05"/>
      </iconSet>
    </cfRule>
  </conditionalFormatting>
  <conditionalFormatting sqref="P441">
    <cfRule type="iconSet" priority="4615">
      <iconSet iconSet="3Symbols" showValue="0" reverse="1">
        <cfvo type="percent" val="0"/>
        <cfvo type="num" val="1"/>
        <cfvo type="num" val="1.05"/>
      </iconSet>
    </cfRule>
  </conditionalFormatting>
  <conditionalFormatting sqref="Q440">
    <cfRule type="iconSet" priority="4606">
      <iconSet iconSet="3Symbols" showValue="0" reverse="1">
        <cfvo type="percent" val="0"/>
        <cfvo type="num" val="1"/>
        <cfvo type="num" val="1.05"/>
      </iconSet>
    </cfRule>
  </conditionalFormatting>
  <conditionalFormatting sqref="N440">
    <cfRule type="cellIs" dxfId="3431" priority="4604" operator="lessThan">
      <formula>0</formula>
    </cfRule>
    <cfRule type="cellIs" dxfId="3430" priority="4605" operator="greaterThan">
      <formula>0</formula>
    </cfRule>
  </conditionalFormatting>
  <conditionalFormatting sqref="F440">
    <cfRule type="cellIs" dxfId="3429" priority="4602" operator="lessThan">
      <formula>0</formula>
    </cfRule>
    <cfRule type="cellIs" dxfId="3428" priority="4603" operator="greaterThan">
      <formula>0</formula>
    </cfRule>
  </conditionalFormatting>
  <conditionalFormatting sqref="U440">
    <cfRule type="iconSet" priority="4607">
      <iconSet iconSet="3Symbols" showValue="0" reverse="1">
        <cfvo type="percent" val="0"/>
        <cfvo type="num" val="1"/>
        <cfvo type="num" val="1.05"/>
      </iconSet>
    </cfRule>
  </conditionalFormatting>
  <conditionalFormatting sqref="P440">
    <cfRule type="iconSet" priority="4608">
      <iconSet iconSet="3Symbols" showValue="0" reverse="1">
        <cfvo type="percent" val="0"/>
        <cfvo type="num" val="1"/>
        <cfvo type="num" val="1.05"/>
      </iconSet>
    </cfRule>
  </conditionalFormatting>
  <conditionalFormatting sqref="Q439">
    <cfRule type="iconSet" priority="4599">
      <iconSet iconSet="3Symbols" showValue="0" reverse="1">
        <cfvo type="percent" val="0"/>
        <cfvo type="num" val="1"/>
        <cfvo type="num" val="1.05"/>
      </iconSet>
    </cfRule>
  </conditionalFormatting>
  <conditionalFormatting sqref="N439">
    <cfRule type="cellIs" dxfId="3427" priority="4597" operator="lessThan">
      <formula>0</formula>
    </cfRule>
    <cfRule type="cellIs" dxfId="3426" priority="4598" operator="greaterThan">
      <formula>0</formula>
    </cfRule>
  </conditionalFormatting>
  <conditionalFormatting sqref="F439">
    <cfRule type="cellIs" dxfId="3425" priority="4595" operator="lessThan">
      <formula>0</formula>
    </cfRule>
    <cfRule type="cellIs" dxfId="3424" priority="4596" operator="greaterThan">
      <formula>0</formula>
    </cfRule>
  </conditionalFormatting>
  <conditionalFormatting sqref="U439">
    <cfRule type="iconSet" priority="4600">
      <iconSet iconSet="3Symbols" showValue="0" reverse="1">
        <cfvo type="percent" val="0"/>
        <cfvo type="num" val="1"/>
        <cfvo type="num" val="1.05"/>
      </iconSet>
    </cfRule>
  </conditionalFormatting>
  <conditionalFormatting sqref="P439">
    <cfRule type="iconSet" priority="4601">
      <iconSet iconSet="3Symbols" showValue="0" reverse="1">
        <cfvo type="percent" val="0"/>
        <cfvo type="num" val="1"/>
        <cfvo type="num" val="1.05"/>
      </iconSet>
    </cfRule>
  </conditionalFormatting>
  <conditionalFormatting sqref="Q438">
    <cfRule type="iconSet" priority="4592">
      <iconSet iconSet="3Symbols" showValue="0" reverse="1">
        <cfvo type="percent" val="0"/>
        <cfvo type="num" val="1"/>
        <cfvo type="num" val="1.05"/>
      </iconSet>
    </cfRule>
  </conditionalFormatting>
  <conditionalFormatting sqref="N438">
    <cfRule type="cellIs" dxfId="3423" priority="4590" operator="lessThan">
      <formula>0</formula>
    </cfRule>
    <cfRule type="cellIs" dxfId="3422" priority="4591" operator="greaterThan">
      <formula>0</formula>
    </cfRule>
  </conditionalFormatting>
  <conditionalFormatting sqref="F438">
    <cfRule type="cellIs" dxfId="3421" priority="4588" operator="lessThan">
      <formula>0</formula>
    </cfRule>
    <cfRule type="cellIs" dxfId="3420" priority="4589" operator="greaterThan">
      <formula>0</formula>
    </cfRule>
  </conditionalFormatting>
  <conditionalFormatting sqref="U438">
    <cfRule type="iconSet" priority="4593">
      <iconSet iconSet="3Symbols" showValue="0" reverse="1">
        <cfvo type="percent" val="0"/>
        <cfvo type="num" val="1"/>
        <cfvo type="num" val="1.05"/>
      </iconSet>
    </cfRule>
  </conditionalFormatting>
  <conditionalFormatting sqref="P438">
    <cfRule type="iconSet" priority="4594">
      <iconSet iconSet="3Symbols" showValue="0" reverse="1">
        <cfvo type="percent" val="0"/>
        <cfvo type="num" val="1"/>
        <cfvo type="num" val="1.05"/>
      </iconSet>
    </cfRule>
  </conditionalFormatting>
  <conditionalFormatting sqref="Q437">
    <cfRule type="iconSet" priority="4585">
      <iconSet iconSet="3Symbols" showValue="0" reverse="1">
        <cfvo type="percent" val="0"/>
        <cfvo type="num" val="1"/>
        <cfvo type="num" val="1.05"/>
      </iconSet>
    </cfRule>
  </conditionalFormatting>
  <conditionalFormatting sqref="N437">
    <cfRule type="cellIs" dxfId="3419" priority="4583" operator="lessThan">
      <formula>0</formula>
    </cfRule>
    <cfRule type="cellIs" dxfId="3418" priority="4584" operator="greaterThan">
      <formula>0</formula>
    </cfRule>
  </conditionalFormatting>
  <conditionalFormatting sqref="F437">
    <cfRule type="cellIs" dxfId="3417" priority="4581" operator="lessThan">
      <formula>0</formula>
    </cfRule>
    <cfRule type="cellIs" dxfId="3416" priority="4582" operator="greaterThan">
      <formula>0</formula>
    </cfRule>
  </conditionalFormatting>
  <conditionalFormatting sqref="U437">
    <cfRule type="iconSet" priority="4586">
      <iconSet iconSet="3Symbols" showValue="0" reverse="1">
        <cfvo type="percent" val="0"/>
        <cfvo type="num" val="1"/>
        <cfvo type="num" val="1.05"/>
      </iconSet>
    </cfRule>
  </conditionalFormatting>
  <conditionalFormatting sqref="P437">
    <cfRule type="iconSet" priority="4587">
      <iconSet iconSet="3Symbols" showValue="0" reverse="1">
        <cfvo type="percent" val="0"/>
        <cfvo type="num" val="1"/>
        <cfvo type="num" val="1.05"/>
      </iconSet>
    </cfRule>
  </conditionalFormatting>
  <conditionalFormatting sqref="Q436">
    <cfRule type="iconSet" priority="4578">
      <iconSet iconSet="3Symbols" showValue="0" reverse="1">
        <cfvo type="percent" val="0"/>
        <cfvo type="num" val="1"/>
        <cfvo type="num" val="1.05"/>
      </iconSet>
    </cfRule>
  </conditionalFormatting>
  <conditionalFormatting sqref="N436">
    <cfRule type="cellIs" dxfId="3415" priority="4576" operator="lessThan">
      <formula>0</formula>
    </cfRule>
    <cfRule type="cellIs" dxfId="3414" priority="4577" operator="greaterThan">
      <formula>0</formula>
    </cfRule>
  </conditionalFormatting>
  <conditionalFormatting sqref="F436">
    <cfRule type="cellIs" dxfId="3413" priority="4574" operator="lessThan">
      <formula>0</formula>
    </cfRule>
    <cfRule type="cellIs" dxfId="3412" priority="4575" operator="greaterThan">
      <formula>0</formula>
    </cfRule>
  </conditionalFormatting>
  <conditionalFormatting sqref="U436">
    <cfRule type="iconSet" priority="4579">
      <iconSet iconSet="3Symbols" showValue="0" reverse="1">
        <cfvo type="percent" val="0"/>
        <cfvo type="num" val="1"/>
        <cfvo type="num" val="1.05"/>
      </iconSet>
    </cfRule>
  </conditionalFormatting>
  <conditionalFormatting sqref="P436">
    <cfRule type="iconSet" priority="4580">
      <iconSet iconSet="3Symbols" showValue="0" reverse="1">
        <cfvo type="percent" val="0"/>
        <cfvo type="num" val="1"/>
        <cfvo type="num" val="1.05"/>
      </iconSet>
    </cfRule>
  </conditionalFormatting>
  <conditionalFormatting sqref="Q435">
    <cfRule type="iconSet" priority="4571">
      <iconSet iconSet="3Symbols" showValue="0" reverse="1">
        <cfvo type="percent" val="0"/>
        <cfvo type="num" val="1"/>
        <cfvo type="num" val="1.05"/>
      </iconSet>
    </cfRule>
  </conditionalFormatting>
  <conditionalFormatting sqref="N435">
    <cfRule type="cellIs" dxfId="3411" priority="4569" operator="lessThan">
      <formula>0</formula>
    </cfRule>
    <cfRule type="cellIs" dxfId="3410" priority="4570" operator="greaterThan">
      <formula>0</formula>
    </cfRule>
  </conditionalFormatting>
  <conditionalFormatting sqref="F435">
    <cfRule type="cellIs" dxfId="3409" priority="4567" operator="lessThan">
      <formula>0</formula>
    </cfRule>
    <cfRule type="cellIs" dxfId="3408" priority="4568" operator="greaterThan">
      <formula>0</formula>
    </cfRule>
  </conditionalFormatting>
  <conditionalFormatting sqref="U435">
    <cfRule type="iconSet" priority="4572">
      <iconSet iconSet="3Symbols" showValue="0" reverse="1">
        <cfvo type="percent" val="0"/>
        <cfvo type="num" val="1"/>
        <cfvo type="num" val="1.05"/>
      </iconSet>
    </cfRule>
  </conditionalFormatting>
  <conditionalFormatting sqref="P435">
    <cfRule type="iconSet" priority="4573">
      <iconSet iconSet="3Symbols" showValue="0" reverse="1">
        <cfvo type="percent" val="0"/>
        <cfvo type="num" val="1"/>
        <cfvo type="num" val="1.05"/>
      </iconSet>
    </cfRule>
  </conditionalFormatting>
  <conditionalFormatting sqref="Q434">
    <cfRule type="iconSet" priority="4564">
      <iconSet iconSet="3Symbols" showValue="0" reverse="1">
        <cfvo type="percent" val="0"/>
        <cfvo type="num" val="1"/>
        <cfvo type="num" val="1.05"/>
      </iconSet>
    </cfRule>
  </conditionalFormatting>
  <conditionalFormatting sqref="N434">
    <cfRule type="cellIs" dxfId="3407" priority="4562" operator="lessThan">
      <formula>0</formula>
    </cfRule>
    <cfRule type="cellIs" dxfId="3406" priority="4563" operator="greaterThan">
      <formula>0</formula>
    </cfRule>
  </conditionalFormatting>
  <conditionalFormatting sqref="F434">
    <cfRule type="cellIs" dxfId="3405" priority="4560" operator="lessThan">
      <formula>0</formula>
    </cfRule>
    <cfRule type="cellIs" dxfId="3404" priority="4561" operator="greaterThan">
      <formula>0</formula>
    </cfRule>
  </conditionalFormatting>
  <conditionalFormatting sqref="U434">
    <cfRule type="iconSet" priority="4565">
      <iconSet iconSet="3Symbols" showValue="0" reverse="1">
        <cfvo type="percent" val="0"/>
        <cfvo type="num" val="1"/>
        <cfvo type="num" val="1.05"/>
      </iconSet>
    </cfRule>
  </conditionalFormatting>
  <conditionalFormatting sqref="P434">
    <cfRule type="iconSet" priority="4566">
      <iconSet iconSet="3Symbols" showValue="0" reverse="1">
        <cfvo type="percent" val="0"/>
        <cfvo type="num" val="1"/>
        <cfvo type="num" val="1.05"/>
      </iconSet>
    </cfRule>
  </conditionalFormatting>
  <conditionalFormatting sqref="Q433">
    <cfRule type="iconSet" priority="4557">
      <iconSet iconSet="3Symbols" showValue="0" reverse="1">
        <cfvo type="percent" val="0"/>
        <cfvo type="num" val="1"/>
        <cfvo type="num" val="1.05"/>
      </iconSet>
    </cfRule>
  </conditionalFormatting>
  <conditionalFormatting sqref="N433">
    <cfRule type="cellIs" dxfId="3403" priority="4555" operator="lessThan">
      <formula>0</formula>
    </cfRule>
    <cfRule type="cellIs" dxfId="3402" priority="4556" operator="greaterThan">
      <formula>0</formula>
    </cfRule>
  </conditionalFormatting>
  <conditionalFormatting sqref="F433">
    <cfRule type="cellIs" dxfId="3401" priority="4553" operator="lessThan">
      <formula>0</formula>
    </cfRule>
    <cfRule type="cellIs" dxfId="3400" priority="4554" operator="greaterThan">
      <formula>0</formula>
    </cfRule>
  </conditionalFormatting>
  <conditionalFormatting sqref="U433">
    <cfRule type="iconSet" priority="4558">
      <iconSet iconSet="3Symbols" showValue="0" reverse="1">
        <cfvo type="percent" val="0"/>
        <cfvo type="num" val="1"/>
        <cfvo type="num" val="1.05"/>
      </iconSet>
    </cfRule>
  </conditionalFormatting>
  <conditionalFormatting sqref="P433">
    <cfRule type="iconSet" priority="4559">
      <iconSet iconSet="3Symbols" showValue="0" reverse="1">
        <cfvo type="percent" val="0"/>
        <cfvo type="num" val="1"/>
        <cfvo type="num" val="1.05"/>
      </iconSet>
    </cfRule>
  </conditionalFormatting>
  <conditionalFormatting sqref="Q432">
    <cfRule type="iconSet" priority="4550">
      <iconSet iconSet="3Symbols" showValue="0" reverse="1">
        <cfvo type="percent" val="0"/>
        <cfvo type="num" val="1"/>
        <cfvo type="num" val="1.05"/>
      </iconSet>
    </cfRule>
  </conditionalFormatting>
  <conditionalFormatting sqref="N432">
    <cfRule type="cellIs" dxfId="3399" priority="4548" operator="lessThan">
      <formula>0</formula>
    </cfRule>
    <cfRule type="cellIs" dxfId="3398" priority="4549" operator="greaterThan">
      <formula>0</formula>
    </cfRule>
  </conditionalFormatting>
  <conditionalFormatting sqref="F432">
    <cfRule type="cellIs" dxfId="3397" priority="4546" operator="lessThan">
      <formula>0</formula>
    </cfRule>
    <cfRule type="cellIs" dxfId="3396" priority="4547" operator="greaterThan">
      <formula>0</formula>
    </cfRule>
  </conditionalFormatting>
  <conditionalFormatting sqref="U432">
    <cfRule type="iconSet" priority="4551">
      <iconSet iconSet="3Symbols" showValue="0" reverse="1">
        <cfvo type="percent" val="0"/>
        <cfvo type="num" val="1"/>
        <cfvo type="num" val="1.05"/>
      </iconSet>
    </cfRule>
  </conditionalFormatting>
  <conditionalFormatting sqref="P432">
    <cfRule type="iconSet" priority="4552">
      <iconSet iconSet="3Symbols" showValue="0" reverse="1">
        <cfvo type="percent" val="0"/>
        <cfvo type="num" val="1"/>
        <cfvo type="num" val="1.05"/>
      </iconSet>
    </cfRule>
  </conditionalFormatting>
  <conditionalFormatting sqref="Q430:Q431">
    <cfRule type="iconSet" priority="4543">
      <iconSet iconSet="3Symbols" showValue="0" reverse="1">
        <cfvo type="percent" val="0"/>
        <cfvo type="num" val="1"/>
        <cfvo type="num" val="1.05"/>
      </iconSet>
    </cfRule>
  </conditionalFormatting>
  <conditionalFormatting sqref="N430:N431">
    <cfRule type="cellIs" dxfId="3395" priority="4541" operator="lessThan">
      <formula>0</formula>
    </cfRule>
    <cfRule type="cellIs" dxfId="3394" priority="4542" operator="greaterThan">
      <formula>0</formula>
    </cfRule>
  </conditionalFormatting>
  <conditionalFormatting sqref="F430:F431">
    <cfRule type="cellIs" dxfId="3393" priority="4539" operator="lessThan">
      <formula>0</formula>
    </cfRule>
    <cfRule type="cellIs" dxfId="3392" priority="4540" operator="greaterThan">
      <formula>0</formula>
    </cfRule>
  </conditionalFormatting>
  <conditionalFormatting sqref="U430:U431">
    <cfRule type="iconSet" priority="4544">
      <iconSet iconSet="3Symbols" showValue="0" reverse="1">
        <cfvo type="percent" val="0"/>
        <cfvo type="num" val="1"/>
        <cfvo type="num" val="1.05"/>
      </iconSet>
    </cfRule>
  </conditionalFormatting>
  <conditionalFormatting sqref="P430:P431">
    <cfRule type="iconSet" priority="4545">
      <iconSet iconSet="3Symbols" showValue="0" reverse="1">
        <cfvo type="percent" val="0"/>
        <cfvo type="num" val="1"/>
        <cfvo type="num" val="1.05"/>
      </iconSet>
    </cfRule>
  </conditionalFormatting>
  <conditionalFormatting sqref="Q429">
    <cfRule type="iconSet" priority="4536">
      <iconSet iconSet="3Symbols" showValue="0" reverse="1">
        <cfvo type="percent" val="0"/>
        <cfvo type="num" val="1"/>
        <cfvo type="num" val="1.05"/>
      </iconSet>
    </cfRule>
  </conditionalFormatting>
  <conditionalFormatting sqref="N429">
    <cfRule type="cellIs" dxfId="3391" priority="4534" operator="lessThan">
      <formula>0</formula>
    </cfRule>
    <cfRule type="cellIs" dxfId="3390" priority="4535" operator="greaterThan">
      <formula>0</formula>
    </cfRule>
  </conditionalFormatting>
  <conditionalFormatting sqref="F429">
    <cfRule type="cellIs" dxfId="3389" priority="4532" operator="lessThan">
      <formula>0</formula>
    </cfRule>
    <cfRule type="cellIs" dxfId="3388" priority="4533" operator="greaterThan">
      <formula>0</formula>
    </cfRule>
  </conditionalFormatting>
  <conditionalFormatting sqref="U429">
    <cfRule type="iconSet" priority="4537">
      <iconSet iconSet="3Symbols" showValue="0" reverse="1">
        <cfvo type="percent" val="0"/>
        <cfvo type="num" val="1"/>
        <cfvo type="num" val="1.05"/>
      </iconSet>
    </cfRule>
  </conditionalFormatting>
  <conditionalFormatting sqref="P429">
    <cfRule type="iconSet" priority="4538">
      <iconSet iconSet="3Symbols" showValue="0" reverse="1">
        <cfvo type="percent" val="0"/>
        <cfvo type="num" val="1"/>
        <cfvo type="num" val="1.05"/>
      </iconSet>
    </cfRule>
  </conditionalFormatting>
  <conditionalFormatting sqref="Q428">
    <cfRule type="iconSet" priority="4529">
      <iconSet iconSet="3Symbols" showValue="0" reverse="1">
        <cfvo type="percent" val="0"/>
        <cfvo type="num" val="1"/>
        <cfvo type="num" val="1.05"/>
      </iconSet>
    </cfRule>
  </conditionalFormatting>
  <conditionalFormatting sqref="N428">
    <cfRule type="cellIs" dxfId="3387" priority="4527" operator="lessThan">
      <formula>0</formula>
    </cfRule>
    <cfRule type="cellIs" dxfId="3386" priority="4528" operator="greaterThan">
      <formula>0</formula>
    </cfRule>
  </conditionalFormatting>
  <conditionalFormatting sqref="F428">
    <cfRule type="cellIs" dxfId="3385" priority="4525" operator="lessThan">
      <formula>0</formula>
    </cfRule>
    <cfRule type="cellIs" dxfId="3384" priority="4526" operator="greaterThan">
      <formula>0</formula>
    </cfRule>
  </conditionalFormatting>
  <conditionalFormatting sqref="U428">
    <cfRule type="iconSet" priority="4530">
      <iconSet iconSet="3Symbols" showValue="0" reverse="1">
        <cfvo type="percent" val="0"/>
        <cfvo type="num" val="1"/>
        <cfvo type="num" val="1.05"/>
      </iconSet>
    </cfRule>
  </conditionalFormatting>
  <conditionalFormatting sqref="P428">
    <cfRule type="iconSet" priority="4531">
      <iconSet iconSet="3Symbols" showValue="0" reverse="1">
        <cfvo type="percent" val="0"/>
        <cfvo type="num" val="1"/>
        <cfvo type="num" val="1.05"/>
      </iconSet>
    </cfRule>
  </conditionalFormatting>
  <conditionalFormatting sqref="Q427">
    <cfRule type="iconSet" priority="4522">
      <iconSet iconSet="3Symbols" showValue="0" reverse="1">
        <cfvo type="percent" val="0"/>
        <cfvo type="num" val="1"/>
        <cfvo type="num" val="1.05"/>
      </iconSet>
    </cfRule>
  </conditionalFormatting>
  <conditionalFormatting sqref="N427">
    <cfRule type="cellIs" dxfId="3383" priority="4520" operator="lessThan">
      <formula>0</formula>
    </cfRule>
    <cfRule type="cellIs" dxfId="3382" priority="4521" operator="greaterThan">
      <formula>0</formula>
    </cfRule>
  </conditionalFormatting>
  <conditionalFormatting sqref="F427">
    <cfRule type="cellIs" dxfId="3381" priority="4518" operator="lessThan">
      <formula>0</formula>
    </cfRule>
    <cfRule type="cellIs" dxfId="3380" priority="4519" operator="greaterThan">
      <formula>0</formula>
    </cfRule>
  </conditionalFormatting>
  <conditionalFormatting sqref="U427">
    <cfRule type="iconSet" priority="4523">
      <iconSet iconSet="3Symbols" showValue="0" reverse="1">
        <cfvo type="percent" val="0"/>
        <cfvo type="num" val="1"/>
        <cfvo type="num" val="1.05"/>
      </iconSet>
    </cfRule>
  </conditionalFormatting>
  <conditionalFormatting sqref="P427">
    <cfRule type="iconSet" priority="4524">
      <iconSet iconSet="3Symbols" showValue="0" reverse="1">
        <cfvo type="percent" val="0"/>
        <cfvo type="num" val="1"/>
        <cfvo type="num" val="1.05"/>
      </iconSet>
    </cfRule>
  </conditionalFormatting>
  <conditionalFormatting sqref="Q426">
    <cfRule type="iconSet" priority="4515">
      <iconSet iconSet="3Symbols" showValue="0" reverse="1">
        <cfvo type="percent" val="0"/>
        <cfvo type="num" val="1"/>
        <cfvo type="num" val="1.05"/>
      </iconSet>
    </cfRule>
  </conditionalFormatting>
  <conditionalFormatting sqref="N426">
    <cfRule type="cellIs" dxfId="3379" priority="4513" operator="lessThan">
      <formula>0</formula>
    </cfRule>
    <cfRule type="cellIs" dxfId="3378" priority="4514" operator="greaterThan">
      <formula>0</formula>
    </cfRule>
  </conditionalFormatting>
  <conditionalFormatting sqref="F426">
    <cfRule type="cellIs" dxfId="3377" priority="4511" operator="lessThan">
      <formula>0</formula>
    </cfRule>
    <cfRule type="cellIs" dxfId="3376" priority="4512" operator="greaterThan">
      <formula>0</formula>
    </cfRule>
  </conditionalFormatting>
  <conditionalFormatting sqref="U426">
    <cfRule type="iconSet" priority="4516">
      <iconSet iconSet="3Symbols" showValue="0" reverse="1">
        <cfvo type="percent" val="0"/>
        <cfvo type="num" val="1"/>
        <cfvo type="num" val="1.05"/>
      </iconSet>
    </cfRule>
  </conditionalFormatting>
  <conditionalFormatting sqref="P426">
    <cfRule type="iconSet" priority="4517">
      <iconSet iconSet="3Symbols" showValue="0" reverse="1">
        <cfvo type="percent" val="0"/>
        <cfvo type="num" val="1"/>
        <cfvo type="num" val="1.05"/>
      </iconSet>
    </cfRule>
  </conditionalFormatting>
  <conditionalFormatting sqref="Q425">
    <cfRule type="iconSet" priority="4508">
      <iconSet iconSet="3Symbols" showValue="0" reverse="1">
        <cfvo type="percent" val="0"/>
        <cfvo type="num" val="1"/>
        <cfvo type="num" val="1.05"/>
      </iconSet>
    </cfRule>
  </conditionalFormatting>
  <conditionalFormatting sqref="N425">
    <cfRule type="cellIs" dxfId="3375" priority="4506" operator="lessThan">
      <formula>0</formula>
    </cfRule>
    <cfRule type="cellIs" dxfId="3374" priority="4507" operator="greaterThan">
      <formula>0</formula>
    </cfRule>
  </conditionalFormatting>
  <conditionalFormatting sqref="F425">
    <cfRule type="cellIs" dxfId="3373" priority="4504" operator="lessThan">
      <formula>0</formula>
    </cfRule>
    <cfRule type="cellIs" dxfId="3372" priority="4505" operator="greaterThan">
      <formula>0</formula>
    </cfRule>
  </conditionalFormatting>
  <conditionalFormatting sqref="U425">
    <cfRule type="iconSet" priority="4509">
      <iconSet iconSet="3Symbols" showValue="0" reverse="1">
        <cfvo type="percent" val="0"/>
        <cfvo type="num" val="1"/>
        <cfvo type="num" val="1.05"/>
      </iconSet>
    </cfRule>
  </conditionalFormatting>
  <conditionalFormatting sqref="P425">
    <cfRule type="iconSet" priority="4510">
      <iconSet iconSet="3Symbols" showValue="0" reverse="1">
        <cfvo type="percent" val="0"/>
        <cfvo type="num" val="1"/>
        <cfvo type="num" val="1.05"/>
      </iconSet>
    </cfRule>
  </conditionalFormatting>
  <conditionalFormatting sqref="Q424">
    <cfRule type="iconSet" priority="4501">
      <iconSet iconSet="3Symbols" showValue="0" reverse="1">
        <cfvo type="percent" val="0"/>
        <cfvo type="num" val="1"/>
        <cfvo type="num" val="1.05"/>
      </iconSet>
    </cfRule>
  </conditionalFormatting>
  <conditionalFormatting sqref="N424">
    <cfRule type="cellIs" dxfId="3371" priority="4499" operator="lessThan">
      <formula>0</formula>
    </cfRule>
    <cfRule type="cellIs" dxfId="3370" priority="4500" operator="greaterThan">
      <formula>0</formula>
    </cfRule>
  </conditionalFormatting>
  <conditionalFormatting sqref="F424">
    <cfRule type="cellIs" dxfId="3369" priority="4497" operator="lessThan">
      <formula>0</formula>
    </cfRule>
    <cfRule type="cellIs" dxfId="3368" priority="4498" operator="greaterThan">
      <formula>0</formula>
    </cfRule>
  </conditionalFormatting>
  <conditionalFormatting sqref="U424">
    <cfRule type="iconSet" priority="4502">
      <iconSet iconSet="3Symbols" showValue="0" reverse="1">
        <cfvo type="percent" val="0"/>
        <cfvo type="num" val="1"/>
        <cfvo type="num" val="1.05"/>
      </iconSet>
    </cfRule>
  </conditionalFormatting>
  <conditionalFormatting sqref="P424">
    <cfRule type="iconSet" priority="4503">
      <iconSet iconSet="3Symbols" showValue="0" reverse="1">
        <cfvo type="percent" val="0"/>
        <cfvo type="num" val="1"/>
        <cfvo type="num" val="1.05"/>
      </iconSet>
    </cfRule>
  </conditionalFormatting>
  <conditionalFormatting sqref="Q423">
    <cfRule type="iconSet" priority="4494">
      <iconSet iconSet="3Symbols" showValue="0" reverse="1">
        <cfvo type="percent" val="0"/>
        <cfvo type="num" val="1"/>
        <cfvo type="num" val="1.05"/>
      </iconSet>
    </cfRule>
  </conditionalFormatting>
  <conditionalFormatting sqref="N423">
    <cfRule type="cellIs" dxfId="3367" priority="4492" operator="lessThan">
      <formula>0</formula>
    </cfRule>
    <cfRule type="cellIs" dxfId="3366" priority="4493" operator="greaterThan">
      <formula>0</formula>
    </cfRule>
  </conditionalFormatting>
  <conditionalFormatting sqref="F423">
    <cfRule type="cellIs" dxfId="3365" priority="4490" operator="lessThan">
      <formula>0</formula>
    </cfRule>
    <cfRule type="cellIs" dxfId="3364" priority="4491" operator="greaterThan">
      <formula>0</formula>
    </cfRule>
  </conditionalFormatting>
  <conditionalFormatting sqref="U423">
    <cfRule type="iconSet" priority="4495">
      <iconSet iconSet="3Symbols" showValue="0" reverse="1">
        <cfvo type="percent" val="0"/>
        <cfvo type="num" val="1"/>
        <cfvo type="num" val="1.05"/>
      </iconSet>
    </cfRule>
  </conditionalFormatting>
  <conditionalFormatting sqref="P423">
    <cfRule type="iconSet" priority="4496">
      <iconSet iconSet="3Symbols" showValue="0" reverse="1">
        <cfvo type="percent" val="0"/>
        <cfvo type="num" val="1"/>
        <cfvo type="num" val="1.05"/>
      </iconSet>
    </cfRule>
  </conditionalFormatting>
  <conditionalFormatting sqref="Q422">
    <cfRule type="iconSet" priority="4487">
      <iconSet iconSet="3Symbols" showValue="0" reverse="1">
        <cfvo type="percent" val="0"/>
        <cfvo type="num" val="1"/>
        <cfvo type="num" val="1.05"/>
      </iconSet>
    </cfRule>
  </conditionalFormatting>
  <conditionalFormatting sqref="N422">
    <cfRule type="cellIs" dxfId="3363" priority="4485" operator="lessThan">
      <formula>0</formula>
    </cfRule>
    <cfRule type="cellIs" dxfId="3362" priority="4486" operator="greaterThan">
      <formula>0</formula>
    </cfRule>
  </conditionalFormatting>
  <conditionalFormatting sqref="F422">
    <cfRule type="cellIs" dxfId="3361" priority="4483" operator="lessThan">
      <formula>0</formula>
    </cfRule>
    <cfRule type="cellIs" dxfId="3360" priority="4484" operator="greaterThan">
      <formula>0</formula>
    </cfRule>
  </conditionalFormatting>
  <conditionalFormatting sqref="U422">
    <cfRule type="iconSet" priority="4488">
      <iconSet iconSet="3Symbols" showValue="0" reverse="1">
        <cfvo type="percent" val="0"/>
        <cfvo type="num" val="1"/>
        <cfvo type="num" val="1.05"/>
      </iconSet>
    </cfRule>
  </conditionalFormatting>
  <conditionalFormatting sqref="P422">
    <cfRule type="iconSet" priority="4489">
      <iconSet iconSet="3Symbols" showValue="0" reverse="1">
        <cfvo type="percent" val="0"/>
        <cfvo type="num" val="1"/>
        <cfvo type="num" val="1.05"/>
      </iconSet>
    </cfRule>
  </conditionalFormatting>
  <conditionalFormatting sqref="Q421">
    <cfRule type="iconSet" priority="4480">
      <iconSet iconSet="3Symbols" showValue="0" reverse="1">
        <cfvo type="percent" val="0"/>
        <cfvo type="num" val="1"/>
        <cfvo type="num" val="1.05"/>
      </iconSet>
    </cfRule>
  </conditionalFormatting>
  <conditionalFormatting sqref="N421">
    <cfRule type="cellIs" dxfId="3359" priority="4478" operator="lessThan">
      <formula>0</formula>
    </cfRule>
    <cfRule type="cellIs" dxfId="3358" priority="4479" operator="greaterThan">
      <formula>0</formula>
    </cfRule>
  </conditionalFormatting>
  <conditionalFormatting sqref="F421">
    <cfRule type="cellIs" dxfId="3357" priority="4476" operator="lessThan">
      <formula>0</formula>
    </cfRule>
    <cfRule type="cellIs" dxfId="3356" priority="4477" operator="greaterThan">
      <formula>0</formula>
    </cfRule>
  </conditionalFormatting>
  <conditionalFormatting sqref="U421">
    <cfRule type="iconSet" priority="4481">
      <iconSet iconSet="3Symbols" showValue="0" reverse="1">
        <cfvo type="percent" val="0"/>
        <cfvo type="num" val="1"/>
        <cfvo type="num" val="1.05"/>
      </iconSet>
    </cfRule>
  </conditionalFormatting>
  <conditionalFormatting sqref="P421">
    <cfRule type="iconSet" priority="4482">
      <iconSet iconSet="3Symbols" showValue="0" reverse="1">
        <cfvo type="percent" val="0"/>
        <cfvo type="num" val="1"/>
        <cfvo type="num" val="1.05"/>
      </iconSet>
    </cfRule>
  </conditionalFormatting>
  <conditionalFormatting sqref="Q420">
    <cfRule type="iconSet" priority="4473">
      <iconSet iconSet="3Symbols" showValue="0" reverse="1">
        <cfvo type="percent" val="0"/>
        <cfvo type="num" val="1"/>
        <cfvo type="num" val="1.05"/>
      </iconSet>
    </cfRule>
  </conditionalFormatting>
  <conditionalFormatting sqref="N420">
    <cfRule type="cellIs" dxfId="3355" priority="4471" operator="lessThan">
      <formula>0</formula>
    </cfRule>
    <cfRule type="cellIs" dxfId="3354" priority="4472" operator="greaterThan">
      <formula>0</formula>
    </cfRule>
  </conditionalFormatting>
  <conditionalFormatting sqref="F420">
    <cfRule type="cellIs" dxfId="3353" priority="4469" operator="lessThan">
      <formula>0</formula>
    </cfRule>
    <cfRule type="cellIs" dxfId="3352" priority="4470" operator="greaterThan">
      <formula>0</formula>
    </cfRule>
  </conditionalFormatting>
  <conditionalFormatting sqref="U420">
    <cfRule type="iconSet" priority="4474">
      <iconSet iconSet="3Symbols" showValue="0" reverse="1">
        <cfvo type="percent" val="0"/>
        <cfvo type="num" val="1"/>
        <cfvo type="num" val="1.05"/>
      </iconSet>
    </cfRule>
  </conditionalFormatting>
  <conditionalFormatting sqref="P420">
    <cfRule type="iconSet" priority="4475">
      <iconSet iconSet="3Symbols" showValue="0" reverse="1">
        <cfvo type="percent" val="0"/>
        <cfvo type="num" val="1"/>
        <cfvo type="num" val="1.05"/>
      </iconSet>
    </cfRule>
  </conditionalFormatting>
  <conditionalFormatting sqref="Q419">
    <cfRule type="iconSet" priority="4466">
      <iconSet iconSet="3Symbols" showValue="0" reverse="1">
        <cfvo type="percent" val="0"/>
        <cfvo type="num" val="1"/>
        <cfvo type="num" val="1.05"/>
      </iconSet>
    </cfRule>
  </conditionalFormatting>
  <conditionalFormatting sqref="N419">
    <cfRule type="cellIs" dxfId="3351" priority="4464" operator="lessThan">
      <formula>0</formula>
    </cfRule>
    <cfRule type="cellIs" dxfId="3350" priority="4465" operator="greaterThan">
      <formula>0</formula>
    </cfRule>
  </conditionalFormatting>
  <conditionalFormatting sqref="F419">
    <cfRule type="cellIs" dxfId="3349" priority="4462" operator="lessThan">
      <formula>0</formula>
    </cfRule>
    <cfRule type="cellIs" dxfId="3348" priority="4463" operator="greaterThan">
      <formula>0</formula>
    </cfRule>
  </conditionalFormatting>
  <conditionalFormatting sqref="U419">
    <cfRule type="iconSet" priority="4467">
      <iconSet iconSet="3Symbols" showValue="0" reverse="1">
        <cfvo type="percent" val="0"/>
        <cfvo type="num" val="1"/>
        <cfvo type="num" val="1.05"/>
      </iconSet>
    </cfRule>
  </conditionalFormatting>
  <conditionalFormatting sqref="P419">
    <cfRule type="iconSet" priority="4468">
      <iconSet iconSet="3Symbols" showValue="0" reverse="1">
        <cfvo type="percent" val="0"/>
        <cfvo type="num" val="1"/>
        <cfvo type="num" val="1.05"/>
      </iconSet>
    </cfRule>
  </conditionalFormatting>
  <conditionalFormatting sqref="Q417:Q418">
    <cfRule type="iconSet" priority="4459">
      <iconSet iconSet="3Symbols" showValue="0" reverse="1">
        <cfvo type="percent" val="0"/>
        <cfvo type="num" val="1"/>
        <cfvo type="num" val="1.05"/>
      </iconSet>
    </cfRule>
  </conditionalFormatting>
  <conditionalFormatting sqref="N417:N418">
    <cfRule type="cellIs" dxfId="3347" priority="4457" operator="lessThan">
      <formula>0</formula>
    </cfRule>
    <cfRule type="cellIs" dxfId="3346" priority="4458" operator="greaterThan">
      <formula>0</formula>
    </cfRule>
  </conditionalFormatting>
  <conditionalFormatting sqref="F417:F418">
    <cfRule type="cellIs" dxfId="3345" priority="4455" operator="lessThan">
      <formula>0</formula>
    </cfRule>
    <cfRule type="cellIs" dxfId="3344" priority="4456" operator="greaterThan">
      <formula>0</formula>
    </cfRule>
  </conditionalFormatting>
  <conditionalFormatting sqref="U417:U418">
    <cfRule type="iconSet" priority="4460">
      <iconSet iconSet="3Symbols" showValue="0" reverse="1">
        <cfvo type="percent" val="0"/>
        <cfvo type="num" val="1"/>
        <cfvo type="num" val="1.05"/>
      </iconSet>
    </cfRule>
  </conditionalFormatting>
  <conditionalFormatting sqref="P417:P418">
    <cfRule type="iconSet" priority="4461">
      <iconSet iconSet="3Symbols" showValue="0" reverse="1">
        <cfvo type="percent" val="0"/>
        <cfvo type="num" val="1"/>
        <cfvo type="num" val="1.05"/>
      </iconSet>
    </cfRule>
  </conditionalFormatting>
  <conditionalFormatting sqref="Q416">
    <cfRule type="iconSet" priority="4452">
      <iconSet iconSet="3Symbols" showValue="0" reverse="1">
        <cfvo type="percent" val="0"/>
        <cfvo type="num" val="1"/>
        <cfvo type="num" val="1.05"/>
      </iconSet>
    </cfRule>
  </conditionalFormatting>
  <conditionalFormatting sqref="N416">
    <cfRule type="cellIs" dxfId="3343" priority="4450" operator="lessThan">
      <formula>0</formula>
    </cfRule>
    <cfRule type="cellIs" dxfId="3342" priority="4451" operator="greaterThan">
      <formula>0</formula>
    </cfRule>
  </conditionalFormatting>
  <conditionalFormatting sqref="F416">
    <cfRule type="cellIs" dxfId="3341" priority="4448" operator="lessThan">
      <formula>0</formula>
    </cfRule>
    <cfRule type="cellIs" dxfId="3340" priority="4449" operator="greaterThan">
      <formula>0</formula>
    </cfRule>
  </conditionalFormatting>
  <conditionalFormatting sqref="U416">
    <cfRule type="iconSet" priority="4453">
      <iconSet iconSet="3Symbols" showValue="0" reverse="1">
        <cfvo type="percent" val="0"/>
        <cfvo type="num" val="1"/>
        <cfvo type="num" val="1.05"/>
      </iconSet>
    </cfRule>
  </conditionalFormatting>
  <conditionalFormatting sqref="P416">
    <cfRule type="iconSet" priority="4454">
      <iconSet iconSet="3Symbols" showValue="0" reverse="1">
        <cfvo type="percent" val="0"/>
        <cfvo type="num" val="1"/>
        <cfvo type="num" val="1.05"/>
      </iconSet>
    </cfRule>
  </conditionalFormatting>
  <conditionalFormatting sqref="Q415">
    <cfRule type="iconSet" priority="4445">
      <iconSet iconSet="3Symbols" showValue="0" reverse="1">
        <cfvo type="percent" val="0"/>
        <cfvo type="num" val="1"/>
        <cfvo type="num" val="1.05"/>
      </iconSet>
    </cfRule>
  </conditionalFormatting>
  <conditionalFormatting sqref="N415">
    <cfRule type="cellIs" dxfId="3339" priority="4443" operator="lessThan">
      <formula>0</formula>
    </cfRule>
    <cfRule type="cellIs" dxfId="3338" priority="4444" operator="greaterThan">
      <formula>0</formula>
    </cfRule>
  </conditionalFormatting>
  <conditionalFormatting sqref="F415">
    <cfRule type="cellIs" dxfId="3337" priority="4441" operator="lessThan">
      <formula>0</formula>
    </cfRule>
    <cfRule type="cellIs" dxfId="3336" priority="4442" operator="greaterThan">
      <formula>0</formula>
    </cfRule>
  </conditionalFormatting>
  <conditionalFormatting sqref="U415">
    <cfRule type="iconSet" priority="4446">
      <iconSet iconSet="3Symbols" showValue="0" reverse="1">
        <cfvo type="percent" val="0"/>
        <cfvo type="num" val="1"/>
        <cfvo type="num" val="1.05"/>
      </iconSet>
    </cfRule>
  </conditionalFormatting>
  <conditionalFormatting sqref="P415">
    <cfRule type="iconSet" priority="4447">
      <iconSet iconSet="3Symbols" showValue="0" reverse="1">
        <cfvo type="percent" val="0"/>
        <cfvo type="num" val="1"/>
        <cfvo type="num" val="1.05"/>
      </iconSet>
    </cfRule>
  </conditionalFormatting>
  <conditionalFormatting sqref="Q414">
    <cfRule type="iconSet" priority="4438">
      <iconSet iconSet="3Symbols" showValue="0" reverse="1">
        <cfvo type="percent" val="0"/>
        <cfvo type="num" val="1"/>
        <cfvo type="num" val="1.05"/>
      </iconSet>
    </cfRule>
  </conditionalFormatting>
  <conditionalFormatting sqref="N414">
    <cfRule type="cellIs" dxfId="3335" priority="4436" operator="lessThan">
      <formula>0</formula>
    </cfRule>
    <cfRule type="cellIs" dxfId="3334" priority="4437" operator="greaterThan">
      <formula>0</formula>
    </cfRule>
  </conditionalFormatting>
  <conditionalFormatting sqref="F414">
    <cfRule type="cellIs" dxfId="3333" priority="4434" operator="lessThan">
      <formula>0</formula>
    </cfRule>
    <cfRule type="cellIs" dxfId="3332" priority="4435" operator="greaterThan">
      <formula>0</formula>
    </cfRule>
  </conditionalFormatting>
  <conditionalFormatting sqref="U414">
    <cfRule type="iconSet" priority="4439">
      <iconSet iconSet="3Symbols" showValue="0" reverse="1">
        <cfvo type="percent" val="0"/>
        <cfvo type="num" val="1"/>
        <cfvo type="num" val="1.05"/>
      </iconSet>
    </cfRule>
  </conditionalFormatting>
  <conditionalFormatting sqref="P414">
    <cfRule type="iconSet" priority="4440">
      <iconSet iconSet="3Symbols" showValue="0" reverse="1">
        <cfvo type="percent" val="0"/>
        <cfvo type="num" val="1"/>
        <cfvo type="num" val="1.05"/>
      </iconSet>
    </cfRule>
  </conditionalFormatting>
  <conditionalFormatting sqref="Q413">
    <cfRule type="iconSet" priority="4431">
      <iconSet iconSet="3Symbols" showValue="0" reverse="1">
        <cfvo type="percent" val="0"/>
        <cfvo type="num" val="1"/>
        <cfvo type="num" val="1.05"/>
      </iconSet>
    </cfRule>
  </conditionalFormatting>
  <conditionalFormatting sqref="N413">
    <cfRule type="cellIs" dxfId="3331" priority="4429" operator="lessThan">
      <formula>0</formula>
    </cfRule>
    <cfRule type="cellIs" dxfId="3330" priority="4430" operator="greaterThan">
      <formula>0</formula>
    </cfRule>
  </conditionalFormatting>
  <conditionalFormatting sqref="F413">
    <cfRule type="cellIs" dxfId="3329" priority="4427" operator="lessThan">
      <formula>0</formula>
    </cfRule>
    <cfRule type="cellIs" dxfId="3328" priority="4428" operator="greaterThan">
      <formula>0</formula>
    </cfRule>
  </conditionalFormatting>
  <conditionalFormatting sqref="U413">
    <cfRule type="iconSet" priority="4432">
      <iconSet iconSet="3Symbols" showValue="0" reverse="1">
        <cfvo type="percent" val="0"/>
        <cfvo type="num" val="1"/>
        <cfvo type="num" val="1.05"/>
      </iconSet>
    </cfRule>
  </conditionalFormatting>
  <conditionalFormatting sqref="P413">
    <cfRule type="iconSet" priority="4433">
      <iconSet iconSet="3Symbols" showValue="0" reverse="1">
        <cfvo type="percent" val="0"/>
        <cfvo type="num" val="1"/>
        <cfvo type="num" val="1.05"/>
      </iconSet>
    </cfRule>
  </conditionalFormatting>
  <conditionalFormatting sqref="Q412">
    <cfRule type="iconSet" priority="4424">
      <iconSet iconSet="3Symbols" showValue="0" reverse="1">
        <cfvo type="percent" val="0"/>
        <cfvo type="num" val="1"/>
        <cfvo type="num" val="1.05"/>
      </iconSet>
    </cfRule>
  </conditionalFormatting>
  <conditionalFormatting sqref="N412">
    <cfRule type="cellIs" dxfId="3327" priority="4422" operator="lessThan">
      <formula>0</formula>
    </cfRule>
    <cfRule type="cellIs" dxfId="3326" priority="4423" operator="greaterThan">
      <formula>0</formula>
    </cfRule>
  </conditionalFormatting>
  <conditionalFormatting sqref="F412">
    <cfRule type="cellIs" dxfId="3325" priority="4420" operator="lessThan">
      <formula>0</formula>
    </cfRule>
    <cfRule type="cellIs" dxfId="3324" priority="4421" operator="greaterThan">
      <formula>0</formula>
    </cfRule>
  </conditionalFormatting>
  <conditionalFormatting sqref="U412">
    <cfRule type="iconSet" priority="4425">
      <iconSet iconSet="3Symbols" showValue="0" reverse="1">
        <cfvo type="percent" val="0"/>
        <cfvo type="num" val="1"/>
        <cfvo type="num" val="1.05"/>
      </iconSet>
    </cfRule>
  </conditionalFormatting>
  <conditionalFormatting sqref="P412">
    <cfRule type="iconSet" priority="4426">
      <iconSet iconSet="3Symbols" showValue="0" reverse="1">
        <cfvo type="percent" val="0"/>
        <cfvo type="num" val="1"/>
        <cfvo type="num" val="1.05"/>
      </iconSet>
    </cfRule>
  </conditionalFormatting>
  <conditionalFormatting sqref="Q411">
    <cfRule type="iconSet" priority="4417">
      <iconSet iconSet="3Symbols" showValue="0" reverse="1">
        <cfvo type="percent" val="0"/>
        <cfvo type="num" val="1"/>
        <cfvo type="num" val="1.05"/>
      </iconSet>
    </cfRule>
  </conditionalFormatting>
  <conditionalFormatting sqref="N411">
    <cfRule type="cellIs" dxfId="3323" priority="4415" operator="lessThan">
      <formula>0</formula>
    </cfRule>
    <cfRule type="cellIs" dxfId="3322" priority="4416" operator="greaterThan">
      <formula>0</formula>
    </cfRule>
  </conditionalFormatting>
  <conditionalFormatting sqref="F411">
    <cfRule type="cellIs" dxfId="3321" priority="4413" operator="lessThan">
      <formula>0</formula>
    </cfRule>
    <cfRule type="cellIs" dxfId="3320" priority="4414" operator="greaterThan">
      <formula>0</formula>
    </cfRule>
  </conditionalFormatting>
  <conditionalFormatting sqref="U411">
    <cfRule type="iconSet" priority="4418">
      <iconSet iconSet="3Symbols" showValue="0" reverse="1">
        <cfvo type="percent" val="0"/>
        <cfvo type="num" val="1"/>
        <cfvo type="num" val="1.05"/>
      </iconSet>
    </cfRule>
  </conditionalFormatting>
  <conditionalFormatting sqref="P411">
    <cfRule type="iconSet" priority="4419">
      <iconSet iconSet="3Symbols" showValue="0" reverse="1">
        <cfvo type="percent" val="0"/>
        <cfvo type="num" val="1"/>
        <cfvo type="num" val="1.05"/>
      </iconSet>
    </cfRule>
  </conditionalFormatting>
  <conditionalFormatting sqref="Q410">
    <cfRule type="iconSet" priority="4410">
      <iconSet iconSet="3Symbols" showValue="0" reverse="1">
        <cfvo type="percent" val="0"/>
        <cfvo type="num" val="1"/>
        <cfvo type="num" val="1.05"/>
      </iconSet>
    </cfRule>
  </conditionalFormatting>
  <conditionalFormatting sqref="N410">
    <cfRule type="cellIs" dxfId="3319" priority="4408" operator="lessThan">
      <formula>0</formula>
    </cfRule>
    <cfRule type="cellIs" dxfId="3318" priority="4409" operator="greaterThan">
      <formula>0</formula>
    </cfRule>
  </conditionalFormatting>
  <conditionalFormatting sqref="F410">
    <cfRule type="cellIs" dxfId="3317" priority="4406" operator="lessThan">
      <formula>0</formula>
    </cfRule>
    <cfRule type="cellIs" dxfId="3316" priority="4407" operator="greaterThan">
      <formula>0</formula>
    </cfRule>
  </conditionalFormatting>
  <conditionalFormatting sqref="U410">
    <cfRule type="iconSet" priority="4411">
      <iconSet iconSet="3Symbols" showValue="0" reverse="1">
        <cfvo type="percent" val="0"/>
        <cfvo type="num" val="1"/>
        <cfvo type="num" val="1.05"/>
      </iconSet>
    </cfRule>
  </conditionalFormatting>
  <conditionalFormatting sqref="P410">
    <cfRule type="iconSet" priority="4412">
      <iconSet iconSet="3Symbols" showValue="0" reverse="1">
        <cfvo type="percent" val="0"/>
        <cfvo type="num" val="1"/>
        <cfvo type="num" val="1.05"/>
      </iconSet>
    </cfRule>
  </conditionalFormatting>
  <conditionalFormatting sqref="Q409">
    <cfRule type="iconSet" priority="4403">
      <iconSet iconSet="3Symbols" showValue="0" reverse="1">
        <cfvo type="percent" val="0"/>
        <cfvo type="num" val="1"/>
        <cfvo type="num" val="1.05"/>
      </iconSet>
    </cfRule>
  </conditionalFormatting>
  <conditionalFormatting sqref="N409">
    <cfRule type="cellIs" dxfId="3315" priority="4401" operator="lessThan">
      <formula>0</formula>
    </cfRule>
    <cfRule type="cellIs" dxfId="3314" priority="4402" operator="greaterThan">
      <formula>0</formula>
    </cfRule>
  </conditionalFormatting>
  <conditionalFormatting sqref="F409">
    <cfRule type="cellIs" dxfId="3313" priority="4399" operator="lessThan">
      <formula>0</formula>
    </cfRule>
    <cfRule type="cellIs" dxfId="3312" priority="4400" operator="greaterThan">
      <formula>0</formula>
    </cfRule>
  </conditionalFormatting>
  <conditionalFormatting sqref="U409">
    <cfRule type="iconSet" priority="4404">
      <iconSet iconSet="3Symbols" showValue="0" reverse="1">
        <cfvo type="percent" val="0"/>
        <cfvo type="num" val="1"/>
        <cfvo type="num" val="1.05"/>
      </iconSet>
    </cfRule>
  </conditionalFormatting>
  <conditionalFormatting sqref="P409">
    <cfRule type="iconSet" priority="4405">
      <iconSet iconSet="3Symbols" showValue="0" reverse="1">
        <cfvo type="percent" val="0"/>
        <cfvo type="num" val="1"/>
        <cfvo type="num" val="1.05"/>
      </iconSet>
    </cfRule>
  </conditionalFormatting>
  <conditionalFormatting sqref="Q408">
    <cfRule type="iconSet" priority="4396">
      <iconSet iconSet="3Symbols" showValue="0" reverse="1">
        <cfvo type="percent" val="0"/>
        <cfvo type="num" val="1"/>
        <cfvo type="num" val="1.05"/>
      </iconSet>
    </cfRule>
  </conditionalFormatting>
  <conditionalFormatting sqref="N408">
    <cfRule type="cellIs" dxfId="3311" priority="4394" operator="lessThan">
      <formula>0</formula>
    </cfRule>
    <cfRule type="cellIs" dxfId="3310" priority="4395" operator="greaterThan">
      <formula>0</formula>
    </cfRule>
  </conditionalFormatting>
  <conditionalFormatting sqref="F408">
    <cfRule type="cellIs" dxfId="3309" priority="4392" operator="lessThan">
      <formula>0</formula>
    </cfRule>
    <cfRule type="cellIs" dxfId="3308" priority="4393" operator="greaterThan">
      <formula>0</formula>
    </cfRule>
  </conditionalFormatting>
  <conditionalFormatting sqref="U408">
    <cfRule type="iconSet" priority="4397">
      <iconSet iconSet="3Symbols" showValue="0" reverse="1">
        <cfvo type="percent" val="0"/>
        <cfvo type="num" val="1"/>
        <cfvo type="num" val="1.05"/>
      </iconSet>
    </cfRule>
  </conditionalFormatting>
  <conditionalFormatting sqref="P408">
    <cfRule type="iconSet" priority="4398">
      <iconSet iconSet="3Symbols" showValue="0" reverse="1">
        <cfvo type="percent" val="0"/>
        <cfvo type="num" val="1"/>
        <cfvo type="num" val="1.05"/>
      </iconSet>
    </cfRule>
  </conditionalFormatting>
  <conditionalFormatting sqref="Q407">
    <cfRule type="iconSet" priority="4389">
      <iconSet iconSet="3Symbols" showValue="0" reverse="1">
        <cfvo type="percent" val="0"/>
        <cfvo type="num" val="1"/>
        <cfvo type="num" val="1.05"/>
      </iconSet>
    </cfRule>
  </conditionalFormatting>
  <conditionalFormatting sqref="N407">
    <cfRule type="cellIs" dxfId="3307" priority="4387" operator="lessThan">
      <formula>0</formula>
    </cfRule>
    <cfRule type="cellIs" dxfId="3306" priority="4388" operator="greaterThan">
      <formula>0</formula>
    </cfRule>
  </conditionalFormatting>
  <conditionalFormatting sqref="F407">
    <cfRule type="cellIs" dxfId="3305" priority="4385" operator="lessThan">
      <formula>0</formula>
    </cfRule>
    <cfRule type="cellIs" dxfId="3304" priority="4386" operator="greaterThan">
      <formula>0</formula>
    </cfRule>
  </conditionalFormatting>
  <conditionalFormatting sqref="U407">
    <cfRule type="iconSet" priority="4390">
      <iconSet iconSet="3Symbols" showValue="0" reverse="1">
        <cfvo type="percent" val="0"/>
        <cfvo type="num" val="1"/>
        <cfvo type="num" val="1.05"/>
      </iconSet>
    </cfRule>
  </conditionalFormatting>
  <conditionalFormatting sqref="P407">
    <cfRule type="iconSet" priority="4391">
      <iconSet iconSet="3Symbols" showValue="0" reverse="1">
        <cfvo type="percent" val="0"/>
        <cfvo type="num" val="1"/>
        <cfvo type="num" val="1.05"/>
      </iconSet>
    </cfRule>
  </conditionalFormatting>
  <conditionalFormatting sqref="Q406">
    <cfRule type="iconSet" priority="4382">
      <iconSet iconSet="3Symbols" showValue="0" reverse="1">
        <cfvo type="percent" val="0"/>
        <cfvo type="num" val="1"/>
        <cfvo type="num" val="1.05"/>
      </iconSet>
    </cfRule>
  </conditionalFormatting>
  <conditionalFormatting sqref="N406">
    <cfRule type="cellIs" dxfId="3303" priority="4380" operator="lessThan">
      <formula>0</formula>
    </cfRule>
    <cfRule type="cellIs" dxfId="3302" priority="4381" operator="greaterThan">
      <formula>0</formula>
    </cfRule>
  </conditionalFormatting>
  <conditionalFormatting sqref="F406">
    <cfRule type="cellIs" dxfId="3301" priority="4378" operator="lessThan">
      <formula>0</formula>
    </cfRule>
    <cfRule type="cellIs" dxfId="3300" priority="4379" operator="greaterThan">
      <formula>0</formula>
    </cfRule>
  </conditionalFormatting>
  <conditionalFormatting sqref="U406">
    <cfRule type="iconSet" priority="4383">
      <iconSet iconSet="3Symbols" showValue="0" reverse="1">
        <cfvo type="percent" val="0"/>
        <cfvo type="num" val="1"/>
        <cfvo type="num" val="1.05"/>
      </iconSet>
    </cfRule>
  </conditionalFormatting>
  <conditionalFormatting sqref="P406">
    <cfRule type="iconSet" priority="4384">
      <iconSet iconSet="3Symbols" showValue="0" reverse="1">
        <cfvo type="percent" val="0"/>
        <cfvo type="num" val="1"/>
        <cfvo type="num" val="1.05"/>
      </iconSet>
    </cfRule>
  </conditionalFormatting>
  <conditionalFormatting sqref="Q404:Q405">
    <cfRule type="iconSet" priority="4375">
      <iconSet iconSet="3Symbols" showValue="0" reverse="1">
        <cfvo type="percent" val="0"/>
        <cfvo type="num" val="1"/>
        <cfvo type="num" val="1.05"/>
      </iconSet>
    </cfRule>
  </conditionalFormatting>
  <conditionalFormatting sqref="N404:N405">
    <cfRule type="cellIs" dxfId="3299" priority="4373" operator="lessThan">
      <formula>0</formula>
    </cfRule>
    <cfRule type="cellIs" dxfId="3298" priority="4374" operator="greaterThan">
      <formula>0</formula>
    </cfRule>
  </conditionalFormatting>
  <conditionalFormatting sqref="F404:F405">
    <cfRule type="cellIs" dxfId="3297" priority="4371" operator="lessThan">
      <formula>0</formula>
    </cfRule>
    <cfRule type="cellIs" dxfId="3296" priority="4372" operator="greaterThan">
      <formula>0</formula>
    </cfRule>
  </conditionalFormatting>
  <conditionalFormatting sqref="U404:U405">
    <cfRule type="iconSet" priority="4376">
      <iconSet iconSet="3Symbols" showValue="0" reverse="1">
        <cfvo type="percent" val="0"/>
        <cfvo type="num" val="1"/>
        <cfvo type="num" val="1.05"/>
      </iconSet>
    </cfRule>
  </conditionalFormatting>
  <conditionalFormatting sqref="P404:P405">
    <cfRule type="iconSet" priority="4377">
      <iconSet iconSet="3Symbols" showValue="0" reverse="1">
        <cfvo type="percent" val="0"/>
        <cfvo type="num" val="1"/>
        <cfvo type="num" val="1.05"/>
      </iconSet>
    </cfRule>
  </conditionalFormatting>
  <conditionalFormatting sqref="Q403">
    <cfRule type="iconSet" priority="4368">
      <iconSet iconSet="3Symbols" showValue="0" reverse="1">
        <cfvo type="percent" val="0"/>
        <cfvo type="num" val="1"/>
        <cfvo type="num" val="1.05"/>
      </iconSet>
    </cfRule>
  </conditionalFormatting>
  <conditionalFormatting sqref="N403">
    <cfRule type="cellIs" dxfId="3295" priority="4366" operator="lessThan">
      <formula>0</formula>
    </cfRule>
    <cfRule type="cellIs" dxfId="3294" priority="4367" operator="greaterThan">
      <formula>0</formula>
    </cfRule>
  </conditionalFormatting>
  <conditionalFormatting sqref="F403">
    <cfRule type="cellIs" dxfId="3293" priority="4364" operator="lessThan">
      <formula>0</formula>
    </cfRule>
    <cfRule type="cellIs" dxfId="3292" priority="4365" operator="greaterThan">
      <formula>0</formula>
    </cfRule>
  </conditionalFormatting>
  <conditionalFormatting sqref="U403">
    <cfRule type="iconSet" priority="4369">
      <iconSet iconSet="3Symbols" showValue="0" reverse="1">
        <cfvo type="percent" val="0"/>
        <cfvo type="num" val="1"/>
        <cfvo type="num" val="1.05"/>
      </iconSet>
    </cfRule>
  </conditionalFormatting>
  <conditionalFormatting sqref="P403">
    <cfRule type="iconSet" priority="4370">
      <iconSet iconSet="3Symbols" showValue="0" reverse="1">
        <cfvo type="percent" val="0"/>
        <cfvo type="num" val="1"/>
        <cfvo type="num" val="1.05"/>
      </iconSet>
    </cfRule>
  </conditionalFormatting>
  <conditionalFormatting sqref="Q402">
    <cfRule type="iconSet" priority="4361">
      <iconSet iconSet="3Symbols" showValue="0" reverse="1">
        <cfvo type="percent" val="0"/>
        <cfvo type="num" val="1"/>
        <cfvo type="num" val="1.05"/>
      </iconSet>
    </cfRule>
  </conditionalFormatting>
  <conditionalFormatting sqref="N402">
    <cfRule type="cellIs" dxfId="3291" priority="4359" operator="lessThan">
      <formula>0</formula>
    </cfRule>
    <cfRule type="cellIs" dxfId="3290" priority="4360" operator="greaterThan">
      <formula>0</formula>
    </cfRule>
  </conditionalFormatting>
  <conditionalFormatting sqref="F402">
    <cfRule type="cellIs" dxfId="3289" priority="4357" operator="lessThan">
      <formula>0</formula>
    </cfRule>
    <cfRule type="cellIs" dxfId="3288" priority="4358" operator="greaterThan">
      <formula>0</formula>
    </cfRule>
  </conditionalFormatting>
  <conditionalFormatting sqref="U402">
    <cfRule type="iconSet" priority="4362">
      <iconSet iconSet="3Symbols" showValue="0" reverse="1">
        <cfvo type="percent" val="0"/>
        <cfvo type="num" val="1"/>
        <cfvo type="num" val="1.05"/>
      </iconSet>
    </cfRule>
  </conditionalFormatting>
  <conditionalFormatting sqref="P402">
    <cfRule type="iconSet" priority="4363">
      <iconSet iconSet="3Symbols" showValue="0" reverse="1">
        <cfvo type="percent" val="0"/>
        <cfvo type="num" val="1"/>
        <cfvo type="num" val="1.05"/>
      </iconSet>
    </cfRule>
  </conditionalFormatting>
  <conditionalFormatting sqref="Q401">
    <cfRule type="iconSet" priority="4354">
      <iconSet iconSet="3Symbols" showValue="0" reverse="1">
        <cfvo type="percent" val="0"/>
        <cfvo type="num" val="1"/>
        <cfvo type="num" val="1.05"/>
      </iconSet>
    </cfRule>
  </conditionalFormatting>
  <conditionalFormatting sqref="N401">
    <cfRule type="cellIs" dxfId="3287" priority="4352" operator="lessThan">
      <formula>0</formula>
    </cfRule>
    <cfRule type="cellIs" dxfId="3286" priority="4353" operator="greaterThan">
      <formula>0</formula>
    </cfRule>
  </conditionalFormatting>
  <conditionalFormatting sqref="F401">
    <cfRule type="cellIs" dxfId="3285" priority="4350" operator="lessThan">
      <formula>0</formula>
    </cfRule>
    <cfRule type="cellIs" dxfId="3284" priority="4351" operator="greaterThan">
      <formula>0</formula>
    </cfRule>
  </conditionalFormatting>
  <conditionalFormatting sqref="U401">
    <cfRule type="iconSet" priority="4355">
      <iconSet iconSet="3Symbols" showValue="0" reverse="1">
        <cfvo type="percent" val="0"/>
        <cfvo type="num" val="1"/>
        <cfvo type="num" val="1.05"/>
      </iconSet>
    </cfRule>
  </conditionalFormatting>
  <conditionalFormatting sqref="P401">
    <cfRule type="iconSet" priority="4356">
      <iconSet iconSet="3Symbols" showValue="0" reverse="1">
        <cfvo type="percent" val="0"/>
        <cfvo type="num" val="1"/>
        <cfvo type="num" val="1.05"/>
      </iconSet>
    </cfRule>
  </conditionalFormatting>
  <conditionalFormatting sqref="Q400">
    <cfRule type="iconSet" priority="4347">
      <iconSet iconSet="3Symbols" showValue="0" reverse="1">
        <cfvo type="percent" val="0"/>
        <cfvo type="num" val="1"/>
        <cfvo type="num" val="1.05"/>
      </iconSet>
    </cfRule>
  </conditionalFormatting>
  <conditionalFormatting sqref="N400">
    <cfRule type="cellIs" dxfId="3283" priority="4345" operator="lessThan">
      <formula>0</formula>
    </cfRule>
    <cfRule type="cellIs" dxfId="3282" priority="4346" operator="greaterThan">
      <formula>0</formula>
    </cfRule>
  </conditionalFormatting>
  <conditionalFormatting sqref="F400">
    <cfRule type="cellIs" dxfId="3281" priority="4343" operator="lessThan">
      <formula>0</formula>
    </cfRule>
    <cfRule type="cellIs" dxfId="3280" priority="4344" operator="greaterThan">
      <formula>0</formula>
    </cfRule>
  </conditionalFormatting>
  <conditionalFormatting sqref="U400">
    <cfRule type="iconSet" priority="4348">
      <iconSet iconSet="3Symbols" showValue="0" reverse="1">
        <cfvo type="percent" val="0"/>
        <cfvo type="num" val="1"/>
        <cfvo type="num" val="1.05"/>
      </iconSet>
    </cfRule>
  </conditionalFormatting>
  <conditionalFormatting sqref="P400">
    <cfRule type="iconSet" priority="4349">
      <iconSet iconSet="3Symbols" showValue="0" reverse="1">
        <cfvo type="percent" val="0"/>
        <cfvo type="num" val="1"/>
        <cfvo type="num" val="1.05"/>
      </iconSet>
    </cfRule>
  </conditionalFormatting>
  <conditionalFormatting sqref="Q399">
    <cfRule type="iconSet" priority="4340">
      <iconSet iconSet="3Symbols" showValue="0" reverse="1">
        <cfvo type="percent" val="0"/>
        <cfvo type="num" val="1"/>
        <cfvo type="num" val="1.05"/>
      </iconSet>
    </cfRule>
  </conditionalFormatting>
  <conditionalFormatting sqref="N399">
    <cfRule type="cellIs" dxfId="3279" priority="4338" operator="lessThan">
      <formula>0</formula>
    </cfRule>
    <cfRule type="cellIs" dxfId="3278" priority="4339" operator="greaterThan">
      <formula>0</formula>
    </cfRule>
  </conditionalFormatting>
  <conditionalFormatting sqref="F399">
    <cfRule type="cellIs" dxfId="3277" priority="4336" operator="lessThan">
      <formula>0</formula>
    </cfRule>
    <cfRule type="cellIs" dxfId="3276" priority="4337" operator="greaterThan">
      <formula>0</formula>
    </cfRule>
  </conditionalFormatting>
  <conditionalFormatting sqref="U399">
    <cfRule type="iconSet" priority="4341">
      <iconSet iconSet="3Symbols" showValue="0" reverse="1">
        <cfvo type="percent" val="0"/>
        <cfvo type="num" val="1"/>
        <cfvo type="num" val="1.05"/>
      </iconSet>
    </cfRule>
  </conditionalFormatting>
  <conditionalFormatting sqref="P399">
    <cfRule type="iconSet" priority="4342">
      <iconSet iconSet="3Symbols" showValue="0" reverse="1">
        <cfvo type="percent" val="0"/>
        <cfvo type="num" val="1"/>
        <cfvo type="num" val="1.05"/>
      </iconSet>
    </cfRule>
  </conditionalFormatting>
  <conditionalFormatting sqref="Q398">
    <cfRule type="iconSet" priority="4333">
      <iconSet iconSet="3Symbols" showValue="0" reverse="1">
        <cfvo type="percent" val="0"/>
        <cfvo type="num" val="1"/>
        <cfvo type="num" val="1.05"/>
      </iconSet>
    </cfRule>
  </conditionalFormatting>
  <conditionalFormatting sqref="N398">
    <cfRule type="cellIs" dxfId="3275" priority="4331" operator="lessThan">
      <formula>0</formula>
    </cfRule>
    <cfRule type="cellIs" dxfId="3274" priority="4332" operator="greaterThan">
      <formula>0</formula>
    </cfRule>
  </conditionalFormatting>
  <conditionalFormatting sqref="F398">
    <cfRule type="cellIs" dxfId="3273" priority="4329" operator="lessThan">
      <formula>0</formula>
    </cfRule>
    <cfRule type="cellIs" dxfId="3272" priority="4330" operator="greaterThan">
      <formula>0</formula>
    </cfRule>
  </conditionalFormatting>
  <conditionalFormatting sqref="U398">
    <cfRule type="iconSet" priority="4334">
      <iconSet iconSet="3Symbols" showValue="0" reverse="1">
        <cfvo type="percent" val="0"/>
        <cfvo type="num" val="1"/>
        <cfvo type="num" val="1.05"/>
      </iconSet>
    </cfRule>
  </conditionalFormatting>
  <conditionalFormatting sqref="P398">
    <cfRule type="iconSet" priority="4335">
      <iconSet iconSet="3Symbols" showValue="0" reverse="1">
        <cfvo type="percent" val="0"/>
        <cfvo type="num" val="1"/>
        <cfvo type="num" val="1.05"/>
      </iconSet>
    </cfRule>
  </conditionalFormatting>
  <conditionalFormatting sqref="Q397">
    <cfRule type="iconSet" priority="4326">
      <iconSet iconSet="3Symbols" showValue="0" reverse="1">
        <cfvo type="percent" val="0"/>
        <cfvo type="num" val="1"/>
        <cfvo type="num" val="1.05"/>
      </iconSet>
    </cfRule>
  </conditionalFormatting>
  <conditionalFormatting sqref="N397">
    <cfRule type="cellIs" dxfId="3271" priority="4324" operator="lessThan">
      <formula>0</formula>
    </cfRule>
    <cfRule type="cellIs" dxfId="3270" priority="4325" operator="greaterThan">
      <formula>0</formula>
    </cfRule>
  </conditionalFormatting>
  <conditionalFormatting sqref="F397">
    <cfRule type="cellIs" dxfId="3269" priority="4322" operator="lessThan">
      <formula>0</formula>
    </cfRule>
    <cfRule type="cellIs" dxfId="3268" priority="4323" operator="greaterThan">
      <formula>0</formula>
    </cfRule>
  </conditionalFormatting>
  <conditionalFormatting sqref="U397">
    <cfRule type="iconSet" priority="4327">
      <iconSet iconSet="3Symbols" showValue="0" reverse="1">
        <cfvo type="percent" val="0"/>
        <cfvo type="num" val="1"/>
        <cfvo type="num" val="1.05"/>
      </iconSet>
    </cfRule>
  </conditionalFormatting>
  <conditionalFormatting sqref="P397">
    <cfRule type="iconSet" priority="4328">
      <iconSet iconSet="3Symbols" showValue="0" reverse="1">
        <cfvo type="percent" val="0"/>
        <cfvo type="num" val="1"/>
        <cfvo type="num" val="1.05"/>
      </iconSet>
    </cfRule>
  </conditionalFormatting>
  <conditionalFormatting sqref="Q396">
    <cfRule type="iconSet" priority="4319">
      <iconSet iconSet="3Symbols" showValue="0" reverse="1">
        <cfvo type="percent" val="0"/>
        <cfvo type="num" val="1"/>
        <cfvo type="num" val="1.05"/>
      </iconSet>
    </cfRule>
  </conditionalFormatting>
  <conditionalFormatting sqref="N396">
    <cfRule type="cellIs" dxfId="3267" priority="4317" operator="lessThan">
      <formula>0</formula>
    </cfRule>
    <cfRule type="cellIs" dxfId="3266" priority="4318" operator="greaterThan">
      <formula>0</formula>
    </cfRule>
  </conditionalFormatting>
  <conditionalFormatting sqref="F396">
    <cfRule type="cellIs" dxfId="3265" priority="4315" operator="lessThan">
      <formula>0</formula>
    </cfRule>
    <cfRule type="cellIs" dxfId="3264" priority="4316" operator="greaterThan">
      <formula>0</formula>
    </cfRule>
  </conditionalFormatting>
  <conditionalFormatting sqref="U396">
    <cfRule type="iconSet" priority="4320">
      <iconSet iconSet="3Symbols" showValue="0" reverse="1">
        <cfvo type="percent" val="0"/>
        <cfvo type="num" val="1"/>
        <cfvo type="num" val="1.05"/>
      </iconSet>
    </cfRule>
  </conditionalFormatting>
  <conditionalFormatting sqref="P396">
    <cfRule type="iconSet" priority="4321">
      <iconSet iconSet="3Symbols" showValue="0" reverse="1">
        <cfvo type="percent" val="0"/>
        <cfvo type="num" val="1"/>
        <cfvo type="num" val="1.05"/>
      </iconSet>
    </cfRule>
  </conditionalFormatting>
  <conditionalFormatting sqref="Q395">
    <cfRule type="iconSet" priority="4312">
      <iconSet iconSet="3Symbols" showValue="0" reverse="1">
        <cfvo type="percent" val="0"/>
        <cfvo type="num" val="1"/>
        <cfvo type="num" val="1.05"/>
      </iconSet>
    </cfRule>
  </conditionalFormatting>
  <conditionalFormatting sqref="N395">
    <cfRule type="cellIs" dxfId="3263" priority="4310" operator="lessThan">
      <formula>0</formula>
    </cfRule>
    <cfRule type="cellIs" dxfId="3262" priority="4311" operator="greaterThan">
      <formula>0</formula>
    </cfRule>
  </conditionalFormatting>
  <conditionalFormatting sqref="F395">
    <cfRule type="cellIs" dxfId="3261" priority="4308" operator="lessThan">
      <formula>0</formula>
    </cfRule>
    <cfRule type="cellIs" dxfId="3260" priority="4309" operator="greaterThan">
      <formula>0</formula>
    </cfRule>
  </conditionalFormatting>
  <conditionalFormatting sqref="U395">
    <cfRule type="iconSet" priority="4313">
      <iconSet iconSet="3Symbols" showValue="0" reverse="1">
        <cfvo type="percent" val="0"/>
        <cfvo type="num" val="1"/>
        <cfvo type="num" val="1.05"/>
      </iconSet>
    </cfRule>
  </conditionalFormatting>
  <conditionalFormatting sqref="P395">
    <cfRule type="iconSet" priority="4314">
      <iconSet iconSet="3Symbols" showValue="0" reverse="1">
        <cfvo type="percent" val="0"/>
        <cfvo type="num" val="1"/>
        <cfvo type="num" val="1.05"/>
      </iconSet>
    </cfRule>
  </conditionalFormatting>
  <conditionalFormatting sqref="Q394">
    <cfRule type="iconSet" priority="4305">
      <iconSet iconSet="3Symbols" showValue="0" reverse="1">
        <cfvo type="percent" val="0"/>
        <cfvo type="num" val="1"/>
        <cfvo type="num" val="1.05"/>
      </iconSet>
    </cfRule>
  </conditionalFormatting>
  <conditionalFormatting sqref="N394">
    <cfRule type="cellIs" dxfId="3259" priority="4303" operator="lessThan">
      <formula>0</formula>
    </cfRule>
    <cfRule type="cellIs" dxfId="3258" priority="4304" operator="greaterThan">
      <formula>0</formula>
    </cfRule>
  </conditionalFormatting>
  <conditionalFormatting sqref="F394">
    <cfRule type="cellIs" dxfId="3257" priority="4301" operator="lessThan">
      <formula>0</formula>
    </cfRule>
    <cfRule type="cellIs" dxfId="3256" priority="4302" operator="greaterThan">
      <formula>0</formula>
    </cfRule>
  </conditionalFormatting>
  <conditionalFormatting sqref="U394">
    <cfRule type="iconSet" priority="4306">
      <iconSet iconSet="3Symbols" showValue="0" reverse="1">
        <cfvo type="percent" val="0"/>
        <cfvo type="num" val="1"/>
        <cfvo type="num" val="1.05"/>
      </iconSet>
    </cfRule>
  </conditionalFormatting>
  <conditionalFormatting sqref="P394">
    <cfRule type="iconSet" priority="4307">
      <iconSet iconSet="3Symbols" showValue="0" reverse="1">
        <cfvo type="percent" val="0"/>
        <cfvo type="num" val="1"/>
        <cfvo type="num" val="1.05"/>
      </iconSet>
    </cfRule>
  </conditionalFormatting>
  <conditionalFormatting sqref="Q393">
    <cfRule type="iconSet" priority="4298">
      <iconSet iconSet="3Symbols" showValue="0" reverse="1">
        <cfvo type="percent" val="0"/>
        <cfvo type="num" val="1"/>
        <cfvo type="num" val="1.05"/>
      </iconSet>
    </cfRule>
  </conditionalFormatting>
  <conditionalFormatting sqref="N393">
    <cfRule type="cellIs" dxfId="3255" priority="4296" operator="lessThan">
      <formula>0</formula>
    </cfRule>
    <cfRule type="cellIs" dxfId="3254" priority="4297" operator="greaterThan">
      <formula>0</formula>
    </cfRule>
  </conditionalFormatting>
  <conditionalFormatting sqref="F393">
    <cfRule type="cellIs" dxfId="3253" priority="4294" operator="lessThan">
      <formula>0</formula>
    </cfRule>
    <cfRule type="cellIs" dxfId="3252" priority="4295" operator="greaterThan">
      <formula>0</formula>
    </cfRule>
  </conditionalFormatting>
  <conditionalFormatting sqref="U393">
    <cfRule type="iconSet" priority="4299">
      <iconSet iconSet="3Symbols" showValue="0" reverse="1">
        <cfvo type="percent" val="0"/>
        <cfvo type="num" val="1"/>
        <cfvo type="num" val="1.05"/>
      </iconSet>
    </cfRule>
  </conditionalFormatting>
  <conditionalFormatting sqref="P393">
    <cfRule type="iconSet" priority="4300">
      <iconSet iconSet="3Symbols" showValue="0" reverse="1">
        <cfvo type="percent" val="0"/>
        <cfvo type="num" val="1"/>
        <cfvo type="num" val="1.05"/>
      </iconSet>
    </cfRule>
  </conditionalFormatting>
  <conditionalFormatting sqref="Q391:Q392">
    <cfRule type="iconSet" priority="4291">
      <iconSet iconSet="3Symbols" showValue="0" reverse="1">
        <cfvo type="percent" val="0"/>
        <cfvo type="num" val="1"/>
        <cfvo type="num" val="1.05"/>
      </iconSet>
    </cfRule>
  </conditionalFormatting>
  <conditionalFormatting sqref="N391:N392">
    <cfRule type="cellIs" dxfId="3251" priority="4289" operator="lessThan">
      <formula>0</formula>
    </cfRule>
    <cfRule type="cellIs" dxfId="3250" priority="4290" operator="greaterThan">
      <formula>0</formula>
    </cfRule>
  </conditionalFormatting>
  <conditionalFormatting sqref="F391:F392">
    <cfRule type="cellIs" dxfId="3249" priority="4287" operator="lessThan">
      <formula>0</formula>
    </cfRule>
    <cfRule type="cellIs" dxfId="3248" priority="4288" operator="greaterThan">
      <formula>0</formula>
    </cfRule>
  </conditionalFormatting>
  <conditionalFormatting sqref="U391:U392">
    <cfRule type="iconSet" priority="4292">
      <iconSet iconSet="3Symbols" showValue="0" reverse="1">
        <cfvo type="percent" val="0"/>
        <cfvo type="num" val="1"/>
        <cfvo type="num" val="1.05"/>
      </iconSet>
    </cfRule>
  </conditionalFormatting>
  <conditionalFormatting sqref="P391:P392">
    <cfRule type="iconSet" priority="4293">
      <iconSet iconSet="3Symbols" showValue="0" reverse="1">
        <cfvo type="percent" val="0"/>
        <cfvo type="num" val="1"/>
        <cfvo type="num" val="1.05"/>
      </iconSet>
    </cfRule>
  </conditionalFormatting>
  <conditionalFormatting sqref="Q390">
    <cfRule type="iconSet" priority="4284">
      <iconSet iconSet="3Symbols" showValue="0" reverse="1">
        <cfvo type="percent" val="0"/>
        <cfvo type="num" val="1"/>
        <cfvo type="num" val="1.05"/>
      </iconSet>
    </cfRule>
  </conditionalFormatting>
  <conditionalFormatting sqref="N390">
    <cfRule type="cellIs" dxfId="3247" priority="4282" operator="lessThan">
      <formula>0</formula>
    </cfRule>
    <cfRule type="cellIs" dxfId="3246" priority="4283" operator="greaterThan">
      <formula>0</formula>
    </cfRule>
  </conditionalFormatting>
  <conditionalFormatting sqref="F390">
    <cfRule type="cellIs" dxfId="3245" priority="4280" operator="lessThan">
      <formula>0</formula>
    </cfRule>
    <cfRule type="cellIs" dxfId="3244" priority="4281" operator="greaterThan">
      <formula>0</formula>
    </cfRule>
  </conditionalFormatting>
  <conditionalFormatting sqref="U390">
    <cfRule type="iconSet" priority="4285">
      <iconSet iconSet="3Symbols" showValue="0" reverse="1">
        <cfvo type="percent" val="0"/>
        <cfvo type="num" val="1"/>
        <cfvo type="num" val="1.05"/>
      </iconSet>
    </cfRule>
  </conditionalFormatting>
  <conditionalFormatting sqref="P390">
    <cfRule type="iconSet" priority="4286">
      <iconSet iconSet="3Symbols" showValue="0" reverse="1">
        <cfvo type="percent" val="0"/>
        <cfvo type="num" val="1"/>
        <cfvo type="num" val="1.05"/>
      </iconSet>
    </cfRule>
  </conditionalFormatting>
  <conditionalFormatting sqref="Q389">
    <cfRule type="iconSet" priority="4277">
      <iconSet iconSet="3Symbols" showValue="0" reverse="1">
        <cfvo type="percent" val="0"/>
        <cfvo type="num" val="1"/>
        <cfvo type="num" val="1.05"/>
      </iconSet>
    </cfRule>
  </conditionalFormatting>
  <conditionalFormatting sqref="N389">
    <cfRule type="cellIs" dxfId="3243" priority="4275" operator="lessThan">
      <formula>0</formula>
    </cfRule>
    <cfRule type="cellIs" dxfId="3242" priority="4276" operator="greaterThan">
      <formula>0</formula>
    </cfRule>
  </conditionalFormatting>
  <conditionalFormatting sqref="F389">
    <cfRule type="cellIs" dxfId="3241" priority="4273" operator="lessThan">
      <formula>0</formula>
    </cfRule>
    <cfRule type="cellIs" dxfId="3240" priority="4274" operator="greaterThan">
      <formula>0</formula>
    </cfRule>
  </conditionalFormatting>
  <conditionalFormatting sqref="U389">
    <cfRule type="iconSet" priority="4278">
      <iconSet iconSet="3Symbols" showValue="0" reverse="1">
        <cfvo type="percent" val="0"/>
        <cfvo type="num" val="1"/>
        <cfvo type="num" val="1.05"/>
      </iconSet>
    </cfRule>
  </conditionalFormatting>
  <conditionalFormatting sqref="P389">
    <cfRule type="iconSet" priority="4279">
      <iconSet iconSet="3Symbols" showValue="0" reverse="1">
        <cfvo type="percent" val="0"/>
        <cfvo type="num" val="1"/>
        <cfvo type="num" val="1.05"/>
      </iconSet>
    </cfRule>
  </conditionalFormatting>
  <conditionalFormatting sqref="Q388">
    <cfRule type="iconSet" priority="4270">
      <iconSet iconSet="3Symbols" showValue="0" reverse="1">
        <cfvo type="percent" val="0"/>
        <cfvo type="num" val="1"/>
        <cfvo type="num" val="1.05"/>
      </iconSet>
    </cfRule>
  </conditionalFormatting>
  <conditionalFormatting sqref="N388">
    <cfRule type="cellIs" dxfId="3239" priority="4268" operator="lessThan">
      <formula>0</formula>
    </cfRule>
    <cfRule type="cellIs" dxfId="3238" priority="4269" operator="greaterThan">
      <formula>0</formula>
    </cfRule>
  </conditionalFormatting>
  <conditionalFormatting sqref="F388">
    <cfRule type="cellIs" dxfId="3237" priority="4266" operator="lessThan">
      <formula>0</formula>
    </cfRule>
    <cfRule type="cellIs" dxfId="3236" priority="4267" operator="greaterThan">
      <formula>0</formula>
    </cfRule>
  </conditionalFormatting>
  <conditionalFormatting sqref="U388">
    <cfRule type="iconSet" priority="4271">
      <iconSet iconSet="3Symbols" showValue="0" reverse="1">
        <cfvo type="percent" val="0"/>
        <cfvo type="num" val="1"/>
        <cfvo type="num" val="1.05"/>
      </iconSet>
    </cfRule>
  </conditionalFormatting>
  <conditionalFormatting sqref="P388">
    <cfRule type="iconSet" priority="4272">
      <iconSet iconSet="3Symbols" showValue="0" reverse="1">
        <cfvo type="percent" val="0"/>
        <cfvo type="num" val="1"/>
        <cfvo type="num" val="1.05"/>
      </iconSet>
    </cfRule>
  </conditionalFormatting>
  <conditionalFormatting sqref="Q387">
    <cfRule type="iconSet" priority="4263">
      <iconSet iconSet="3Symbols" showValue="0" reverse="1">
        <cfvo type="percent" val="0"/>
        <cfvo type="num" val="1"/>
        <cfvo type="num" val="1.05"/>
      </iconSet>
    </cfRule>
  </conditionalFormatting>
  <conditionalFormatting sqref="N387">
    <cfRule type="cellIs" dxfId="3235" priority="4261" operator="lessThan">
      <formula>0</formula>
    </cfRule>
    <cfRule type="cellIs" dxfId="3234" priority="4262" operator="greaterThan">
      <formula>0</formula>
    </cfRule>
  </conditionalFormatting>
  <conditionalFormatting sqref="F387">
    <cfRule type="cellIs" dxfId="3233" priority="4259" operator="lessThan">
      <formula>0</formula>
    </cfRule>
    <cfRule type="cellIs" dxfId="3232" priority="4260" operator="greaterThan">
      <formula>0</formula>
    </cfRule>
  </conditionalFormatting>
  <conditionalFormatting sqref="U387">
    <cfRule type="iconSet" priority="4264">
      <iconSet iconSet="3Symbols" showValue="0" reverse="1">
        <cfvo type="percent" val="0"/>
        <cfvo type="num" val="1"/>
        <cfvo type="num" val="1.05"/>
      </iconSet>
    </cfRule>
  </conditionalFormatting>
  <conditionalFormatting sqref="P387">
    <cfRule type="iconSet" priority="4265">
      <iconSet iconSet="3Symbols" showValue="0" reverse="1">
        <cfvo type="percent" val="0"/>
        <cfvo type="num" val="1"/>
        <cfvo type="num" val="1.05"/>
      </iconSet>
    </cfRule>
  </conditionalFormatting>
  <conditionalFormatting sqref="Q386">
    <cfRule type="iconSet" priority="4256">
      <iconSet iconSet="3Symbols" showValue="0" reverse="1">
        <cfvo type="percent" val="0"/>
        <cfvo type="num" val="1"/>
        <cfvo type="num" val="1.05"/>
      </iconSet>
    </cfRule>
  </conditionalFormatting>
  <conditionalFormatting sqref="N386">
    <cfRule type="cellIs" dxfId="3231" priority="4254" operator="lessThan">
      <formula>0</formula>
    </cfRule>
    <cfRule type="cellIs" dxfId="3230" priority="4255" operator="greaterThan">
      <formula>0</formula>
    </cfRule>
  </conditionalFormatting>
  <conditionalFormatting sqref="F386">
    <cfRule type="cellIs" dxfId="3229" priority="4252" operator="lessThan">
      <formula>0</formula>
    </cfRule>
    <cfRule type="cellIs" dxfId="3228" priority="4253" operator="greaterThan">
      <formula>0</formula>
    </cfRule>
  </conditionalFormatting>
  <conditionalFormatting sqref="U386">
    <cfRule type="iconSet" priority="4257">
      <iconSet iconSet="3Symbols" showValue="0" reverse="1">
        <cfvo type="percent" val="0"/>
        <cfvo type="num" val="1"/>
        <cfvo type="num" val="1.05"/>
      </iconSet>
    </cfRule>
  </conditionalFormatting>
  <conditionalFormatting sqref="P386">
    <cfRule type="iconSet" priority="4258">
      <iconSet iconSet="3Symbols" showValue="0" reverse="1">
        <cfvo type="percent" val="0"/>
        <cfvo type="num" val="1"/>
        <cfvo type="num" val="1.05"/>
      </iconSet>
    </cfRule>
  </conditionalFormatting>
  <conditionalFormatting sqref="Q385">
    <cfRule type="iconSet" priority="4249">
      <iconSet iconSet="3Symbols" showValue="0" reverse="1">
        <cfvo type="percent" val="0"/>
        <cfvo type="num" val="1"/>
        <cfvo type="num" val="1.05"/>
      </iconSet>
    </cfRule>
  </conditionalFormatting>
  <conditionalFormatting sqref="N385">
    <cfRule type="cellIs" dxfId="3227" priority="4247" operator="lessThan">
      <formula>0</formula>
    </cfRule>
    <cfRule type="cellIs" dxfId="3226" priority="4248" operator="greaterThan">
      <formula>0</formula>
    </cfRule>
  </conditionalFormatting>
  <conditionalFormatting sqref="F385">
    <cfRule type="cellIs" dxfId="3225" priority="4245" operator="lessThan">
      <formula>0</formula>
    </cfRule>
    <cfRule type="cellIs" dxfId="3224" priority="4246" operator="greaterThan">
      <formula>0</formula>
    </cfRule>
  </conditionalFormatting>
  <conditionalFormatting sqref="U385">
    <cfRule type="iconSet" priority="4250">
      <iconSet iconSet="3Symbols" showValue="0" reverse="1">
        <cfvo type="percent" val="0"/>
        <cfvo type="num" val="1"/>
        <cfvo type="num" val="1.05"/>
      </iconSet>
    </cfRule>
  </conditionalFormatting>
  <conditionalFormatting sqref="P385">
    <cfRule type="iconSet" priority="4251">
      <iconSet iconSet="3Symbols" showValue="0" reverse="1">
        <cfvo type="percent" val="0"/>
        <cfvo type="num" val="1"/>
        <cfvo type="num" val="1.05"/>
      </iconSet>
    </cfRule>
  </conditionalFormatting>
  <conditionalFormatting sqref="Q384">
    <cfRule type="iconSet" priority="4242">
      <iconSet iconSet="3Symbols" showValue="0" reverse="1">
        <cfvo type="percent" val="0"/>
        <cfvo type="num" val="1"/>
        <cfvo type="num" val="1.05"/>
      </iconSet>
    </cfRule>
  </conditionalFormatting>
  <conditionalFormatting sqref="N384">
    <cfRule type="cellIs" dxfId="3223" priority="4240" operator="lessThan">
      <formula>0</formula>
    </cfRule>
    <cfRule type="cellIs" dxfId="3222" priority="4241" operator="greaterThan">
      <formula>0</formula>
    </cfRule>
  </conditionalFormatting>
  <conditionalFormatting sqref="F384">
    <cfRule type="cellIs" dxfId="3221" priority="4238" operator="lessThan">
      <formula>0</formula>
    </cfRule>
    <cfRule type="cellIs" dxfId="3220" priority="4239" operator="greaterThan">
      <formula>0</formula>
    </cfRule>
  </conditionalFormatting>
  <conditionalFormatting sqref="U384">
    <cfRule type="iconSet" priority="4243">
      <iconSet iconSet="3Symbols" showValue="0" reverse="1">
        <cfvo type="percent" val="0"/>
        <cfvo type="num" val="1"/>
        <cfvo type="num" val="1.05"/>
      </iconSet>
    </cfRule>
  </conditionalFormatting>
  <conditionalFormatting sqref="P384">
    <cfRule type="iconSet" priority="4244">
      <iconSet iconSet="3Symbols" showValue="0" reverse="1">
        <cfvo type="percent" val="0"/>
        <cfvo type="num" val="1"/>
        <cfvo type="num" val="1.05"/>
      </iconSet>
    </cfRule>
  </conditionalFormatting>
  <conditionalFormatting sqref="Q383">
    <cfRule type="iconSet" priority="4235">
      <iconSet iconSet="3Symbols" showValue="0" reverse="1">
        <cfvo type="percent" val="0"/>
        <cfvo type="num" val="1"/>
        <cfvo type="num" val="1.05"/>
      </iconSet>
    </cfRule>
  </conditionalFormatting>
  <conditionalFormatting sqref="N383">
    <cfRule type="cellIs" dxfId="3219" priority="4233" operator="lessThan">
      <formula>0</formula>
    </cfRule>
    <cfRule type="cellIs" dxfId="3218" priority="4234" operator="greaterThan">
      <formula>0</formula>
    </cfRule>
  </conditionalFormatting>
  <conditionalFormatting sqref="F383">
    <cfRule type="cellIs" dxfId="3217" priority="4231" operator="lessThan">
      <formula>0</formula>
    </cfRule>
    <cfRule type="cellIs" dxfId="3216" priority="4232" operator="greaterThan">
      <formula>0</formula>
    </cfRule>
  </conditionalFormatting>
  <conditionalFormatting sqref="U383">
    <cfRule type="iconSet" priority="4236">
      <iconSet iconSet="3Symbols" showValue="0" reverse="1">
        <cfvo type="percent" val="0"/>
        <cfvo type="num" val="1"/>
        <cfvo type="num" val="1.05"/>
      </iconSet>
    </cfRule>
  </conditionalFormatting>
  <conditionalFormatting sqref="P383">
    <cfRule type="iconSet" priority="4237">
      <iconSet iconSet="3Symbols" showValue="0" reverse="1">
        <cfvo type="percent" val="0"/>
        <cfvo type="num" val="1"/>
        <cfvo type="num" val="1.05"/>
      </iconSet>
    </cfRule>
  </conditionalFormatting>
  <conditionalFormatting sqref="Q382">
    <cfRule type="iconSet" priority="4228">
      <iconSet iconSet="3Symbols" showValue="0" reverse="1">
        <cfvo type="percent" val="0"/>
        <cfvo type="num" val="1"/>
        <cfvo type="num" val="1.05"/>
      </iconSet>
    </cfRule>
  </conditionalFormatting>
  <conditionalFormatting sqref="N382">
    <cfRule type="cellIs" dxfId="3215" priority="4226" operator="lessThan">
      <formula>0</formula>
    </cfRule>
    <cfRule type="cellIs" dxfId="3214" priority="4227" operator="greaterThan">
      <formula>0</formula>
    </cfRule>
  </conditionalFormatting>
  <conditionalFormatting sqref="F382">
    <cfRule type="cellIs" dxfId="3213" priority="4224" operator="lessThan">
      <formula>0</formula>
    </cfRule>
    <cfRule type="cellIs" dxfId="3212" priority="4225" operator="greaterThan">
      <formula>0</formula>
    </cfRule>
  </conditionalFormatting>
  <conditionalFormatting sqref="U382">
    <cfRule type="iconSet" priority="4229">
      <iconSet iconSet="3Symbols" showValue="0" reverse="1">
        <cfvo type="percent" val="0"/>
        <cfvo type="num" val="1"/>
        <cfvo type="num" val="1.05"/>
      </iconSet>
    </cfRule>
  </conditionalFormatting>
  <conditionalFormatting sqref="P382">
    <cfRule type="iconSet" priority="4230">
      <iconSet iconSet="3Symbols" showValue="0" reverse="1">
        <cfvo type="percent" val="0"/>
        <cfvo type="num" val="1"/>
        <cfvo type="num" val="1.05"/>
      </iconSet>
    </cfRule>
  </conditionalFormatting>
  <conditionalFormatting sqref="Q381">
    <cfRule type="iconSet" priority="4221">
      <iconSet iconSet="3Symbols" showValue="0" reverse="1">
        <cfvo type="percent" val="0"/>
        <cfvo type="num" val="1"/>
        <cfvo type="num" val="1.05"/>
      </iconSet>
    </cfRule>
  </conditionalFormatting>
  <conditionalFormatting sqref="N381">
    <cfRule type="cellIs" dxfId="3211" priority="4219" operator="lessThan">
      <formula>0</formula>
    </cfRule>
    <cfRule type="cellIs" dxfId="3210" priority="4220" operator="greaterThan">
      <formula>0</formula>
    </cfRule>
  </conditionalFormatting>
  <conditionalFormatting sqref="F381">
    <cfRule type="cellIs" dxfId="3209" priority="4217" operator="lessThan">
      <formula>0</formula>
    </cfRule>
    <cfRule type="cellIs" dxfId="3208" priority="4218" operator="greaterThan">
      <formula>0</formula>
    </cfRule>
  </conditionalFormatting>
  <conditionalFormatting sqref="U381">
    <cfRule type="iconSet" priority="4222">
      <iconSet iconSet="3Symbols" showValue="0" reverse="1">
        <cfvo type="percent" val="0"/>
        <cfvo type="num" val="1"/>
        <cfvo type="num" val="1.05"/>
      </iconSet>
    </cfRule>
  </conditionalFormatting>
  <conditionalFormatting sqref="P381">
    <cfRule type="iconSet" priority="4223">
      <iconSet iconSet="3Symbols" showValue="0" reverse="1">
        <cfvo type="percent" val="0"/>
        <cfvo type="num" val="1"/>
        <cfvo type="num" val="1.05"/>
      </iconSet>
    </cfRule>
  </conditionalFormatting>
  <conditionalFormatting sqref="Q380">
    <cfRule type="iconSet" priority="4214">
      <iconSet iconSet="3Symbols" showValue="0" reverse="1">
        <cfvo type="percent" val="0"/>
        <cfvo type="num" val="1"/>
        <cfvo type="num" val="1.05"/>
      </iconSet>
    </cfRule>
  </conditionalFormatting>
  <conditionalFormatting sqref="N380">
    <cfRule type="cellIs" dxfId="3207" priority="4212" operator="lessThan">
      <formula>0</formula>
    </cfRule>
    <cfRule type="cellIs" dxfId="3206" priority="4213" operator="greaterThan">
      <formula>0</formula>
    </cfRule>
  </conditionalFormatting>
  <conditionalFormatting sqref="F380">
    <cfRule type="cellIs" dxfId="3205" priority="4210" operator="lessThan">
      <formula>0</formula>
    </cfRule>
    <cfRule type="cellIs" dxfId="3204" priority="4211" operator="greaterThan">
      <formula>0</formula>
    </cfRule>
  </conditionalFormatting>
  <conditionalFormatting sqref="U380">
    <cfRule type="iconSet" priority="4215">
      <iconSet iconSet="3Symbols" showValue="0" reverse="1">
        <cfvo type="percent" val="0"/>
        <cfvo type="num" val="1"/>
        <cfvo type="num" val="1.05"/>
      </iconSet>
    </cfRule>
  </conditionalFormatting>
  <conditionalFormatting sqref="P380">
    <cfRule type="iconSet" priority="4216">
      <iconSet iconSet="3Symbols" showValue="0" reverse="1">
        <cfvo type="percent" val="0"/>
        <cfvo type="num" val="1"/>
        <cfvo type="num" val="1.05"/>
      </iconSet>
    </cfRule>
  </conditionalFormatting>
  <conditionalFormatting sqref="Q378:Q379">
    <cfRule type="iconSet" priority="4207">
      <iconSet iconSet="3Symbols" showValue="0" reverse="1">
        <cfvo type="percent" val="0"/>
        <cfvo type="num" val="1"/>
        <cfvo type="num" val="1.05"/>
      </iconSet>
    </cfRule>
  </conditionalFormatting>
  <conditionalFormatting sqref="N378:N379">
    <cfRule type="cellIs" dxfId="3203" priority="4205" operator="lessThan">
      <formula>0</formula>
    </cfRule>
    <cfRule type="cellIs" dxfId="3202" priority="4206" operator="greaterThan">
      <formula>0</formula>
    </cfRule>
  </conditionalFormatting>
  <conditionalFormatting sqref="F378:F379">
    <cfRule type="cellIs" dxfId="3201" priority="4203" operator="lessThan">
      <formula>0</formula>
    </cfRule>
    <cfRule type="cellIs" dxfId="3200" priority="4204" operator="greaterThan">
      <formula>0</formula>
    </cfRule>
  </conditionalFormatting>
  <conditionalFormatting sqref="U378:U379">
    <cfRule type="iconSet" priority="4208">
      <iconSet iconSet="3Symbols" showValue="0" reverse="1">
        <cfvo type="percent" val="0"/>
        <cfvo type="num" val="1"/>
        <cfvo type="num" val="1.05"/>
      </iconSet>
    </cfRule>
  </conditionalFormatting>
  <conditionalFormatting sqref="P378:P379">
    <cfRule type="iconSet" priority="4209">
      <iconSet iconSet="3Symbols" showValue="0" reverse="1">
        <cfvo type="percent" val="0"/>
        <cfvo type="num" val="1"/>
        <cfvo type="num" val="1.05"/>
      </iconSet>
    </cfRule>
  </conditionalFormatting>
  <conditionalFormatting sqref="Q377">
    <cfRule type="iconSet" priority="4200">
      <iconSet iconSet="3Symbols" showValue="0" reverse="1">
        <cfvo type="percent" val="0"/>
        <cfvo type="num" val="1"/>
        <cfvo type="num" val="1.05"/>
      </iconSet>
    </cfRule>
  </conditionalFormatting>
  <conditionalFormatting sqref="N377">
    <cfRule type="cellIs" dxfId="3199" priority="4198" operator="lessThan">
      <formula>0</formula>
    </cfRule>
    <cfRule type="cellIs" dxfId="3198" priority="4199" operator="greaterThan">
      <formula>0</formula>
    </cfRule>
  </conditionalFormatting>
  <conditionalFormatting sqref="F377">
    <cfRule type="cellIs" dxfId="3197" priority="4196" operator="lessThan">
      <formula>0</formula>
    </cfRule>
    <cfRule type="cellIs" dxfId="3196" priority="4197" operator="greaterThan">
      <formula>0</formula>
    </cfRule>
  </conditionalFormatting>
  <conditionalFormatting sqref="U377">
    <cfRule type="iconSet" priority="4201">
      <iconSet iconSet="3Symbols" showValue="0" reverse="1">
        <cfvo type="percent" val="0"/>
        <cfvo type="num" val="1"/>
        <cfvo type="num" val="1.05"/>
      </iconSet>
    </cfRule>
  </conditionalFormatting>
  <conditionalFormatting sqref="P377">
    <cfRule type="iconSet" priority="4202">
      <iconSet iconSet="3Symbols" showValue="0" reverse="1">
        <cfvo type="percent" val="0"/>
        <cfvo type="num" val="1"/>
        <cfvo type="num" val="1.05"/>
      </iconSet>
    </cfRule>
  </conditionalFormatting>
  <conditionalFormatting sqref="Q376">
    <cfRule type="iconSet" priority="4193">
      <iconSet iconSet="3Symbols" showValue="0" reverse="1">
        <cfvo type="percent" val="0"/>
        <cfvo type="num" val="1"/>
        <cfvo type="num" val="1.05"/>
      </iconSet>
    </cfRule>
  </conditionalFormatting>
  <conditionalFormatting sqref="N376">
    <cfRule type="cellIs" dxfId="3195" priority="4191" operator="lessThan">
      <formula>0</formula>
    </cfRule>
    <cfRule type="cellIs" dxfId="3194" priority="4192" operator="greaterThan">
      <formula>0</formula>
    </cfRule>
  </conditionalFormatting>
  <conditionalFormatting sqref="F376">
    <cfRule type="cellIs" dxfId="3193" priority="4189" operator="lessThan">
      <formula>0</formula>
    </cfRule>
    <cfRule type="cellIs" dxfId="3192" priority="4190" operator="greaterThan">
      <formula>0</formula>
    </cfRule>
  </conditionalFormatting>
  <conditionalFormatting sqref="U376">
    <cfRule type="iconSet" priority="4194">
      <iconSet iconSet="3Symbols" showValue="0" reverse="1">
        <cfvo type="percent" val="0"/>
        <cfvo type="num" val="1"/>
        <cfvo type="num" val="1.05"/>
      </iconSet>
    </cfRule>
  </conditionalFormatting>
  <conditionalFormatting sqref="P376">
    <cfRule type="iconSet" priority="4195">
      <iconSet iconSet="3Symbols" showValue="0" reverse="1">
        <cfvo type="percent" val="0"/>
        <cfvo type="num" val="1"/>
        <cfvo type="num" val="1.05"/>
      </iconSet>
    </cfRule>
  </conditionalFormatting>
  <conditionalFormatting sqref="Q375">
    <cfRule type="iconSet" priority="4186">
      <iconSet iconSet="3Symbols" showValue="0" reverse="1">
        <cfvo type="percent" val="0"/>
        <cfvo type="num" val="1"/>
        <cfvo type="num" val="1.05"/>
      </iconSet>
    </cfRule>
  </conditionalFormatting>
  <conditionalFormatting sqref="N375">
    <cfRule type="cellIs" dxfId="3191" priority="4184" operator="lessThan">
      <formula>0</formula>
    </cfRule>
    <cfRule type="cellIs" dxfId="3190" priority="4185" operator="greaterThan">
      <formula>0</formula>
    </cfRule>
  </conditionalFormatting>
  <conditionalFormatting sqref="F375">
    <cfRule type="cellIs" dxfId="3189" priority="4182" operator="lessThan">
      <formula>0</formula>
    </cfRule>
    <cfRule type="cellIs" dxfId="3188" priority="4183" operator="greaterThan">
      <formula>0</formula>
    </cfRule>
  </conditionalFormatting>
  <conditionalFormatting sqref="U375">
    <cfRule type="iconSet" priority="4187">
      <iconSet iconSet="3Symbols" showValue="0" reverse="1">
        <cfvo type="percent" val="0"/>
        <cfvo type="num" val="1"/>
        <cfvo type="num" val="1.05"/>
      </iconSet>
    </cfRule>
  </conditionalFormatting>
  <conditionalFormatting sqref="P375">
    <cfRule type="iconSet" priority="4188">
      <iconSet iconSet="3Symbols" showValue="0" reverse="1">
        <cfvo type="percent" val="0"/>
        <cfvo type="num" val="1"/>
        <cfvo type="num" val="1.05"/>
      </iconSet>
    </cfRule>
  </conditionalFormatting>
  <conditionalFormatting sqref="Q374">
    <cfRule type="iconSet" priority="4179">
      <iconSet iconSet="3Symbols" showValue="0" reverse="1">
        <cfvo type="percent" val="0"/>
        <cfvo type="num" val="1"/>
        <cfvo type="num" val="1.05"/>
      </iconSet>
    </cfRule>
  </conditionalFormatting>
  <conditionalFormatting sqref="N374">
    <cfRule type="cellIs" dxfId="3187" priority="4177" operator="lessThan">
      <formula>0</formula>
    </cfRule>
    <cfRule type="cellIs" dxfId="3186" priority="4178" operator="greaterThan">
      <formula>0</formula>
    </cfRule>
  </conditionalFormatting>
  <conditionalFormatting sqref="F374">
    <cfRule type="cellIs" dxfId="3185" priority="4175" operator="lessThan">
      <formula>0</formula>
    </cfRule>
    <cfRule type="cellIs" dxfId="3184" priority="4176" operator="greaterThan">
      <formula>0</formula>
    </cfRule>
  </conditionalFormatting>
  <conditionalFormatting sqref="U374">
    <cfRule type="iconSet" priority="4180">
      <iconSet iconSet="3Symbols" showValue="0" reverse="1">
        <cfvo type="percent" val="0"/>
        <cfvo type="num" val="1"/>
        <cfvo type="num" val="1.05"/>
      </iconSet>
    </cfRule>
  </conditionalFormatting>
  <conditionalFormatting sqref="P374">
    <cfRule type="iconSet" priority="4181">
      <iconSet iconSet="3Symbols" showValue="0" reverse="1">
        <cfvo type="percent" val="0"/>
        <cfvo type="num" val="1"/>
        <cfvo type="num" val="1.05"/>
      </iconSet>
    </cfRule>
  </conditionalFormatting>
  <conditionalFormatting sqref="Q373">
    <cfRule type="iconSet" priority="4172">
      <iconSet iconSet="3Symbols" showValue="0" reverse="1">
        <cfvo type="percent" val="0"/>
        <cfvo type="num" val="1"/>
        <cfvo type="num" val="1.05"/>
      </iconSet>
    </cfRule>
  </conditionalFormatting>
  <conditionalFormatting sqref="N373">
    <cfRule type="cellIs" dxfId="3183" priority="4170" operator="lessThan">
      <formula>0</formula>
    </cfRule>
    <cfRule type="cellIs" dxfId="3182" priority="4171" operator="greaterThan">
      <formula>0</formula>
    </cfRule>
  </conditionalFormatting>
  <conditionalFormatting sqref="F373">
    <cfRule type="cellIs" dxfId="3181" priority="4168" operator="lessThan">
      <formula>0</formula>
    </cfRule>
    <cfRule type="cellIs" dxfId="3180" priority="4169" operator="greaterThan">
      <formula>0</formula>
    </cfRule>
  </conditionalFormatting>
  <conditionalFormatting sqref="U373">
    <cfRule type="iconSet" priority="4173">
      <iconSet iconSet="3Symbols" showValue="0" reverse="1">
        <cfvo type="percent" val="0"/>
        <cfvo type="num" val="1"/>
        <cfvo type="num" val="1.05"/>
      </iconSet>
    </cfRule>
  </conditionalFormatting>
  <conditionalFormatting sqref="P373">
    <cfRule type="iconSet" priority="4174">
      <iconSet iconSet="3Symbols" showValue="0" reverse="1">
        <cfvo type="percent" val="0"/>
        <cfvo type="num" val="1"/>
        <cfvo type="num" val="1.05"/>
      </iconSet>
    </cfRule>
  </conditionalFormatting>
  <conditionalFormatting sqref="Q372">
    <cfRule type="iconSet" priority="4165">
      <iconSet iconSet="3Symbols" showValue="0" reverse="1">
        <cfvo type="percent" val="0"/>
        <cfvo type="num" val="1"/>
        <cfvo type="num" val="1.05"/>
      </iconSet>
    </cfRule>
  </conditionalFormatting>
  <conditionalFormatting sqref="N372">
    <cfRule type="cellIs" dxfId="3179" priority="4163" operator="lessThan">
      <formula>0</formula>
    </cfRule>
    <cfRule type="cellIs" dxfId="3178" priority="4164" operator="greaterThan">
      <formula>0</formula>
    </cfRule>
  </conditionalFormatting>
  <conditionalFormatting sqref="F372">
    <cfRule type="cellIs" dxfId="3177" priority="4161" operator="lessThan">
      <formula>0</formula>
    </cfRule>
    <cfRule type="cellIs" dxfId="3176" priority="4162" operator="greaterThan">
      <formula>0</formula>
    </cfRule>
  </conditionalFormatting>
  <conditionalFormatting sqref="U372">
    <cfRule type="iconSet" priority="4166">
      <iconSet iconSet="3Symbols" showValue="0" reverse="1">
        <cfvo type="percent" val="0"/>
        <cfvo type="num" val="1"/>
        <cfvo type="num" val="1.05"/>
      </iconSet>
    </cfRule>
  </conditionalFormatting>
  <conditionalFormatting sqref="P372">
    <cfRule type="iconSet" priority="4167">
      <iconSet iconSet="3Symbols" showValue="0" reverse="1">
        <cfvo type="percent" val="0"/>
        <cfvo type="num" val="1"/>
        <cfvo type="num" val="1.05"/>
      </iconSet>
    </cfRule>
  </conditionalFormatting>
  <conditionalFormatting sqref="Q371">
    <cfRule type="iconSet" priority="4158">
      <iconSet iconSet="3Symbols" showValue="0" reverse="1">
        <cfvo type="percent" val="0"/>
        <cfvo type="num" val="1"/>
        <cfvo type="num" val="1.05"/>
      </iconSet>
    </cfRule>
  </conditionalFormatting>
  <conditionalFormatting sqref="N371">
    <cfRule type="cellIs" dxfId="3175" priority="4156" operator="lessThan">
      <formula>0</formula>
    </cfRule>
    <cfRule type="cellIs" dxfId="3174" priority="4157" operator="greaterThan">
      <formula>0</formula>
    </cfRule>
  </conditionalFormatting>
  <conditionalFormatting sqref="F371">
    <cfRule type="cellIs" dxfId="3173" priority="4154" operator="lessThan">
      <formula>0</formula>
    </cfRule>
    <cfRule type="cellIs" dxfId="3172" priority="4155" operator="greaterThan">
      <formula>0</formula>
    </cfRule>
  </conditionalFormatting>
  <conditionalFormatting sqref="U371">
    <cfRule type="iconSet" priority="4159">
      <iconSet iconSet="3Symbols" showValue="0" reverse="1">
        <cfvo type="percent" val="0"/>
        <cfvo type="num" val="1"/>
        <cfvo type="num" val="1.05"/>
      </iconSet>
    </cfRule>
  </conditionalFormatting>
  <conditionalFormatting sqref="P371">
    <cfRule type="iconSet" priority="4160">
      <iconSet iconSet="3Symbols" showValue="0" reverse="1">
        <cfvo type="percent" val="0"/>
        <cfvo type="num" val="1"/>
        <cfvo type="num" val="1.05"/>
      </iconSet>
    </cfRule>
  </conditionalFormatting>
  <conditionalFormatting sqref="Q370">
    <cfRule type="iconSet" priority="4151">
      <iconSet iconSet="3Symbols" showValue="0" reverse="1">
        <cfvo type="percent" val="0"/>
        <cfvo type="num" val="1"/>
        <cfvo type="num" val="1.05"/>
      </iconSet>
    </cfRule>
  </conditionalFormatting>
  <conditionalFormatting sqref="N370">
    <cfRule type="cellIs" dxfId="3171" priority="4149" operator="lessThan">
      <formula>0</formula>
    </cfRule>
    <cfRule type="cellIs" dxfId="3170" priority="4150" operator="greaterThan">
      <formula>0</formula>
    </cfRule>
  </conditionalFormatting>
  <conditionalFormatting sqref="F370">
    <cfRule type="cellIs" dxfId="3169" priority="4147" operator="lessThan">
      <formula>0</formula>
    </cfRule>
    <cfRule type="cellIs" dxfId="3168" priority="4148" operator="greaterThan">
      <formula>0</formula>
    </cfRule>
  </conditionalFormatting>
  <conditionalFormatting sqref="U370">
    <cfRule type="iconSet" priority="4152">
      <iconSet iconSet="3Symbols" showValue="0" reverse="1">
        <cfvo type="percent" val="0"/>
        <cfvo type="num" val="1"/>
        <cfvo type="num" val="1.05"/>
      </iconSet>
    </cfRule>
  </conditionalFormatting>
  <conditionalFormatting sqref="P370">
    <cfRule type="iconSet" priority="4153">
      <iconSet iconSet="3Symbols" showValue="0" reverse="1">
        <cfvo type="percent" val="0"/>
        <cfvo type="num" val="1"/>
        <cfvo type="num" val="1.05"/>
      </iconSet>
    </cfRule>
  </conditionalFormatting>
  <conditionalFormatting sqref="Q369">
    <cfRule type="iconSet" priority="4144">
      <iconSet iconSet="3Symbols" showValue="0" reverse="1">
        <cfvo type="percent" val="0"/>
        <cfvo type="num" val="1"/>
        <cfvo type="num" val="1.05"/>
      </iconSet>
    </cfRule>
  </conditionalFormatting>
  <conditionalFormatting sqref="N369">
    <cfRule type="cellIs" dxfId="3167" priority="4142" operator="lessThan">
      <formula>0</formula>
    </cfRule>
    <cfRule type="cellIs" dxfId="3166" priority="4143" operator="greaterThan">
      <formula>0</formula>
    </cfRule>
  </conditionalFormatting>
  <conditionalFormatting sqref="F369">
    <cfRule type="cellIs" dxfId="3165" priority="4140" operator="lessThan">
      <formula>0</formula>
    </cfRule>
    <cfRule type="cellIs" dxfId="3164" priority="4141" operator="greaterThan">
      <formula>0</formula>
    </cfRule>
  </conditionalFormatting>
  <conditionalFormatting sqref="U369">
    <cfRule type="iconSet" priority="4145">
      <iconSet iconSet="3Symbols" showValue="0" reverse="1">
        <cfvo type="percent" val="0"/>
        <cfvo type="num" val="1"/>
        <cfvo type="num" val="1.05"/>
      </iconSet>
    </cfRule>
  </conditionalFormatting>
  <conditionalFormatting sqref="P369">
    <cfRule type="iconSet" priority="4146">
      <iconSet iconSet="3Symbols" showValue="0" reverse="1">
        <cfvo type="percent" val="0"/>
        <cfvo type="num" val="1"/>
        <cfvo type="num" val="1.05"/>
      </iconSet>
    </cfRule>
  </conditionalFormatting>
  <conditionalFormatting sqref="Q368">
    <cfRule type="iconSet" priority="4137">
      <iconSet iconSet="3Symbols" showValue="0" reverse="1">
        <cfvo type="percent" val="0"/>
        <cfvo type="num" val="1"/>
        <cfvo type="num" val="1.05"/>
      </iconSet>
    </cfRule>
  </conditionalFormatting>
  <conditionalFormatting sqref="N368">
    <cfRule type="cellIs" dxfId="3163" priority="4135" operator="lessThan">
      <formula>0</formula>
    </cfRule>
    <cfRule type="cellIs" dxfId="3162" priority="4136" operator="greaterThan">
      <formula>0</formula>
    </cfRule>
  </conditionalFormatting>
  <conditionalFormatting sqref="F368">
    <cfRule type="cellIs" dxfId="3161" priority="4133" operator="lessThan">
      <formula>0</formula>
    </cfRule>
    <cfRule type="cellIs" dxfId="3160" priority="4134" operator="greaterThan">
      <formula>0</formula>
    </cfRule>
  </conditionalFormatting>
  <conditionalFormatting sqref="U368">
    <cfRule type="iconSet" priority="4138">
      <iconSet iconSet="3Symbols" showValue="0" reverse="1">
        <cfvo type="percent" val="0"/>
        <cfvo type="num" val="1"/>
        <cfvo type="num" val="1.05"/>
      </iconSet>
    </cfRule>
  </conditionalFormatting>
  <conditionalFormatting sqref="P368">
    <cfRule type="iconSet" priority="4139">
      <iconSet iconSet="3Symbols" showValue="0" reverse="1">
        <cfvo type="percent" val="0"/>
        <cfvo type="num" val="1"/>
        <cfvo type="num" val="1.05"/>
      </iconSet>
    </cfRule>
  </conditionalFormatting>
  <conditionalFormatting sqref="Q367">
    <cfRule type="iconSet" priority="4130">
      <iconSet iconSet="3Symbols" showValue="0" reverse="1">
        <cfvo type="percent" val="0"/>
        <cfvo type="num" val="1"/>
        <cfvo type="num" val="1.05"/>
      </iconSet>
    </cfRule>
  </conditionalFormatting>
  <conditionalFormatting sqref="N367">
    <cfRule type="cellIs" dxfId="3159" priority="4128" operator="lessThan">
      <formula>0</formula>
    </cfRule>
    <cfRule type="cellIs" dxfId="3158" priority="4129" operator="greaterThan">
      <formula>0</formula>
    </cfRule>
  </conditionalFormatting>
  <conditionalFormatting sqref="F367">
    <cfRule type="cellIs" dxfId="3157" priority="4126" operator="lessThan">
      <formula>0</formula>
    </cfRule>
    <cfRule type="cellIs" dxfId="3156" priority="4127" operator="greaterThan">
      <formula>0</formula>
    </cfRule>
  </conditionalFormatting>
  <conditionalFormatting sqref="U367">
    <cfRule type="iconSet" priority="4131">
      <iconSet iconSet="3Symbols" showValue="0" reverse="1">
        <cfvo type="percent" val="0"/>
        <cfvo type="num" val="1"/>
        <cfvo type="num" val="1.05"/>
      </iconSet>
    </cfRule>
  </conditionalFormatting>
  <conditionalFormatting sqref="P367">
    <cfRule type="iconSet" priority="4132">
      <iconSet iconSet="3Symbols" showValue="0" reverse="1">
        <cfvo type="percent" val="0"/>
        <cfvo type="num" val="1"/>
        <cfvo type="num" val="1.05"/>
      </iconSet>
    </cfRule>
  </conditionalFormatting>
  <conditionalFormatting sqref="Q365:Q366">
    <cfRule type="iconSet" priority="4123">
      <iconSet iconSet="3Symbols" showValue="0" reverse="1">
        <cfvo type="percent" val="0"/>
        <cfvo type="num" val="1"/>
        <cfvo type="num" val="1.05"/>
      </iconSet>
    </cfRule>
  </conditionalFormatting>
  <conditionalFormatting sqref="N365:N366">
    <cfRule type="cellIs" dxfId="3155" priority="4121" operator="lessThan">
      <formula>0</formula>
    </cfRule>
    <cfRule type="cellIs" dxfId="3154" priority="4122" operator="greaterThan">
      <formula>0</formula>
    </cfRule>
  </conditionalFormatting>
  <conditionalFormatting sqref="F365:F366">
    <cfRule type="cellIs" dxfId="3153" priority="4119" operator="lessThan">
      <formula>0</formula>
    </cfRule>
    <cfRule type="cellIs" dxfId="3152" priority="4120" operator="greaterThan">
      <formula>0</formula>
    </cfRule>
  </conditionalFormatting>
  <conditionalFormatting sqref="U365:U366">
    <cfRule type="iconSet" priority="4124">
      <iconSet iconSet="3Symbols" showValue="0" reverse="1">
        <cfvo type="percent" val="0"/>
        <cfvo type="num" val="1"/>
        <cfvo type="num" val="1.05"/>
      </iconSet>
    </cfRule>
  </conditionalFormatting>
  <conditionalFormatting sqref="P365:P366">
    <cfRule type="iconSet" priority="4125">
      <iconSet iconSet="3Symbols" showValue="0" reverse="1">
        <cfvo type="percent" val="0"/>
        <cfvo type="num" val="1"/>
        <cfvo type="num" val="1.05"/>
      </iconSet>
    </cfRule>
  </conditionalFormatting>
  <conditionalFormatting sqref="Q364">
    <cfRule type="iconSet" priority="4116">
      <iconSet iconSet="3Symbols" showValue="0" reverse="1">
        <cfvo type="percent" val="0"/>
        <cfvo type="num" val="1"/>
        <cfvo type="num" val="1.05"/>
      </iconSet>
    </cfRule>
  </conditionalFormatting>
  <conditionalFormatting sqref="N364">
    <cfRule type="cellIs" dxfId="3151" priority="4114" operator="lessThan">
      <formula>0</formula>
    </cfRule>
    <cfRule type="cellIs" dxfId="3150" priority="4115" operator="greaterThan">
      <formula>0</formula>
    </cfRule>
  </conditionalFormatting>
  <conditionalFormatting sqref="F364">
    <cfRule type="cellIs" dxfId="3149" priority="4112" operator="lessThan">
      <formula>0</formula>
    </cfRule>
    <cfRule type="cellIs" dxfId="3148" priority="4113" operator="greaterThan">
      <formula>0</formula>
    </cfRule>
  </conditionalFormatting>
  <conditionalFormatting sqref="U364">
    <cfRule type="iconSet" priority="4117">
      <iconSet iconSet="3Symbols" showValue="0" reverse="1">
        <cfvo type="percent" val="0"/>
        <cfvo type="num" val="1"/>
        <cfvo type="num" val="1.05"/>
      </iconSet>
    </cfRule>
  </conditionalFormatting>
  <conditionalFormatting sqref="P364">
    <cfRule type="iconSet" priority="4118">
      <iconSet iconSet="3Symbols" showValue="0" reverse="1">
        <cfvo type="percent" val="0"/>
        <cfvo type="num" val="1"/>
        <cfvo type="num" val="1.05"/>
      </iconSet>
    </cfRule>
  </conditionalFormatting>
  <conditionalFormatting sqref="Q363">
    <cfRule type="iconSet" priority="4109">
      <iconSet iconSet="3Symbols" showValue="0" reverse="1">
        <cfvo type="percent" val="0"/>
        <cfvo type="num" val="1"/>
        <cfvo type="num" val="1.05"/>
      </iconSet>
    </cfRule>
  </conditionalFormatting>
  <conditionalFormatting sqref="N363">
    <cfRule type="cellIs" dxfId="3147" priority="4107" operator="lessThan">
      <formula>0</formula>
    </cfRule>
    <cfRule type="cellIs" dxfId="3146" priority="4108" operator="greaterThan">
      <formula>0</formula>
    </cfRule>
  </conditionalFormatting>
  <conditionalFormatting sqref="F363">
    <cfRule type="cellIs" dxfId="3145" priority="4105" operator="lessThan">
      <formula>0</formula>
    </cfRule>
    <cfRule type="cellIs" dxfId="3144" priority="4106" operator="greaterThan">
      <formula>0</formula>
    </cfRule>
  </conditionalFormatting>
  <conditionalFormatting sqref="U363">
    <cfRule type="iconSet" priority="4110">
      <iconSet iconSet="3Symbols" showValue="0" reverse="1">
        <cfvo type="percent" val="0"/>
        <cfvo type="num" val="1"/>
        <cfvo type="num" val="1.05"/>
      </iconSet>
    </cfRule>
  </conditionalFormatting>
  <conditionalFormatting sqref="P363">
    <cfRule type="iconSet" priority="4111">
      <iconSet iconSet="3Symbols" showValue="0" reverse="1">
        <cfvo type="percent" val="0"/>
        <cfvo type="num" val="1"/>
        <cfvo type="num" val="1.05"/>
      </iconSet>
    </cfRule>
  </conditionalFormatting>
  <conditionalFormatting sqref="Q362">
    <cfRule type="iconSet" priority="4102">
      <iconSet iconSet="3Symbols" showValue="0" reverse="1">
        <cfvo type="percent" val="0"/>
        <cfvo type="num" val="1"/>
        <cfvo type="num" val="1.05"/>
      </iconSet>
    </cfRule>
  </conditionalFormatting>
  <conditionalFormatting sqref="N362">
    <cfRule type="cellIs" dxfId="3143" priority="4100" operator="lessThan">
      <formula>0</formula>
    </cfRule>
    <cfRule type="cellIs" dxfId="3142" priority="4101" operator="greaterThan">
      <formula>0</formula>
    </cfRule>
  </conditionalFormatting>
  <conditionalFormatting sqref="F362">
    <cfRule type="cellIs" dxfId="3141" priority="4098" operator="lessThan">
      <formula>0</formula>
    </cfRule>
    <cfRule type="cellIs" dxfId="3140" priority="4099" operator="greaterThan">
      <formula>0</formula>
    </cfRule>
  </conditionalFormatting>
  <conditionalFormatting sqref="U362">
    <cfRule type="iconSet" priority="4103">
      <iconSet iconSet="3Symbols" showValue="0" reverse="1">
        <cfvo type="percent" val="0"/>
        <cfvo type="num" val="1"/>
        <cfvo type="num" val="1.05"/>
      </iconSet>
    </cfRule>
  </conditionalFormatting>
  <conditionalFormatting sqref="P362">
    <cfRule type="iconSet" priority="4104">
      <iconSet iconSet="3Symbols" showValue="0" reverse="1">
        <cfvo type="percent" val="0"/>
        <cfvo type="num" val="1"/>
        <cfvo type="num" val="1.05"/>
      </iconSet>
    </cfRule>
  </conditionalFormatting>
  <conditionalFormatting sqref="Q361">
    <cfRule type="iconSet" priority="4095">
      <iconSet iconSet="3Symbols" showValue="0" reverse="1">
        <cfvo type="percent" val="0"/>
        <cfvo type="num" val="1"/>
        <cfvo type="num" val="1.05"/>
      </iconSet>
    </cfRule>
  </conditionalFormatting>
  <conditionalFormatting sqref="N361">
    <cfRule type="cellIs" dxfId="3139" priority="4093" operator="lessThan">
      <formula>0</formula>
    </cfRule>
    <cfRule type="cellIs" dxfId="3138" priority="4094" operator="greaterThan">
      <formula>0</formula>
    </cfRule>
  </conditionalFormatting>
  <conditionalFormatting sqref="F361">
    <cfRule type="cellIs" dxfId="3137" priority="4091" operator="lessThan">
      <formula>0</formula>
    </cfRule>
    <cfRule type="cellIs" dxfId="3136" priority="4092" operator="greaterThan">
      <formula>0</formula>
    </cfRule>
  </conditionalFormatting>
  <conditionalFormatting sqref="U361">
    <cfRule type="iconSet" priority="4096">
      <iconSet iconSet="3Symbols" showValue="0" reverse="1">
        <cfvo type="percent" val="0"/>
        <cfvo type="num" val="1"/>
        <cfvo type="num" val="1.05"/>
      </iconSet>
    </cfRule>
  </conditionalFormatting>
  <conditionalFormatting sqref="P361">
    <cfRule type="iconSet" priority="4097">
      <iconSet iconSet="3Symbols" showValue="0" reverse="1">
        <cfvo type="percent" val="0"/>
        <cfvo type="num" val="1"/>
        <cfvo type="num" val="1.05"/>
      </iconSet>
    </cfRule>
  </conditionalFormatting>
  <conditionalFormatting sqref="Q360">
    <cfRule type="iconSet" priority="4088">
      <iconSet iconSet="3Symbols" showValue="0" reverse="1">
        <cfvo type="percent" val="0"/>
        <cfvo type="num" val="1"/>
        <cfvo type="num" val="1.05"/>
      </iconSet>
    </cfRule>
  </conditionalFormatting>
  <conditionalFormatting sqref="N360">
    <cfRule type="cellIs" dxfId="3135" priority="4086" operator="lessThan">
      <formula>0</formula>
    </cfRule>
    <cfRule type="cellIs" dxfId="3134" priority="4087" operator="greaterThan">
      <formula>0</formula>
    </cfRule>
  </conditionalFormatting>
  <conditionalFormatting sqref="F360">
    <cfRule type="cellIs" dxfId="3133" priority="4084" operator="lessThan">
      <formula>0</formula>
    </cfRule>
    <cfRule type="cellIs" dxfId="3132" priority="4085" operator="greaterThan">
      <formula>0</formula>
    </cfRule>
  </conditionalFormatting>
  <conditionalFormatting sqref="U360">
    <cfRule type="iconSet" priority="4089">
      <iconSet iconSet="3Symbols" showValue="0" reverse="1">
        <cfvo type="percent" val="0"/>
        <cfvo type="num" val="1"/>
        <cfvo type="num" val="1.05"/>
      </iconSet>
    </cfRule>
  </conditionalFormatting>
  <conditionalFormatting sqref="P360">
    <cfRule type="iconSet" priority="4090">
      <iconSet iconSet="3Symbols" showValue="0" reverse="1">
        <cfvo type="percent" val="0"/>
        <cfvo type="num" val="1"/>
        <cfvo type="num" val="1.05"/>
      </iconSet>
    </cfRule>
  </conditionalFormatting>
  <conditionalFormatting sqref="Q359">
    <cfRule type="iconSet" priority="4081">
      <iconSet iconSet="3Symbols" showValue="0" reverse="1">
        <cfvo type="percent" val="0"/>
        <cfvo type="num" val="1"/>
        <cfvo type="num" val="1.05"/>
      </iconSet>
    </cfRule>
  </conditionalFormatting>
  <conditionalFormatting sqref="N359">
    <cfRule type="cellIs" dxfId="3131" priority="4079" operator="lessThan">
      <formula>0</formula>
    </cfRule>
    <cfRule type="cellIs" dxfId="3130" priority="4080" operator="greaterThan">
      <formula>0</formula>
    </cfRule>
  </conditionalFormatting>
  <conditionalFormatting sqref="F359">
    <cfRule type="cellIs" dxfId="3129" priority="4077" operator="lessThan">
      <formula>0</formula>
    </cfRule>
    <cfRule type="cellIs" dxfId="3128" priority="4078" operator="greaterThan">
      <formula>0</formula>
    </cfRule>
  </conditionalFormatting>
  <conditionalFormatting sqref="U359">
    <cfRule type="iconSet" priority="4082">
      <iconSet iconSet="3Symbols" showValue="0" reverse="1">
        <cfvo type="percent" val="0"/>
        <cfvo type="num" val="1"/>
        <cfvo type="num" val="1.05"/>
      </iconSet>
    </cfRule>
  </conditionalFormatting>
  <conditionalFormatting sqref="P359">
    <cfRule type="iconSet" priority="4083">
      <iconSet iconSet="3Symbols" showValue="0" reverse="1">
        <cfvo type="percent" val="0"/>
        <cfvo type="num" val="1"/>
        <cfvo type="num" val="1.05"/>
      </iconSet>
    </cfRule>
  </conditionalFormatting>
  <conditionalFormatting sqref="Q358">
    <cfRule type="iconSet" priority="4074">
      <iconSet iconSet="3Symbols" showValue="0" reverse="1">
        <cfvo type="percent" val="0"/>
        <cfvo type="num" val="1"/>
        <cfvo type="num" val="1.05"/>
      </iconSet>
    </cfRule>
  </conditionalFormatting>
  <conditionalFormatting sqref="N358">
    <cfRule type="cellIs" dxfId="3127" priority="4072" operator="lessThan">
      <formula>0</formula>
    </cfRule>
    <cfRule type="cellIs" dxfId="3126" priority="4073" operator="greaterThan">
      <formula>0</formula>
    </cfRule>
  </conditionalFormatting>
  <conditionalFormatting sqref="F358">
    <cfRule type="cellIs" dxfId="3125" priority="4070" operator="lessThan">
      <formula>0</formula>
    </cfRule>
    <cfRule type="cellIs" dxfId="3124" priority="4071" operator="greaterThan">
      <formula>0</formula>
    </cfRule>
  </conditionalFormatting>
  <conditionalFormatting sqref="U358">
    <cfRule type="iconSet" priority="4075">
      <iconSet iconSet="3Symbols" showValue="0" reverse="1">
        <cfvo type="percent" val="0"/>
        <cfvo type="num" val="1"/>
        <cfvo type="num" val="1.05"/>
      </iconSet>
    </cfRule>
  </conditionalFormatting>
  <conditionalFormatting sqref="P358">
    <cfRule type="iconSet" priority="4076">
      <iconSet iconSet="3Symbols" showValue="0" reverse="1">
        <cfvo type="percent" val="0"/>
        <cfvo type="num" val="1"/>
        <cfvo type="num" val="1.05"/>
      </iconSet>
    </cfRule>
  </conditionalFormatting>
  <conditionalFormatting sqref="Q357">
    <cfRule type="iconSet" priority="4067">
      <iconSet iconSet="3Symbols" showValue="0" reverse="1">
        <cfvo type="percent" val="0"/>
        <cfvo type="num" val="1"/>
        <cfvo type="num" val="1.05"/>
      </iconSet>
    </cfRule>
  </conditionalFormatting>
  <conditionalFormatting sqref="N357">
    <cfRule type="cellIs" dxfId="3123" priority="4065" operator="lessThan">
      <formula>0</formula>
    </cfRule>
    <cfRule type="cellIs" dxfId="3122" priority="4066" operator="greaterThan">
      <formula>0</formula>
    </cfRule>
  </conditionalFormatting>
  <conditionalFormatting sqref="F357">
    <cfRule type="cellIs" dxfId="3121" priority="4063" operator="lessThan">
      <formula>0</formula>
    </cfRule>
    <cfRule type="cellIs" dxfId="3120" priority="4064" operator="greaterThan">
      <formula>0</formula>
    </cfRule>
  </conditionalFormatting>
  <conditionalFormatting sqref="U357">
    <cfRule type="iconSet" priority="4068">
      <iconSet iconSet="3Symbols" showValue="0" reverse="1">
        <cfvo type="percent" val="0"/>
        <cfvo type="num" val="1"/>
        <cfvo type="num" val="1.05"/>
      </iconSet>
    </cfRule>
  </conditionalFormatting>
  <conditionalFormatting sqref="P357">
    <cfRule type="iconSet" priority="4069">
      <iconSet iconSet="3Symbols" showValue="0" reverse="1">
        <cfvo type="percent" val="0"/>
        <cfvo type="num" val="1"/>
        <cfvo type="num" val="1.05"/>
      </iconSet>
    </cfRule>
  </conditionalFormatting>
  <conditionalFormatting sqref="Q356">
    <cfRule type="iconSet" priority="4060">
      <iconSet iconSet="3Symbols" showValue="0" reverse="1">
        <cfvo type="percent" val="0"/>
        <cfvo type="num" val="1"/>
        <cfvo type="num" val="1.05"/>
      </iconSet>
    </cfRule>
  </conditionalFormatting>
  <conditionalFormatting sqref="N356">
    <cfRule type="cellIs" dxfId="3119" priority="4058" operator="lessThan">
      <formula>0</formula>
    </cfRule>
    <cfRule type="cellIs" dxfId="3118" priority="4059" operator="greaterThan">
      <formula>0</formula>
    </cfRule>
  </conditionalFormatting>
  <conditionalFormatting sqref="F356">
    <cfRule type="cellIs" dxfId="3117" priority="4056" operator="lessThan">
      <formula>0</formula>
    </cfRule>
    <cfRule type="cellIs" dxfId="3116" priority="4057" operator="greaterThan">
      <formula>0</formula>
    </cfRule>
  </conditionalFormatting>
  <conditionalFormatting sqref="U356">
    <cfRule type="iconSet" priority="4061">
      <iconSet iconSet="3Symbols" showValue="0" reverse="1">
        <cfvo type="percent" val="0"/>
        <cfvo type="num" val="1"/>
        <cfvo type="num" val="1.05"/>
      </iconSet>
    </cfRule>
  </conditionalFormatting>
  <conditionalFormatting sqref="P356">
    <cfRule type="iconSet" priority="4062">
      <iconSet iconSet="3Symbols" showValue="0" reverse="1">
        <cfvo type="percent" val="0"/>
        <cfvo type="num" val="1"/>
        <cfvo type="num" val="1.05"/>
      </iconSet>
    </cfRule>
  </conditionalFormatting>
  <conditionalFormatting sqref="Q355">
    <cfRule type="iconSet" priority="4053">
      <iconSet iconSet="3Symbols" showValue="0" reverse="1">
        <cfvo type="percent" val="0"/>
        <cfvo type="num" val="1"/>
        <cfvo type="num" val="1.05"/>
      </iconSet>
    </cfRule>
  </conditionalFormatting>
  <conditionalFormatting sqref="N355">
    <cfRule type="cellIs" dxfId="3115" priority="4051" operator="lessThan">
      <formula>0</formula>
    </cfRule>
    <cfRule type="cellIs" dxfId="3114" priority="4052" operator="greaterThan">
      <formula>0</formula>
    </cfRule>
  </conditionalFormatting>
  <conditionalFormatting sqref="F355">
    <cfRule type="cellIs" dxfId="3113" priority="4049" operator="lessThan">
      <formula>0</formula>
    </cfRule>
    <cfRule type="cellIs" dxfId="3112" priority="4050" operator="greaterThan">
      <formula>0</formula>
    </cfRule>
  </conditionalFormatting>
  <conditionalFormatting sqref="U355">
    <cfRule type="iconSet" priority="4054">
      <iconSet iconSet="3Symbols" showValue="0" reverse="1">
        <cfvo type="percent" val="0"/>
        <cfvo type="num" val="1"/>
        <cfvo type="num" val="1.05"/>
      </iconSet>
    </cfRule>
  </conditionalFormatting>
  <conditionalFormatting sqref="P355">
    <cfRule type="iconSet" priority="4055">
      <iconSet iconSet="3Symbols" showValue="0" reverse="1">
        <cfvo type="percent" val="0"/>
        <cfvo type="num" val="1"/>
        <cfvo type="num" val="1.05"/>
      </iconSet>
    </cfRule>
  </conditionalFormatting>
  <conditionalFormatting sqref="Q354">
    <cfRule type="iconSet" priority="4046">
      <iconSet iconSet="3Symbols" showValue="0" reverse="1">
        <cfvo type="percent" val="0"/>
        <cfvo type="num" val="1"/>
        <cfvo type="num" val="1.05"/>
      </iconSet>
    </cfRule>
  </conditionalFormatting>
  <conditionalFormatting sqref="N354">
    <cfRule type="cellIs" dxfId="3111" priority="4044" operator="lessThan">
      <formula>0</formula>
    </cfRule>
    <cfRule type="cellIs" dxfId="3110" priority="4045" operator="greaterThan">
      <formula>0</formula>
    </cfRule>
  </conditionalFormatting>
  <conditionalFormatting sqref="F354">
    <cfRule type="cellIs" dxfId="3109" priority="4042" operator="lessThan">
      <formula>0</formula>
    </cfRule>
    <cfRule type="cellIs" dxfId="3108" priority="4043" operator="greaterThan">
      <formula>0</formula>
    </cfRule>
  </conditionalFormatting>
  <conditionalFormatting sqref="U354">
    <cfRule type="iconSet" priority="4047">
      <iconSet iconSet="3Symbols" showValue="0" reverse="1">
        <cfvo type="percent" val="0"/>
        <cfvo type="num" val="1"/>
        <cfvo type="num" val="1.05"/>
      </iconSet>
    </cfRule>
  </conditionalFormatting>
  <conditionalFormatting sqref="P354">
    <cfRule type="iconSet" priority="4048">
      <iconSet iconSet="3Symbols" showValue="0" reverse="1">
        <cfvo type="percent" val="0"/>
        <cfvo type="num" val="1"/>
        <cfvo type="num" val="1.05"/>
      </iconSet>
    </cfRule>
  </conditionalFormatting>
  <conditionalFormatting sqref="Q352:Q353">
    <cfRule type="iconSet" priority="4039">
      <iconSet iconSet="3Symbols" showValue="0" reverse="1">
        <cfvo type="percent" val="0"/>
        <cfvo type="num" val="1"/>
        <cfvo type="num" val="1.05"/>
      </iconSet>
    </cfRule>
  </conditionalFormatting>
  <conditionalFormatting sqref="N352:N353">
    <cfRule type="cellIs" dxfId="3107" priority="4037" operator="lessThan">
      <formula>0</formula>
    </cfRule>
    <cfRule type="cellIs" dxfId="3106" priority="4038" operator="greaterThan">
      <formula>0</formula>
    </cfRule>
  </conditionalFormatting>
  <conditionalFormatting sqref="F352:F353">
    <cfRule type="cellIs" dxfId="3105" priority="4035" operator="lessThan">
      <formula>0</formula>
    </cfRule>
    <cfRule type="cellIs" dxfId="3104" priority="4036" operator="greaterThan">
      <formula>0</formula>
    </cfRule>
  </conditionalFormatting>
  <conditionalFormatting sqref="U352:U353">
    <cfRule type="iconSet" priority="4040">
      <iconSet iconSet="3Symbols" showValue="0" reverse="1">
        <cfvo type="percent" val="0"/>
        <cfvo type="num" val="1"/>
        <cfvo type="num" val="1.05"/>
      </iconSet>
    </cfRule>
  </conditionalFormatting>
  <conditionalFormatting sqref="P352:P353">
    <cfRule type="iconSet" priority="4041">
      <iconSet iconSet="3Symbols" showValue="0" reverse="1">
        <cfvo type="percent" val="0"/>
        <cfvo type="num" val="1"/>
        <cfvo type="num" val="1.05"/>
      </iconSet>
    </cfRule>
  </conditionalFormatting>
  <conditionalFormatting sqref="Q351">
    <cfRule type="iconSet" priority="4032">
      <iconSet iconSet="3Symbols" showValue="0" reverse="1">
        <cfvo type="percent" val="0"/>
        <cfvo type="num" val="1"/>
        <cfvo type="num" val="1.05"/>
      </iconSet>
    </cfRule>
  </conditionalFormatting>
  <conditionalFormatting sqref="N351">
    <cfRule type="cellIs" dxfId="3103" priority="4030" operator="lessThan">
      <formula>0</formula>
    </cfRule>
    <cfRule type="cellIs" dxfId="3102" priority="4031" operator="greaterThan">
      <formula>0</formula>
    </cfRule>
  </conditionalFormatting>
  <conditionalFormatting sqref="F351">
    <cfRule type="cellIs" dxfId="3101" priority="4028" operator="lessThan">
      <formula>0</formula>
    </cfRule>
    <cfRule type="cellIs" dxfId="3100" priority="4029" operator="greaterThan">
      <formula>0</formula>
    </cfRule>
  </conditionalFormatting>
  <conditionalFormatting sqref="U351">
    <cfRule type="iconSet" priority="4033">
      <iconSet iconSet="3Symbols" showValue="0" reverse="1">
        <cfvo type="percent" val="0"/>
        <cfvo type="num" val="1"/>
        <cfvo type="num" val="1.05"/>
      </iconSet>
    </cfRule>
  </conditionalFormatting>
  <conditionalFormatting sqref="P351">
    <cfRule type="iconSet" priority="4034">
      <iconSet iconSet="3Symbols" showValue="0" reverse="1">
        <cfvo type="percent" val="0"/>
        <cfvo type="num" val="1"/>
        <cfvo type="num" val="1.05"/>
      </iconSet>
    </cfRule>
  </conditionalFormatting>
  <conditionalFormatting sqref="Q350">
    <cfRule type="iconSet" priority="4025">
      <iconSet iconSet="3Symbols" showValue="0" reverse="1">
        <cfvo type="percent" val="0"/>
        <cfvo type="num" val="1"/>
        <cfvo type="num" val="1.05"/>
      </iconSet>
    </cfRule>
  </conditionalFormatting>
  <conditionalFormatting sqref="N350">
    <cfRule type="cellIs" dxfId="3099" priority="4023" operator="lessThan">
      <formula>0</formula>
    </cfRule>
    <cfRule type="cellIs" dxfId="3098" priority="4024" operator="greaterThan">
      <formula>0</formula>
    </cfRule>
  </conditionalFormatting>
  <conditionalFormatting sqref="F350">
    <cfRule type="cellIs" dxfId="3097" priority="4021" operator="lessThan">
      <formula>0</formula>
    </cfRule>
    <cfRule type="cellIs" dxfId="3096" priority="4022" operator="greaterThan">
      <formula>0</formula>
    </cfRule>
  </conditionalFormatting>
  <conditionalFormatting sqref="U350">
    <cfRule type="iconSet" priority="4026">
      <iconSet iconSet="3Symbols" showValue="0" reverse="1">
        <cfvo type="percent" val="0"/>
        <cfvo type="num" val="1"/>
        <cfvo type="num" val="1.05"/>
      </iconSet>
    </cfRule>
  </conditionalFormatting>
  <conditionalFormatting sqref="P350">
    <cfRule type="iconSet" priority="4027">
      <iconSet iconSet="3Symbols" showValue="0" reverse="1">
        <cfvo type="percent" val="0"/>
        <cfvo type="num" val="1"/>
        <cfvo type="num" val="1.05"/>
      </iconSet>
    </cfRule>
  </conditionalFormatting>
  <conditionalFormatting sqref="Q349">
    <cfRule type="iconSet" priority="4018">
      <iconSet iconSet="3Symbols" showValue="0" reverse="1">
        <cfvo type="percent" val="0"/>
        <cfvo type="num" val="1"/>
        <cfvo type="num" val="1.05"/>
      </iconSet>
    </cfRule>
  </conditionalFormatting>
  <conditionalFormatting sqref="N349">
    <cfRule type="cellIs" dxfId="3095" priority="4016" operator="lessThan">
      <formula>0</formula>
    </cfRule>
    <cfRule type="cellIs" dxfId="3094" priority="4017" operator="greaterThan">
      <formula>0</formula>
    </cfRule>
  </conditionalFormatting>
  <conditionalFormatting sqref="F349">
    <cfRule type="cellIs" dxfId="3093" priority="4014" operator="lessThan">
      <formula>0</formula>
    </cfRule>
    <cfRule type="cellIs" dxfId="3092" priority="4015" operator="greaterThan">
      <formula>0</formula>
    </cfRule>
  </conditionalFormatting>
  <conditionalFormatting sqref="U349">
    <cfRule type="iconSet" priority="4019">
      <iconSet iconSet="3Symbols" showValue="0" reverse="1">
        <cfvo type="percent" val="0"/>
        <cfvo type="num" val="1"/>
        <cfvo type="num" val="1.05"/>
      </iconSet>
    </cfRule>
  </conditionalFormatting>
  <conditionalFormatting sqref="P349">
    <cfRule type="iconSet" priority="4020">
      <iconSet iconSet="3Symbols" showValue="0" reverse="1">
        <cfvo type="percent" val="0"/>
        <cfvo type="num" val="1"/>
        <cfvo type="num" val="1.05"/>
      </iconSet>
    </cfRule>
  </conditionalFormatting>
  <conditionalFormatting sqref="Q348">
    <cfRule type="iconSet" priority="4011">
      <iconSet iconSet="3Symbols" showValue="0" reverse="1">
        <cfvo type="percent" val="0"/>
        <cfvo type="num" val="1"/>
        <cfvo type="num" val="1.05"/>
      </iconSet>
    </cfRule>
  </conditionalFormatting>
  <conditionalFormatting sqref="N348">
    <cfRule type="cellIs" dxfId="3091" priority="4009" operator="lessThan">
      <formula>0</formula>
    </cfRule>
    <cfRule type="cellIs" dxfId="3090" priority="4010" operator="greaterThan">
      <formula>0</formula>
    </cfRule>
  </conditionalFormatting>
  <conditionalFormatting sqref="F348">
    <cfRule type="cellIs" dxfId="3089" priority="4007" operator="lessThan">
      <formula>0</formula>
    </cfRule>
    <cfRule type="cellIs" dxfId="3088" priority="4008" operator="greaterThan">
      <formula>0</formula>
    </cfRule>
  </conditionalFormatting>
  <conditionalFormatting sqref="U348">
    <cfRule type="iconSet" priority="4012">
      <iconSet iconSet="3Symbols" showValue="0" reverse="1">
        <cfvo type="percent" val="0"/>
        <cfvo type="num" val="1"/>
        <cfvo type="num" val="1.05"/>
      </iconSet>
    </cfRule>
  </conditionalFormatting>
  <conditionalFormatting sqref="P348">
    <cfRule type="iconSet" priority="4013">
      <iconSet iconSet="3Symbols" showValue="0" reverse="1">
        <cfvo type="percent" val="0"/>
        <cfvo type="num" val="1"/>
        <cfvo type="num" val="1.05"/>
      </iconSet>
    </cfRule>
  </conditionalFormatting>
  <conditionalFormatting sqref="Q347">
    <cfRule type="iconSet" priority="4004">
      <iconSet iconSet="3Symbols" showValue="0" reverse="1">
        <cfvo type="percent" val="0"/>
        <cfvo type="num" val="1"/>
        <cfvo type="num" val="1.05"/>
      </iconSet>
    </cfRule>
  </conditionalFormatting>
  <conditionalFormatting sqref="N347">
    <cfRule type="cellIs" dxfId="3087" priority="4002" operator="lessThan">
      <formula>0</formula>
    </cfRule>
    <cfRule type="cellIs" dxfId="3086" priority="4003" operator="greaterThan">
      <formula>0</formula>
    </cfRule>
  </conditionalFormatting>
  <conditionalFormatting sqref="F347">
    <cfRule type="cellIs" dxfId="3085" priority="4000" operator="lessThan">
      <formula>0</formula>
    </cfRule>
    <cfRule type="cellIs" dxfId="3084" priority="4001" operator="greaterThan">
      <formula>0</formula>
    </cfRule>
  </conditionalFormatting>
  <conditionalFormatting sqref="U347">
    <cfRule type="iconSet" priority="4005">
      <iconSet iconSet="3Symbols" showValue="0" reverse="1">
        <cfvo type="percent" val="0"/>
        <cfvo type="num" val="1"/>
        <cfvo type="num" val="1.05"/>
      </iconSet>
    </cfRule>
  </conditionalFormatting>
  <conditionalFormatting sqref="P347">
    <cfRule type="iconSet" priority="4006">
      <iconSet iconSet="3Symbols" showValue="0" reverse="1">
        <cfvo type="percent" val="0"/>
        <cfvo type="num" val="1"/>
        <cfvo type="num" val="1.05"/>
      </iconSet>
    </cfRule>
  </conditionalFormatting>
  <conditionalFormatting sqref="Q346">
    <cfRule type="iconSet" priority="3997">
      <iconSet iconSet="3Symbols" showValue="0" reverse="1">
        <cfvo type="percent" val="0"/>
        <cfvo type="num" val="1"/>
        <cfvo type="num" val="1.05"/>
      </iconSet>
    </cfRule>
  </conditionalFormatting>
  <conditionalFormatting sqref="N346">
    <cfRule type="cellIs" dxfId="3083" priority="3995" operator="lessThan">
      <formula>0</formula>
    </cfRule>
    <cfRule type="cellIs" dxfId="3082" priority="3996" operator="greaterThan">
      <formula>0</formula>
    </cfRule>
  </conditionalFormatting>
  <conditionalFormatting sqref="F346">
    <cfRule type="cellIs" dxfId="3081" priority="3993" operator="lessThan">
      <formula>0</formula>
    </cfRule>
    <cfRule type="cellIs" dxfId="3080" priority="3994" operator="greaterThan">
      <formula>0</formula>
    </cfRule>
  </conditionalFormatting>
  <conditionalFormatting sqref="U346">
    <cfRule type="iconSet" priority="3998">
      <iconSet iconSet="3Symbols" showValue="0" reverse="1">
        <cfvo type="percent" val="0"/>
        <cfvo type="num" val="1"/>
        <cfvo type="num" val="1.05"/>
      </iconSet>
    </cfRule>
  </conditionalFormatting>
  <conditionalFormatting sqref="P346">
    <cfRule type="iconSet" priority="3999">
      <iconSet iconSet="3Symbols" showValue="0" reverse="1">
        <cfvo type="percent" val="0"/>
        <cfvo type="num" val="1"/>
        <cfvo type="num" val="1.05"/>
      </iconSet>
    </cfRule>
  </conditionalFormatting>
  <conditionalFormatting sqref="Q345">
    <cfRule type="iconSet" priority="3990">
      <iconSet iconSet="3Symbols" showValue="0" reverse="1">
        <cfvo type="percent" val="0"/>
        <cfvo type="num" val="1"/>
        <cfvo type="num" val="1.05"/>
      </iconSet>
    </cfRule>
  </conditionalFormatting>
  <conditionalFormatting sqref="N345">
    <cfRule type="cellIs" dxfId="3079" priority="3988" operator="lessThan">
      <formula>0</formula>
    </cfRule>
    <cfRule type="cellIs" dxfId="3078" priority="3989" operator="greaterThan">
      <formula>0</formula>
    </cfRule>
  </conditionalFormatting>
  <conditionalFormatting sqref="F345">
    <cfRule type="cellIs" dxfId="3077" priority="3986" operator="lessThan">
      <formula>0</formula>
    </cfRule>
    <cfRule type="cellIs" dxfId="3076" priority="3987" operator="greaterThan">
      <formula>0</formula>
    </cfRule>
  </conditionalFormatting>
  <conditionalFormatting sqref="U345">
    <cfRule type="iconSet" priority="3991">
      <iconSet iconSet="3Symbols" showValue="0" reverse="1">
        <cfvo type="percent" val="0"/>
        <cfvo type="num" val="1"/>
        <cfvo type="num" val="1.05"/>
      </iconSet>
    </cfRule>
  </conditionalFormatting>
  <conditionalFormatting sqref="P345">
    <cfRule type="iconSet" priority="3992">
      <iconSet iconSet="3Symbols" showValue="0" reverse="1">
        <cfvo type="percent" val="0"/>
        <cfvo type="num" val="1"/>
        <cfvo type="num" val="1.05"/>
      </iconSet>
    </cfRule>
  </conditionalFormatting>
  <conditionalFormatting sqref="Q344">
    <cfRule type="iconSet" priority="3983">
      <iconSet iconSet="3Symbols" showValue="0" reverse="1">
        <cfvo type="percent" val="0"/>
        <cfvo type="num" val="1"/>
        <cfvo type="num" val="1.05"/>
      </iconSet>
    </cfRule>
  </conditionalFormatting>
  <conditionalFormatting sqref="N344">
    <cfRule type="cellIs" dxfId="3075" priority="3981" operator="lessThan">
      <formula>0</formula>
    </cfRule>
    <cfRule type="cellIs" dxfId="3074" priority="3982" operator="greaterThan">
      <formula>0</formula>
    </cfRule>
  </conditionalFormatting>
  <conditionalFormatting sqref="F344">
    <cfRule type="cellIs" dxfId="3073" priority="3979" operator="lessThan">
      <formula>0</formula>
    </cfRule>
    <cfRule type="cellIs" dxfId="3072" priority="3980" operator="greaterThan">
      <formula>0</formula>
    </cfRule>
  </conditionalFormatting>
  <conditionalFormatting sqref="U344">
    <cfRule type="iconSet" priority="3984">
      <iconSet iconSet="3Symbols" showValue="0" reverse="1">
        <cfvo type="percent" val="0"/>
        <cfvo type="num" val="1"/>
        <cfvo type="num" val="1.05"/>
      </iconSet>
    </cfRule>
  </conditionalFormatting>
  <conditionalFormatting sqref="P344">
    <cfRule type="iconSet" priority="3985">
      <iconSet iconSet="3Symbols" showValue="0" reverse="1">
        <cfvo type="percent" val="0"/>
        <cfvo type="num" val="1"/>
        <cfvo type="num" val="1.05"/>
      </iconSet>
    </cfRule>
  </conditionalFormatting>
  <conditionalFormatting sqref="Q343">
    <cfRule type="iconSet" priority="3976">
      <iconSet iconSet="3Symbols" showValue="0" reverse="1">
        <cfvo type="percent" val="0"/>
        <cfvo type="num" val="1"/>
        <cfvo type="num" val="1.05"/>
      </iconSet>
    </cfRule>
  </conditionalFormatting>
  <conditionalFormatting sqref="N343">
    <cfRule type="cellIs" dxfId="3071" priority="3974" operator="lessThan">
      <formula>0</formula>
    </cfRule>
    <cfRule type="cellIs" dxfId="3070" priority="3975" operator="greaterThan">
      <formula>0</formula>
    </cfRule>
  </conditionalFormatting>
  <conditionalFormatting sqref="F343">
    <cfRule type="cellIs" dxfId="3069" priority="3972" operator="lessThan">
      <formula>0</formula>
    </cfRule>
    <cfRule type="cellIs" dxfId="3068" priority="3973" operator="greaterThan">
      <formula>0</formula>
    </cfRule>
  </conditionalFormatting>
  <conditionalFormatting sqref="U343">
    <cfRule type="iconSet" priority="3977">
      <iconSet iconSet="3Symbols" showValue="0" reverse="1">
        <cfvo type="percent" val="0"/>
        <cfvo type="num" val="1"/>
        <cfvo type="num" val="1.05"/>
      </iconSet>
    </cfRule>
  </conditionalFormatting>
  <conditionalFormatting sqref="P343">
    <cfRule type="iconSet" priority="3978">
      <iconSet iconSet="3Symbols" showValue="0" reverse="1">
        <cfvo type="percent" val="0"/>
        <cfvo type="num" val="1"/>
        <cfvo type="num" val="1.05"/>
      </iconSet>
    </cfRule>
  </conditionalFormatting>
  <conditionalFormatting sqref="Q342">
    <cfRule type="iconSet" priority="3969">
      <iconSet iconSet="3Symbols" showValue="0" reverse="1">
        <cfvo type="percent" val="0"/>
        <cfvo type="num" val="1"/>
        <cfvo type="num" val="1.05"/>
      </iconSet>
    </cfRule>
  </conditionalFormatting>
  <conditionalFormatting sqref="N342">
    <cfRule type="cellIs" dxfId="3067" priority="3967" operator="lessThan">
      <formula>0</formula>
    </cfRule>
    <cfRule type="cellIs" dxfId="3066" priority="3968" operator="greaterThan">
      <formula>0</formula>
    </cfRule>
  </conditionalFormatting>
  <conditionalFormatting sqref="F342">
    <cfRule type="cellIs" dxfId="3065" priority="3965" operator="lessThan">
      <formula>0</formula>
    </cfRule>
    <cfRule type="cellIs" dxfId="3064" priority="3966" operator="greaterThan">
      <formula>0</formula>
    </cfRule>
  </conditionalFormatting>
  <conditionalFormatting sqref="U342">
    <cfRule type="iconSet" priority="3970">
      <iconSet iconSet="3Symbols" showValue="0" reverse="1">
        <cfvo type="percent" val="0"/>
        <cfvo type="num" val="1"/>
        <cfvo type="num" val="1.05"/>
      </iconSet>
    </cfRule>
  </conditionalFormatting>
  <conditionalFormatting sqref="P342">
    <cfRule type="iconSet" priority="3971">
      <iconSet iconSet="3Symbols" showValue="0" reverse="1">
        <cfvo type="percent" val="0"/>
        <cfvo type="num" val="1"/>
        <cfvo type="num" val="1.05"/>
      </iconSet>
    </cfRule>
  </conditionalFormatting>
  <conditionalFormatting sqref="Q341">
    <cfRule type="iconSet" priority="3962">
      <iconSet iconSet="3Symbols" showValue="0" reverse="1">
        <cfvo type="percent" val="0"/>
        <cfvo type="num" val="1"/>
        <cfvo type="num" val="1.05"/>
      </iconSet>
    </cfRule>
  </conditionalFormatting>
  <conditionalFormatting sqref="N341">
    <cfRule type="cellIs" dxfId="3063" priority="3960" operator="lessThan">
      <formula>0</formula>
    </cfRule>
    <cfRule type="cellIs" dxfId="3062" priority="3961" operator="greaterThan">
      <formula>0</formula>
    </cfRule>
  </conditionalFormatting>
  <conditionalFormatting sqref="F341">
    <cfRule type="cellIs" dxfId="3061" priority="3958" operator="lessThan">
      <formula>0</formula>
    </cfRule>
    <cfRule type="cellIs" dxfId="3060" priority="3959" operator="greaterThan">
      <formula>0</formula>
    </cfRule>
  </conditionalFormatting>
  <conditionalFormatting sqref="U341">
    <cfRule type="iconSet" priority="3963">
      <iconSet iconSet="3Symbols" showValue="0" reverse="1">
        <cfvo type="percent" val="0"/>
        <cfvo type="num" val="1"/>
        <cfvo type="num" val="1.05"/>
      </iconSet>
    </cfRule>
  </conditionalFormatting>
  <conditionalFormatting sqref="P341">
    <cfRule type="iconSet" priority="3964">
      <iconSet iconSet="3Symbols" showValue="0" reverse="1">
        <cfvo type="percent" val="0"/>
        <cfvo type="num" val="1"/>
        <cfvo type="num" val="1.05"/>
      </iconSet>
    </cfRule>
  </conditionalFormatting>
  <conditionalFormatting sqref="Q339:Q340">
    <cfRule type="iconSet" priority="3955">
      <iconSet iconSet="3Symbols" showValue="0" reverse="1">
        <cfvo type="percent" val="0"/>
        <cfvo type="num" val="1"/>
        <cfvo type="num" val="1.05"/>
      </iconSet>
    </cfRule>
  </conditionalFormatting>
  <conditionalFormatting sqref="N339:N340">
    <cfRule type="cellIs" dxfId="3059" priority="3953" operator="lessThan">
      <formula>0</formula>
    </cfRule>
    <cfRule type="cellIs" dxfId="3058" priority="3954" operator="greaterThan">
      <formula>0</formula>
    </cfRule>
  </conditionalFormatting>
  <conditionalFormatting sqref="F339:F340">
    <cfRule type="cellIs" dxfId="3057" priority="3951" operator="lessThan">
      <formula>0</formula>
    </cfRule>
    <cfRule type="cellIs" dxfId="3056" priority="3952" operator="greaterThan">
      <formula>0</formula>
    </cfRule>
  </conditionalFormatting>
  <conditionalFormatting sqref="U339:U340">
    <cfRule type="iconSet" priority="3956">
      <iconSet iconSet="3Symbols" showValue="0" reverse="1">
        <cfvo type="percent" val="0"/>
        <cfvo type="num" val="1"/>
        <cfvo type="num" val="1.05"/>
      </iconSet>
    </cfRule>
  </conditionalFormatting>
  <conditionalFormatting sqref="P339:P340">
    <cfRule type="iconSet" priority="3957">
      <iconSet iconSet="3Symbols" showValue="0" reverse="1">
        <cfvo type="percent" val="0"/>
        <cfvo type="num" val="1"/>
        <cfvo type="num" val="1.05"/>
      </iconSet>
    </cfRule>
  </conditionalFormatting>
  <conditionalFormatting sqref="Q338">
    <cfRule type="iconSet" priority="3948">
      <iconSet iconSet="3Symbols" showValue="0" reverse="1">
        <cfvo type="percent" val="0"/>
        <cfvo type="num" val="1"/>
        <cfvo type="num" val="1.05"/>
      </iconSet>
    </cfRule>
  </conditionalFormatting>
  <conditionalFormatting sqref="N338">
    <cfRule type="cellIs" dxfId="3055" priority="3946" operator="lessThan">
      <formula>0</formula>
    </cfRule>
    <cfRule type="cellIs" dxfId="3054" priority="3947" operator="greaterThan">
      <formula>0</formula>
    </cfRule>
  </conditionalFormatting>
  <conditionalFormatting sqref="F338">
    <cfRule type="cellIs" dxfId="3053" priority="3944" operator="lessThan">
      <formula>0</formula>
    </cfRule>
    <cfRule type="cellIs" dxfId="3052" priority="3945" operator="greaterThan">
      <formula>0</formula>
    </cfRule>
  </conditionalFormatting>
  <conditionalFormatting sqref="U338">
    <cfRule type="iconSet" priority="3949">
      <iconSet iconSet="3Symbols" showValue="0" reverse="1">
        <cfvo type="percent" val="0"/>
        <cfvo type="num" val="1"/>
        <cfvo type="num" val="1.05"/>
      </iconSet>
    </cfRule>
  </conditionalFormatting>
  <conditionalFormatting sqref="P338">
    <cfRule type="iconSet" priority="3950">
      <iconSet iconSet="3Symbols" showValue="0" reverse="1">
        <cfvo type="percent" val="0"/>
        <cfvo type="num" val="1"/>
        <cfvo type="num" val="1.05"/>
      </iconSet>
    </cfRule>
  </conditionalFormatting>
  <conditionalFormatting sqref="Q337">
    <cfRule type="iconSet" priority="3941">
      <iconSet iconSet="3Symbols" showValue="0" reverse="1">
        <cfvo type="percent" val="0"/>
        <cfvo type="num" val="1"/>
        <cfvo type="num" val="1.05"/>
      </iconSet>
    </cfRule>
  </conditionalFormatting>
  <conditionalFormatting sqref="N337">
    <cfRule type="cellIs" dxfId="3051" priority="3939" operator="lessThan">
      <formula>0</formula>
    </cfRule>
    <cfRule type="cellIs" dxfId="3050" priority="3940" operator="greaterThan">
      <formula>0</formula>
    </cfRule>
  </conditionalFormatting>
  <conditionalFormatting sqref="F337">
    <cfRule type="cellIs" dxfId="3049" priority="3937" operator="lessThan">
      <formula>0</formula>
    </cfRule>
    <cfRule type="cellIs" dxfId="3048" priority="3938" operator="greaterThan">
      <formula>0</formula>
    </cfRule>
  </conditionalFormatting>
  <conditionalFormatting sqref="U337">
    <cfRule type="iconSet" priority="3942">
      <iconSet iconSet="3Symbols" showValue="0" reverse="1">
        <cfvo type="percent" val="0"/>
        <cfvo type="num" val="1"/>
        <cfvo type="num" val="1.05"/>
      </iconSet>
    </cfRule>
  </conditionalFormatting>
  <conditionalFormatting sqref="P337">
    <cfRule type="iconSet" priority="3943">
      <iconSet iconSet="3Symbols" showValue="0" reverse="1">
        <cfvo type="percent" val="0"/>
        <cfvo type="num" val="1"/>
        <cfvo type="num" val="1.05"/>
      </iconSet>
    </cfRule>
  </conditionalFormatting>
  <conditionalFormatting sqref="Q336">
    <cfRule type="iconSet" priority="3934">
      <iconSet iconSet="3Symbols" showValue="0" reverse="1">
        <cfvo type="percent" val="0"/>
        <cfvo type="num" val="1"/>
        <cfvo type="num" val="1.05"/>
      </iconSet>
    </cfRule>
  </conditionalFormatting>
  <conditionalFormatting sqref="N336">
    <cfRule type="cellIs" dxfId="3047" priority="3932" operator="lessThan">
      <formula>0</formula>
    </cfRule>
    <cfRule type="cellIs" dxfId="3046" priority="3933" operator="greaterThan">
      <formula>0</formula>
    </cfRule>
  </conditionalFormatting>
  <conditionalFormatting sqref="F336">
    <cfRule type="cellIs" dxfId="3045" priority="3930" operator="lessThan">
      <formula>0</formula>
    </cfRule>
    <cfRule type="cellIs" dxfId="3044" priority="3931" operator="greaterThan">
      <formula>0</formula>
    </cfRule>
  </conditionalFormatting>
  <conditionalFormatting sqref="U336">
    <cfRule type="iconSet" priority="3935">
      <iconSet iconSet="3Symbols" showValue="0" reverse="1">
        <cfvo type="percent" val="0"/>
        <cfvo type="num" val="1"/>
        <cfvo type="num" val="1.05"/>
      </iconSet>
    </cfRule>
  </conditionalFormatting>
  <conditionalFormatting sqref="P336">
    <cfRule type="iconSet" priority="3936">
      <iconSet iconSet="3Symbols" showValue="0" reverse="1">
        <cfvo type="percent" val="0"/>
        <cfvo type="num" val="1"/>
        <cfvo type="num" val="1.05"/>
      </iconSet>
    </cfRule>
  </conditionalFormatting>
  <conditionalFormatting sqref="Q335">
    <cfRule type="iconSet" priority="3927">
      <iconSet iconSet="3Symbols" showValue="0" reverse="1">
        <cfvo type="percent" val="0"/>
        <cfvo type="num" val="1"/>
        <cfvo type="num" val="1.05"/>
      </iconSet>
    </cfRule>
  </conditionalFormatting>
  <conditionalFormatting sqref="N335">
    <cfRule type="cellIs" dxfId="3043" priority="3925" operator="lessThan">
      <formula>0</formula>
    </cfRule>
    <cfRule type="cellIs" dxfId="3042" priority="3926" operator="greaterThan">
      <formula>0</formula>
    </cfRule>
  </conditionalFormatting>
  <conditionalFormatting sqref="F335">
    <cfRule type="cellIs" dxfId="3041" priority="3923" operator="lessThan">
      <formula>0</formula>
    </cfRule>
    <cfRule type="cellIs" dxfId="3040" priority="3924" operator="greaterThan">
      <formula>0</formula>
    </cfRule>
  </conditionalFormatting>
  <conditionalFormatting sqref="U335">
    <cfRule type="iconSet" priority="3928">
      <iconSet iconSet="3Symbols" showValue="0" reverse="1">
        <cfvo type="percent" val="0"/>
        <cfvo type="num" val="1"/>
        <cfvo type="num" val="1.05"/>
      </iconSet>
    </cfRule>
  </conditionalFormatting>
  <conditionalFormatting sqref="P335">
    <cfRule type="iconSet" priority="3929">
      <iconSet iconSet="3Symbols" showValue="0" reverse="1">
        <cfvo type="percent" val="0"/>
        <cfvo type="num" val="1"/>
        <cfvo type="num" val="1.05"/>
      </iconSet>
    </cfRule>
  </conditionalFormatting>
  <conditionalFormatting sqref="Q334">
    <cfRule type="iconSet" priority="3920">
      <iconSet iconSet="3Symbols" showValue="0" reverse="1">
        <cfvo type="percent" val="0"/>
        <cfvo type="num" val="1"/>
        <cfvo type="num" val="1.05"/>
      </iconSet>
    </cfRule>
  </conditionalFormatting>
  <conditionalFormatting sqref="N334">
    <cfRule type="cellIs" dxfId="3039" priority="3918" operator="lessThan">
      <formula>0</formula>
    </cfRule>
    <cfRule type="cellIs" dxfId="3038" priority="3919" operator="greaterThan">
      <formula>0</formula>
    </cfRule>
  </conditionalFormatting>
  <conditionalFormatting sqref="F334">
    <cfRule type="cellIs" dxfId="3037" priority="3916" operator="lessThan">
      <formula>0</formula>
    </cfRule>
    <cfRule type="cellIs" dxfId="3036" priority="3917" operator="greaterThan">
      <formula>0</formula>
    </cfRule>
  </conditionalFormatting>
  <conditionalFormatting sqref="U334">
    <cfRule type="iconSet" priority="3921">
      <iconSet iconSet="3Symbols" showValue="0" reverse="1">
        <cfvo type="percent" val="0"/>
        <cfvo type="num" val="1"/>
        <cfvo type="num" val="1.05"/>
      </iconSet>
    </cfRule>
  </conditionalFormatting>
  <conditionalFormatting sqref="P334">
    <cfRule type="iconSet" priority="3922">
      <iconSet iconSet="3Symbols" showValue="0" reverse="1">
        <cfvo type="percent" val="0"/>
        <cfvo type="num" val="1"/>
        <cfvo type="num" val="1.05"/>
      </iconSet>
    </cfRule>
  </conditionalFormatting>
  <conditionalFormatting sqref="Q333">
    <cfRule type="iconSet" priority="3913">
      <iconSet iconSet="3Symbols" showValue="0" reverse="1">
        <cfvo type="percent" val="0"/>
        <cfvo type="num" val="1"/>
        <cfvo type="num" val="1.05"/>
      </iconSet>
    </cfRule>
  </conditionalFormatting>
  <conditionalFormatting sqref="N333">
    <cfRule type="cellIs" dxfId="3035" priority="3911" operator="lessThan">
      <formula>0</formula>
    </cfRule>
    <cfRule type="cellIs" dxfId="3034" priority="3912" operator="greaterThan">
      <formula>0</formula>
    </cfRule>
  </conditionalFormatting>
  <conditionalFormatting sqref="F333">
    <cfRule type="cellIs" dxfId="3033" priority="3909" operator="lessThan">
      <formula>0</formula>
    </cfRule>
    <cfRule type="cellIs" dxfId="3032" priority="3910" operator="greaterThan">
      <formula>0</formula>
    </cfRule>
  </conditionalFormatting>
  <conditionalFormatting sqref="U333">
    <cfRule type="iconSet" priority="3914">
      <iconSet iconSet="3Symbols" showValue="0" reverse="1">
        <cfvo type="percent" val="0"/>
        <cfvo type="num" val="1"/>
        <cfvo type="num" val="1.05"/>
      </iconSet>
    </cfRule>
  </conditionalFormatting>
  <conditionalFormatting sqref="P333">
    <cfRule type="iconSet" priority="3915">
      <iconSet iconSet="3Symbols" showValue="0" reverse="1">
        <cfvo type="percent" val="0"/>
        <cfvo type="num" val="1"/>
        <cfvo type="num" val="1.05"/>
      </iconSet>
    </cfRule>
  </conditionalFormatting>
  <conditionalFormatting sqref="Q332">
    <cfRule type="iconSet" priority="3906">
      <iconSet iconSet="3Symbols" showValue="0" reverse="1">
        <cfvo type="percent" val="0"/>
        <cfvo type="num" val="1"/>
        <cfvo type="num" val="1.05"/>
      </iconSet>
    </cfRule>
  </conditionalFormatting>
  <conditionalFormatting sqref="N332">
    <cfRule type="cellIs" dxfId="3031" priority="3904" operator="lessThan">
      <formula>0</formula>
    </cfRule>
    <cfRule type="cellIs" dxfId="3030" priority="3905" operator="greaterThan">
      <formula>0</formula>
    </cfRule>
  </conditionalFormatting>
  <conditionalFormatting sqref="F332">
    <cfRule type="cellIs" dxfId="3029" priority="3902" operator="lessThan">
      <formula>0</formula>
    </cfRule>
    <cfRule type="cellIs" dxfId="3028" priority="3903" operator="greaterThan">
      <formula>0</formula>
    </cfRule>
  </conditionalFormatting>
  <conditionalFormatting sqref="U332">
    <cfRule type="iconSet" priority="3907">
      <iconSet iconSet="3Symbols" showValue="0" reverse="1">
        <cfvo type="percent" val="0"/>
        <cfvo type="num" val="1"/>
        <cfvo type="num" val="1.05"/>
      </iconSet>
    </cfRule>
  </conditionalFormatting>
  <conditionalFormatting sqref="P332">
    <cfRule type="iconSet" priority="3908">
      <iconSet iconSet="3Symbols" showValue="0" reverse="1">
        <cfvo type="percent" val="0"/>
        <cfvo type="num" val="1"/>
        <cfvo type="num" val="1.05"/>
      </iconSet>
    </cfRule>
  </conditionalFormatting>
  <conditionalFormatting sqref="Q331">
    <cfRule type="iconSet" priority="3899">
      <iconSet iconSet="3Symbols" showValue="0" reverse="1">
        <cfvo type="percent" val="0"/>
        <cfvo type="num" val="1"/>
        <cfvo type="num" val="1.05"/>
      </iconSet>
    </cfRule>
  </conditionalFormatting>
  <conditionalFormatting sqref="N331">
    <cfRule type="cellIs" dxfId="3027" priority="3897" operator="lessThan">
      <formula>0</formula>
    </cfRule>
    <cfRule type="cellIs" dxfId="3026" priority="3898" operator="greaterThan">
      <formula>0</formula>
    </cfRule>
  </conditionalFormatting>
  <conditionalFormatting sqref="F331">
    <cfRule type="cellIs" dxfId="3025" priority="3895" operator="lessThan">
      <formula>0</formula>
    </cfRule>
    <cfRule type="cellIs" dxfId="3024" priority="3896" operator="greaterThan">
      <formula>0</formula>
    </cfRule>
  </conditionalFormatting>
  <conditionalFormatting sqref="U331">
    <cfRule type="iconSet" priority="3900">
      <iconSet iconSet="3Symbols" showValue="0" reverse="1">
        <cfvo type="percent" val="0"/>
        <cfvo type="num" val="1"/>
        <cfvo type="num" val="1.05"/>
      </iconSet>
    </cfRule>
  </conditionalFormatting>
  <conditionalFormatting sqref="P331">
    <cfRule type="iconSet" priority="3901">
      <iconSet iconSet="3Symbols" showValue="0" reverse="1">
        <cfvo type="percent" val="0"/>
        <cfvo type="num" val="1"/>
        <cfvo type="num" val="1.05"/>
      </iconSet>
    </cfRule>
  </conditionalFormatting>
  <conditionalFormatting sqref="Q330">
    <cfRule type="iconSet" priority="3892">
      <iconSet iconSet="3Symbols" showValue="0" reverse="1">
        <cfvo type="percent" val="0"/>
        <cfvo type="num" val="1"/>
        <cfvo type="num" val="1.05"/>
      </iconSet>
    </cfRule>
  </conditionalFormatting>
  <conditionalFormatting sqref="N330">
    <cfRule type="cellIs" dxfId="3023" priority="3890" operator="lessThan">
      <formula>0</formula>
    </cfRule>
    <cfRule type="cellIs" dxfId="3022" priority="3891" operator="greaterThan">
      <formula>0</formula>
    </cfRule>
  </conditionalFormatting>
  <conditionalFormatting sqref="F330">
    <cfRule type="cellIs" dxfId="3021" priority="3888" operator="lessThan">
      <formula>0</formula>
    </cfRule>
    <cfRule type="cellIs" dxfId="3020" priority="3889" operator="greaterThan">
      <formula>0</formula>
    </cfRule>
  </conditionalFormatting>
  <conditionalFormatting sqref="U330">
    <cfRule type="iconSet" priority="3893">
      <iconSet iconSet="3Symbols" showValue="0" reverse="1">
        <cfvo type="percent" val="0"/>
        <cfvo type="num" val="1"/>
        <cfvo type="num" val="1.05"/>
      </iconSet>
    </cfRule>
  </conditionalFormatting>
  <conditionalFormatting sqref="P330">
    <cfRule type="iconSet" priority="3894">
      <iconSet iconSet="3Symbols" showValue="0" reverse="1">
        <cfvo type="percent" val="0"/>
        <cfvo type="num" val="1"/>
        <cfvo type="num" val="1.05"/>
      </iconSet>
    </cfRule>
  </conditionalFormatting>
  <conditionalFormatting sqref="Q329">
    <cfRule type="iconSet" priority="3885">
      <iconSet iconSet="3Symbols" showValue="0" reverse="1">
        <cfvo type="percent" val="0"/>
        <cfvo type="num" val="1"/>
        <cfvo type="num" val="1.05"/>
      </iconSet>
    </cfRule>
  </conditionalFormatting>
  <conditionalFormatting sqref="N329">
    <cfRule type="cellIs" dxfId="3019" priority="3883" operator="lessThan">
      <formula>0</formula>
    </cfRule>
    <cfRule type="cellIs" dxfId="3018" priority="3884" operator="greaterThan">
      <formula>0</formula>
    </cfRule>
  </conditionalFormatting>
  <conditionalFormatting sqref="F329">
    <cfRule type="cellIs" dxfId="3017" priority="3881" operator="lessThan">
      <formula>0</formula>
    </cfRule>
    <cfRule type="cellIs" dxfId="3016" priority="3882" operator="greaterThan">
      <formula>0</formula>
    </cfRule>
  </conditionalFormatting>
  <conditionalFormatting sqref="U329">
    <cfRule type="iconSet" priority="3886">
      <iconSet iconSet="3Symbols" showValue="0" reverse="1">
        <cfvo type="percent" val="0"/>
        <cfvo type="num" val="1"/>
        <cfvo type="num" val="1.05"/>
      </iconSet>
    </cfRule>
  </conditionalFormatting>
  <conditionalFormatting sqref="P329">
    <cfRule type="iconSet" priority="3887">
      <iconSet iconSet="3Symbols" showValue="0" reverse="1">
        <cfvo type="percent" val="0"/>
        <cfvo type="num" val="1"/>
        <cfvo type="num" val="1.05"/>
      </iconSet>
    </cfRule>
  </conditionalFormatting>
  <conditionalFormatting sqref="Q328">
    <cfRule type="iconSet" priority="3878">
      <iconSet iconSet="3Symbols" showValue="0" reverse="1">
        <cfvo type="percent" val="0"/>
        <cfvo type="num" val="1"/>
        <cfvo type="num" val="1.05"/>
      </iconSet>
    </cfRule>
  </conditionalFormatting>
  <conditionalFormatting sqref="N328">
    <cfRule type="cellIs" dxfId="3015" priority="3876" operator="lessThan">
      <formula>0</formula>
    </cfRule>
    <cfRule type="cellIs" dxfId="3014" priority="3877" operator="greaterThan">
      <formula>0</formula>
    </cfRule>
  </conditionalFormatting>
  <conditionalFormatting sqref="F328">
    <cfRule type="cellIs" dxfId="3013" priority="3874" operator="lessThan">
      <formula>0</formula>
    </cfRule>
    <cfRule type="cellIs" dxfId="3012" priority="3875" operator="greaterThan">
      <formula>0</formula>
    </cfRule>
  </conditionalFormatting>
  <conditionalFormatting sqref="U328">
    <cfRule type="iconSet" priority="3879">
      <iconSet iconSet="3Symbols" showValue="0" reverse="1">
        <cfvo type="percent" val="0"/>
        <cfvo type="num" val="1"/>
        <cfvo type="num" val="1.05"/>
      </iconSet>
    </cfRule>
  </conditionalFormatting>
  <conditionalFormatting sqref="P328">
    <cfRule type="iconSet" priority="3880">
      <iconSet iconSet="3Symbols" showValue="0" reverse="1">
        <cfvo type="percent" val="0"/>
        <cfvo type="num" val="1"/>
        <cfvo type="num" val="1.05"/>
      </iconSet>
    </cfRule>
  </conditionalFormatting>
  <conditionalFormatting sqref="Q326:Q327">
    <cfRule type="iconSet" priority="3871">
      <iconSet iconSet="3Symbols" showValue="0" reverse="1">
        <cfvo type="percent" val="0"/>
        <cfvo type="num" val="1"/>
        <cfvo type="num" val="1.05"/>
      </iconSet>
    </cfRule>
  </conditionalFormatting>
  <conditionalFormatting sqref="N326:N327">
    <cfRule type="cellIs" dxfId="3011" priority="3869" operator="lessThan">
      <formula>0</formula>
    </cfRule>
    <cfRule type="cellIs" dxfId="3010" priority="3870" operator="greaterThan">
      <formula>0</formula>
    </cfRule>
  </conditionalFormatting>
  <conditionalFormatting sqref="F326:F327">
    <cfRule type="cellIs" dxfId="3009" priority="3867" operator="lessThan">
      <formula>0</formula>
    </cfRule>
    <cfRule type="cellIs" dxfId="3008" priority="3868" operator="greaterThan">
      <formula>0</formula>
    </cfRule>
  </conditionalFormatting>
  <conditionalFormatting sqref="U326:U327">
    <cfRule type="iconSet" priority="3872">
      <iconSet iconSet="3Symbols" showValue="0" reverse="1">
        <cfvo type="percent" val="0"/>
        <cfvo type="num" val="1"/>
        <cfvo type="num" val="1.05"/>
      </iconSet>
    </cfRule>
  </conditionalFormatting>
  <conditionalFormatting sqref="P326:P327">
    <cfRule type="iconSet" priority="3873">
      <iconSet iconSet="3Symbols" showValue="0" reverse="1">
        <cfvo type="percent" val="0"/>
        <cfvo type="num" val="1"/>
        <cfvo type="num" val="1.05"/>
      </iconSet>
    </cfRule>
  </conditionalFormatting>
  <conditionalFormatting sqref="Q325">
    <cfRule type="iconSet" priority="3864">
      <iconSet iconSet="3Symbols" showValue="0" reverse="1">
        <cfvo type="percent" val="0"/>
        <cfvo type="num" val="1"/>
        <cfvo type="num" val="1.05"/>
      </iconSet>
    </cfRule>
  </conditionalFormatting>
  <conditionalFormatting sqref="N325">
    <cfRule type="cellIs" dxfId="3007" priority="3862" operator="lessThan">
      <formula>0</formula>
    </cfRule>
    <cfRule type="cellIs" dxfId="3006" priority="3863" operator="greaterThan">
      <formula>0</formula>
    </cfRule>
  </conditionalFormatting>
  <conditionalFormatting sqref="F325">
    <cfRule type="cellIs" dxfId="3005" priority="3860" operator="lessThan">
      <formula>0</formula>
    </cfRule>
    <cfRule type="cellIs" dxfId="3004" priority="3861" operator="greaterThan">
      <formula>0</formula>
    </cfRule>
  </conditionalFormatting>
  <conditionalFormatting sqref="U325">
    <cfRule type="iconSet" priority="3865">
      <iconSet iconSet="3Symbols" showValue="0" reverse="1">
        <cfvo type="percent" val="0"/>
        <cfvo type="num" val="1"/>
        <cfvo type="num" val="1.05"/>
      </iconSet>
    </cfRule>
  </conditionalFormatting>
  <conditionalFormatting sqref="P325">
    <cfRule type="iconSet" priority="3866">
      <iconSet iconSet="3Symbols" showValue="0" reverse="1">
        <cfvo type="percent" val="0"/>
        <cfvo type="num" val="1"/>
        <cfvo type="num" val="1.05"/>
      </iconSet>
    </cfRule>
  </conditionalFormatting>
  <conditionalFormatting sqref="Q324">
    <cfRule type="iconSet" priority="3857">
      <iconSet iconSet="3Symbols" showValue="0" reverse="1">
        <cfvo type="percent" val="0"/>
        <cfvo type="num" val="1"/>
        <cfvo type="num" val="1.05"/>
      </iconSet>
    </cfRule>
  </conditionalFormatting>
  <conditionalFormatting sqref="N324">
    <cfRule type="cellIs" dxfId="3003" priority="3855" operator="lessThan">
      <formula>0</formula>
    </cfRule>
    <cfRule type="cellIs" dxfId="3002" priority="3856" operator="greaterThan">
      <formula>0</formula>
    </cfRule>
  </conditionalFormatting>
  <conditionalFormatting sqref="F324">
    <cfRule type="cellIs" dxfId="3001" priority="3853" operator="lessThan">
      <formula>0</formula>
    </cfRule>
    <cfRule type="cellIs" dxfId="3000" priority="3854" operator="greaterThan">
      <formula>0</formula>
    </cfRule>
  </conditionalFormatting>
  <conditionalFormatting sqref="U324">
    <cfRule type="iconSet" priority="3858">
      <iconSet iconSet="3Symbols" showValue="0" reverse="1">
        <cfvo type="percent" val="0"/>
        <cfvo type="num" val="1"/>
        <cfvo type="num" val="1.05"/>
      </iconSet>
    </cfRule>
  </conditionalFormatting>
  <conditionalFormatting sqref="P324">
    <cfRule type="iconSet" priority="3859">
      <iconSet iconSet="3Symbols" showValue="0" reverse="1">
        <cfvo type="percent" val="0"/>
        <cfvo type="num" val="1"/>
        <cfvo type="num" val="1.05"/>
      </iconSet>
    </cfRule>
  </conditionalFormatting>
  <conditionalFormatting sqref="Q323">
    <cfRule type="iconSet" priority="3850">
      <iconSet iconSet="3Symbols" showValue="0" reverse="1">
        <cfvo type="percent" val="0"/>
        <cfvo type="num" val="1"/>
        <cfvo type="num" val="1.05"/>
      </iconSet>
    </cfRule>
  </conditionalFormatting>
  <conditionalFormatting sqref="N323">
    <cfRule type="cellIs" dxfId="2999" priority="3848" operator="lessThan">
      <formula>0</formula>
    </cfRule>
    <cfRule type="cellIs" dxfId="2998" priority="3849" operator="greaterThan">
      <formula>0</formula>
    </cfRule>
  </conditionalFormatting>
  <conditionalFormatting sqref="F323">
    <cfRule type="cellIs" dxfId="2997" priority="3846" operator="lessThan">
      <formula>0</formula>
    </cfRule>
    <cfRule type="cellIs" dxfId="2996" priority="3847" operator="greaterThan">
      <formula>0</formula>
    </cfRule>
  </conditionalFormatting>
  <conditionalFormatting sqref="U323">
    <cfRule type="iconSet" priority="3851">
      <iconSet iconSet="3Symbols" showValue="0" reverse="1">
        <cfvo type="percent" val="0"/>
        <cfvo type="num" val="1"/>
        <cfvo type="num" val="1.05"/>
      </iconSet>
    </cfRule>
  </conditionalFormatting>
  <conditionalFormatting sqref="P323">
    <cfRule type="iconSet" priority="3852">
      <iconSet iconSet="3Symbols" showValue="0" reverse="1">
        <cfvo type="percent" val="0"/>
        <cfvo type="num" val="1"/>
        <cfvo type="num" val="1.05"/>
      </iconSet>
    </cfRule>
  </conditionalFormatting>
  <conditionalFormatting sqref="Q322">
    <cfRule type="iconSet" priority="3843">
      <iconSet iconSet="3Symbols" showValue="0" reverse="1">
        <cfvo type="percent" val="0"/>
        <cfvo type="num" val="1"/>
        <cfvo type="num" val="1.05"/>
      </iconSet>
    </cfRule>
  </conditionalFormatting>
  <conditionalFormatting sqref="N322">
    <cfRule type="cellIs" dxfId="2995" priority="3841" operator="lessThan">
      <formula>0</formula>
    </cfRule>
    <cfRule type="cellIs" dxfId="2994" priority="3842" operator="greaterThan">
      <formula>0</formula>
    </cfRule>
  </conditionalFormatting>
  <conditionalFormatting sqref="F322">
    <cfRule type="cellIs" dxfId="2993" priority="3839" operator="lessThan">
      <formula>0</formula>
    </cfRule>
    <cfRule type="cellIs" dxfId="2992" priority="3840" operator="greaterThan">
      <formula>0</formula>
    </cfRule>
  </conditionalFormatting>
  <conditionalFormatting sqref="U322">
    <cfRule type="iconSet" priority="3844">
      <iconSet iconSet="3Symbols" showValue="0" reverse="1">
        <cfvo type="percent" val="0"/>
        <cfvo type="num" val="1"/>
        <cfvo type="num" val="1.05"/>
      </iconSet>
    </cfRule>
  </conditionalFormatting>
  <conditionalFormatting sqref="P322">
    <cfRule type="iconSet" priority="3845">
      <iconSet iconSet="3Symbols" showValue="0" reverse="1">
        <cfvo type="percent" val="0"/>
        <cfvo type="num" val="1"/>
        <cfvo type="num" val="1.05"/>
      </iconSet>
    </cfRule>
  </conditionalFormatting>
  <conditionalFormatting sqref="Q321">
    <cfRule type="iconSet" priority="3836">
      <iconSet iconSet="3Symbols" showValue="0" reverse="1">
        <cfvo type="percent" val="0"/>
        <cfvo type="num" val="1"/>
        <cfvo type="num" val="1.05"/>
      </iconSet>
    </cfRule>
  </conditionalFormatting>
  <conditionalFormatting sqref="N321">
    <cfRule type="cellIs" dxfId="2991" priority="3834" operator="lessThan">
      <formula>0</formula>
    </cfRule>
    <cfRule type="cellIs" dxfId="2990" priority="3835" operator="greaterThan">
      <formula>0</formula>
    </cfRule>
  </conditionalFormatting>
  <conditionalFormatting sqref="F321">
    <cfRule type="cellIs" dxfId="2989" priority="3832" operator="lessThan">
      <formula>0</formula>
    </cfRule>
    <cfRule type="cellIs" dxfId="2988" priority="3833" operator="greaterThan">
      <formula>0</formula>
    </cfRule>
  </conditionalFormatting>
  <conditionalFormatting sqref="U321">
    <cfRule type="iconSet" priority="3837">
      <iconSet iconSet="3Symbols" showValue="0" reverse="1">
        <cfvo type="percent" val="0"/>
        <cfvo type="num" val="1"/>
        <cfvo type="num" val="1.05"/>
      </iconSet>
    </cfRule>
  </conditionalFormatting>
  <conditionalFormatting sqref="P321">
    <cfRule type="iconSet" priority="3838">
      <iconSet iconSet="3Symbols" showValue="0" reverse="1">
        <cfvo type="percent" val="0"/>
        <cfvo type="num" val="1"/>
        <cfvo type="num" val="1.05"/>
      </iconSet>
    </cfRule>
  </conditionalFormatting>
  <conditionalFormatting sqref="Q320">
    <cfRule type="iconSet" priority="3829">
      <iconSet iconSet="3Symbols" showValue="0" reverse="1">
        <cfvo type="percent" val="0"/>
        <cfvo type="num" val="1"/>
        <cfvo type="num" val="1.05"/>
      </iconSet>
    </cfRule>
  </conditionalFormatting>
  <conditionalFormatting sqref="N320">
    <cfRule type="cellIs" dxfId="2987" priority="3827" operator="lessThan">
      <formula>0</formula>
    </cfRule>
    <cfRule type="cellIs" dxfId="2986" priority="3828" operator="greaterThan">
      <formula>0</formula>
    </cfRule>
  </conditionalFormatting>
  <conditionalFormatting sqref="F320">
    <cfRule type="cellIs" dxfId="2985" priority="3825" operator="lessThan">
      <formula>0</formula>
    </cfRule>
    <cfRule type="cellIs" dxfId="2984" priority="3826" operator="greaterThan">
      <formula>0</formula>
    </cfRule>
  </conditionalFormatting>
  <conditionalFormatting sqref="U320">
    <cfRule type="iconSet" priority="3830">
      <iconSet iconSet="3Symbols" showValue="0" reverse="1">
        <cfvo type="percent" val="0"/>
        <cfvo type="num" val="1"/>
        <cfvo type="num" val="1.05"/>
      </iconSet>
    </cfRule>
  </conditionalFormatting>
  <conditionalFormatting sqref="P320">
    <cfRule type="iconSet" priority="3831">
      <iconSet iconSet="3Symbols" showValue="0" reverse="1">
        <cfvo type="percent" val="0"/>
        <cfvo type="num" val="1"/>
        <cfvo type="num" val="1.05"/>
      </iconSet>
    </cfRule>
  </conditionalFormatting>
  <conditionalFormatting sqref="Q319">
    <cfRule type="iconSet" priority="3822">
      <iconSet iconSet="3Symbols" showValue="0" reverse="1">
        <cfvo type="percent" val="0"/>
        <cfvo type="num" val="1"/>
        <cfvo type="num" val="1.05"/>
      </iconSet>
    </cfRule>
  </conditionalFormatting>
  <conditionalFormatting sqref="N319">
    <cfRule type="cellIs" dxfId="2983" priority="3820" operator="lessThan">
      <formula>0</formula>
    </cfRule>
    <cfRule type="cellIs" dxfId="2982" priority="3821" operator="greaterThan">
      <formula>0</formula>
    </cfRule>
  </conditionalFormatting>
  <conditionalFormatting sqref="F319">
    <cfRule type="cellIs" dxfId="2981" priority="3818" operator="lessThan">
      <formula>0</formula>
    </cfRule>
    <cfRule type="cellIs" dxfId="2980" priority="3819" operator="greaterThan">
      <formula>0</formula>
    </cfRule>
  </conditionalFormatting>
  <conditionalFormatting sqref="U319">
    <cfRule type="iconSet" priority="3823">
      <iconSet iconSet="3Symbols" showValue="0" reverse="1">
        <cfvo type="percent" val="0"/>
        <cfvo type="num" val="1"/>
        <cfvo type="num" val="1.05"/>
      </iconSet>
    </cfRule>
  </conditionalFormatting>
  <conditionalFormatting sqref="P319">
    <cfRule type="iconSet" priority="3824">
      <iconSet iconSet="3Symbols" showValue="0" reverse="1">
        <cfvo type="percent" val="0"/>
        <cfvo type="num" val="1"/>
        <cfvo type="num" val="1.05"/>
      </iconSet>
    </cfRule>
  </conditionalFormatting>
  <conditionalFormatting sqref="Q318">
    <cfRule type="iconSet" priority="3815">
      <iconSet iconSet="3Symbols" showValue="0" reverse="1">
        <cfvo type="percent" val="0"/>
        <cfvo type="num" val="1"/>
        <cfvo type="num" val="1.05"/>
      </iconSet>
    </cfRule>
  </conditionalFormatting>
  <conditionalFormatting sqref="N318">
    <cfRule type="cellIs" dxfId="2979" priority="3813" operator="lessThan">
      <formula>0</formula>
    </cfRule>
    <cfRule type="cellIs" dxfId="2978" priority="3814" operator="greaterThan">
      <formula>0</formula>
    </cfRule>
  </conditionalFormatting>
  <conditionalFormatting sqref="F318">
    <cfRule type="cellIs" dxfId="2977" priority="3811" operator="lessThan">
      <formula>0</formula>
    </cfRule>
    <cfRule type="cellIs" dxfId="2976" priority="3812" operator="greaterThan">
      <formula>0</formula>
    </cfRule>
  </conditionalFormatting>
  <conditionalFormatting sqref="U318">
    <cfRule type="iconSet" priority="3816">
      <iconSet iconSet="3Symbols" showValue="0" reverse="1">
        <cfvo type="percent" val="0"/>
        <cfvo type="num" val="1"/>
        <cfvo type="num" val="1.05"/>
      </iconSet>
    </cfRule>
  </conditionalFormatting>
  <conditionalFormatting sqref="P318">
    <cfRule type="iconSet" priority="3817">
      <iconSet iconSet="3Symbols" showValue="0" reverse="1">
        <cfvo type="percent" val="0"/>
        <cfvo type="num" val="1"/>
        <cfvo type="num" val="1.05"/>
      </iconSet>
    </cfRule>
  </conditionalFormatting>
  <conditionalFormatting sqref="Q317">
    <cfRule type="iconSet" priority="3808">
      <iconSet iconSet="3Symbols" showValue="0" reverse="1">
        <cfvo type="percent" val="0"/>
        <cfvo type="num" val="1"/>
        <cfvo type="num" val="1.05"/>
      </iconSet>
    </cfRule>
  </conditionalFormatting>
  <conditionalFormatting sqref="N317">
    <cfRule type="cellIs" dxfId="2975" priority="3806" operator="lessThan">
      <formula>0</formula>
    </cfRule>
    <cfRule type="cellIs" dxfId="2974" priority="3807" operator="greaterThan">
      <formula>0</formula>
    </cfRule>
  </conditionalFormatting>
  <conditionalFormatting sqref="F317">
    <cfRule type="cellIs" dxfId="2973" priority="3804" operator="lessThan">
      <formula>0</formula>
    </cfRule>
    <cfRule type="cellIs" dxfId="2972" priority="3805" operator="greaterThan">
      <formula>0</formula>
    </cfRule>
  </conditionalFormatting>
  <conditionalFormatting sqref="U317">
    <cfRule type="iconSet" priority="3809">
      <iconSet iconSet="3Symbols" showValue="0" reverse="1">
        <cfvo type="percent" val="0"/>
        <cfvo type="num" val="1"/>
        <cfvo type="num" val="1.05"/>
      </iconSet>
    </cfRule>
  </conditionalFormatting>
  <conditionalFormatting sqref="P317">
    <cfRule type="iconSet" priority="3810">
      <iconSet iconSet="3Symbols" showValue="0" reverse="1">
        <cfvo type="percent" val="0"/>
        <cfvo type="num" val="1"/>
        <cfvo type="num" val="1.05"/>
      </iconSet>
    </cfRule>
  </conditionalFormatting>
  <conditionalFormatting sqref="Q316">
    <cfRule type="iconSet" priority="3801">
      <iconSet iconSet="3Symbols" showValue="0" reverse="1">
        <cfvo type="percent" val="0"/>
        <cfvo type="num" val="1"/>
        <cfvo type="num" val="1.05"/>
      </iconSet>
    </cfRule>
  </conditionalFormatting>
  <conditionalFormatting sqref="N316">
    <cfRule type="cellIs" dxfId="2971" priority="3799" operator="lessThan">
      <formula>0</formula>
    </cfRule>
    <cfRule type="cellIs" dxfId="2970" priority="3800" operator="greaterThan">
      <formula>0</formula>
    </cfRule>
  </conditionalFormatting>
  <conditionalFormatting sqref="F316">
    <cfRule type="cellIs" dxfId="2969" priority="3797" operator="lessThan">
      <formula>0</formula>
    </cfRule>
    <cfRule type="cellIs" dxfId="2968" priority="3798" operator="greaterThan">
      <formula>0</formula>
    </cfRule>
  </conditionalFormatting>
  <conditionalFormatting sqref="U316">
    <cfRule type="iconSet" priority="3802">
      <iconSet iconSet="3Symbols" showValue="0" reverse="1">
        <cfvo type="percent" val="0"/>
        <cfvo type="num" val="1"/>
        <cfvo type="num" val="1.05"/>
      </iconSet>
    </cfRule>
  </conditionalFormatting>
  <conditionalFormatting sqref="P316">
    <cfRule type="iconSet" priority="3803">
      <iconSet iconSet="3Symbols" showValue="0" reverse="1">
        <cfvo type="percent" val="0"/>
        <cfvo type="num" val="1"/>
        <cfvo type="num" val="1.05"/>
      </iconSet>
    </cfRule>
  </conditionalFormatting>
  <conditionalFormatting sqref="Q315">
    <cfRule type="iconSet" priority="3794">
      <iconSet iconSet="3Symbols" showValue="0" reverse="1">
        <cfvo type="percent" val="0"/>
        <cfvo type="num" val="1"/>
        <cfvo type="num" val="1.05"/>
      </iconSet>
    </cfRule>
  </conditionalFormatting>
  <conditionalFormatting sqref="N315">
    <cfRule type="cellIs" dxfId="2967" priority="3792" operator="lessThan">
      <formula>0</formula>
    </cfRule>
    <cfRule type="cellIs" dxfId="2966" priority="3793" operator="greaterThan">
      <formula>0</formula>
    </cfRule>
  </conditionalFormatting>
  <conditionalFormatting sqref="F315">
    <cfRule type="cellIs" dxfId="2965" priority="3790" operator="lessThan">
      <formula>0</formula>
    </cfRule>
    <cfRule type="cellIs" dxfId="2964" priority="3791" operator="greaterThan">
      <formula>0</formula>
    </cfRule>
  </conditionalFormatting>
  <conditionalFormatting sqref="U315">
    <cfRule type="iconSet" priority="3795">
      <iconSet iconSet="3Symbols" showValue="0" reverse="1">
        <cfvo type="percent" val="0"/>
        <cfvo type="num" val="1"/>
        <cfvo type="num" val="1.05"/>
      </iconSet>
    </cfRule>
  </conditionalFormatting>
  <conditionalFormatting sqref="P315">
    <cfRule type="iconSet" priority="3796">
      <iconSet iconSet="3Symbols" showValue="0" reverse="1">
        <cfvo type="percent" val="0"/>
        <cfvo type="num" val="1"/>
        <cfvo type="num" val="1.05"/>
      </iconSet>
    </cfRule>
  </conditionalFormatting>
  <conditionalFormatting sqref="Q313:Q314">
    <cfRule type="iconSet" priority="3787">
      <iconSet iconSet="3Symbols" showValue="0" reverse="1">
        <cfvo type="percent" val="0"/>
        <cfvo type="num" val="1"/>
        <cfvo type="num" val="1.05"/>
      </iconSet>
    </cfRule>
  </conditionalFormatting>
  <conditionalFormatting sqref="N313:N314">
    <cfRule type="cellIs" dxfId="2963" priority="3785" operator="lessThan">
      <formula>0</formula>
    </cfRule>
    <cfRule type="cellIs" dxfId="2962" priority="3786" operator="greaterThan">
      <formula>0</formula>
    </cfRule>
  </conditionalFormatting>
  <conditionalFormatting sqref="F313:F314">
    <cfRule type="cellIs" dxfId="2961" priority="3783" operator="lessThan">
      <formula>0</formula>
    </cfRule>
    <cfRule type="cellIs" dxfId="2960" priority="3784" operator="greaterThan">
      <formula>0</formula>
    </cfRule>
  </conditionalFormatting>
  <conditionalFormatting sqref="U313:U314">
    <cfRule type="iconSet" priority="3788">
      <iconSet iconSet="3Symbols" showValue="0" reverse="1">
        <cfvo type="percent" val="0"/>
        <cfvo type="num" val="1"/>
        <cfvo type="num" val="1.05"/>
      </iconSet>
    </cfRule>
  </conditionalFormatting>
  <conditionalFormatting sqref="P313:P314">
    <cfRule type="iconSet" priority="3789">
      <iconSet iconSet="3Symbols" showValue="0" reverse="1">
        <cfvo type="percent" val="0"/>
        <cfvo type="num" val="1"/>
        <cfvo type="num" val="1.05"/>
      </iconSet>
    </cfRule>
  </conditionalFormatting>
  <conditionalFormatting sqref="Q312">
    <cfRule type="iconSet" priority="3780">
      <iconSet iconSet="3Symbols" showValue="0" reverse="1">
        <cfvo type="percent" val="0"/>
        <cfvo type="num" val="1"/>
        <cfvo type="num" val="1.05"/>
      </iconSet>
    </cfRule>
  </conditionalFormatting>
  <conditionalFormatting sqref="N312">
    <cfRule type="cellIs" dxfId="2959" priority="3778" operator="lessThan">
      <formula>0</formula>
    </cfRule>
    <cfRule type="cellIs" dxfId="2958" priority="3779" operator="greaterThan">
      <formula>0</formula>
    </cfRule>
  </conditionalFormatting>
  <conditionalFormatting sqref="F312">
    <cfRule type="cellIs" dxfId="2957" priority="3776" operator="lessThan">
      <formula>0</formula>
    </cfRule>
    <cfRule type="cellIs" dxfId="2956" priority="3777" operator="greaterThan">
      <formula>0</formula>
    </cfRule>
  </conditionalFormatting>
  <conditionalFormatting sqref="U312">
    <cfRule type="iconSet" priority="3781">
      <iconSet iconSet="3Symbols" showValue="0" reverse="1">
        <cfvo type="percent" val="0"/>
        <cfvo type="num" val="1"/>
        <cfvo type="num" val="1.05"/>
      </iconSet>
    </cfRule>
  </conditionalFormatting>
  <conditionalFormatting sqref="P312">
    <cfRule type="iconSet" priority="3782">
      <iconSet iconSet="3Symbols" showValue="0" reverse="1">
        <cfvo type="percent" val="0"/>
        <cfvo type="num" val="1"/>
        <cfvo type="num" val="1.05"/>
      </iconSet>
    </cfRule>
  </conditionalFormatting>
  <conditionalFormatting sqref="Q311">
    <cfRule type="iconSet" priority="3773">
      <iconSet iconSet="3Symbols" showValue="0" reverse="1">
        <cfvo type="percent" val="0"/>
        <cfvo type="num" val="1"/>
        <cfvo type="num" val="1.05"/>
      </iconSet>
    </cfRule>
  </conditionalFormatting>
  <conditionalFormatting sqref="N311">
    <cfRule type="cellIs" dxfId="2955" priority="3771" operator="lessThan">
      <formula>0</formula>
    </cfRule>
    <cfRule type="cellIs" dxfId="2954" priority="3772" operator="greaterThan">
      <formula>0</formula>
    </cfRule>
  </conditionalFormatting>
  <conditionalFormatting sqref="F311">
    <cfRule type="cellIs" dxfId="2953" priority="3769" operator="lessThan">
      <formula>0</formula>
    </cfRule>
    <cfRule type="cellIs" dxfId="2952" priority="3770" operator="greaterThan">
      <formula>0</formula>
    </cfRule>
  </conditionalFormatting>
  <conditionalFormatting sqref="U311">
    <cfRule type="iconSet" priority="3774">
      <iconSet iconSet="3Symbols" showValue="0" reverse="1">
        <cfvo type="percent" val="0"/>
        <cfvo type="num" val="1"/>
        <cfvo type="num" val="1.05"/>
      </iconSet>
    </cfRule>
  </conditionalFormatting>
  <conditionalFormatting sqref="P311">
    <cfRule type="iconSet" priority="3775">
      <iconSet iconSet="3Symbols" showValue="0" reverse="1">
        <cfvo type="percent" val="0"/>
        <cfvo type="num" val="1"/>
        <cfvo type="num" val="1.05"/>
      </iconSet>
    </cfRule>
  </conditionalFormatting>
  <conditionalFormatting sqref="Q310">
    <cfRule type="iconSet" priority="3766">
      <iconSet iconSet="3Symbols" showValue="0" reverse="1">
        <cfvo type="percent" val="0"/>
        <cfvo type="num" val="1"/>
        <cfvo type="num" val="1.05"/>
      </iconSet>
    </cfRule>
  </conditionalFormatting>
  <conditionalFormatting sqref="N310">
    <cfRule type="cellIs" dxfId="2951" priority="3764" operator="lessThan">
      <formula>0</formula>
    </cfRule>
    <cfRule type="cellIs" dxfId="2950" priority="3765" operator="greaterThan">
      <formula>0</formula>
    </cfRule>
  </conditionalFormatting>
  <conditionalFormatting sqref="F310">
    <cfRule type="cellIs" dxfId="2949" priority="3762" operator="lessThan">
      <formula>0</formula>
    </cfRule>
    <cfRule type="cellIs" dxfId="2948" priority="3763" operator="greaterThan">
      <formula>0</formula>
    </cfRule>
  </conditionalFormatting>
  <conditionalFormatting sqref="U310">
    <cfRule type="iconSet" priority="3767">
      <iconSet iconSet="3Symbols" showValue="0" reverse="1">
        <cfvo type="percent" val="0"/>
        <cfvo type="num" val="1"/>
        <cfvo type="num" val="1.05"/>
      </iconSet>
    </cfRule>
  </conditionalFormatting>
  <conditionalFormatting sqref="P310">
    <cfRule type="iconSet" priority="3768">
      <iconSet iconSet="3Symbols" showValue="0" reverse="1">
        <cfvo type="percent" val="0"/>
        <cfvo type="num" val="1"/>
        <cfvo type="num" val="1.05"/>
      </iconSet>
    </cfRule>
  </conditionalFormatting>
  <conditionalFormatting sqref="Q309">
    <cfRule type="iconSet" priority="3759">
      <iconSet iconSet="3Symbols" showValue="0" reverse="1">
        <cfvo type="percent" val="0"/>
        <cfvo type="num" val="1"/>
        <cfvo type="num" val="1.05"/>
      </iconSet>
    </cfRule>
  </conditionalFormatting>
  <conditionalFormatting sqref="N309">
    <cfRule type="cellIs" dxfId="2947" priority="3757" operator="lessThan">
      <formula>0</formula>
    </cfRule>
    <cfRule type="cellIs" dxfId="2946" priority="3758" operator="greaterThan">
      <formula>0</formula>
    </cfRule>
  </conditionalFormatting>
  <conditionalFormatting sqref="F309">
    <cfRule type="cellIs" dxfId="2945" priority="3755" operator="lessThan">
      <formula>0</formula>
    </cfRule>
    <cfRule type="cellIs" dxfId="2944" priority="3756" operator="greaterThan">
      <formula>0</formula>
    </cfRule>
  </conditionalFormatting>
  <conditionalFormatting sqref="U309">
    <cfRule type="iconSet" priority="3760">
      <iconSet iconSet="3Symbols" showValue="0" reverse="1">
        <cfvo type="percent" val="0"/>
        <cfvo type="num" val="1"/>
        <cfvo type="num" val="1.05"/>
      </iconSet>
    </cfRule>
  </conditionalFormatting>
  <conditionalFormatting sqref="P309">
    <cfRule type="iconSet" priority="3761">
      <iconSet iconSet="3Symbols" showValue="0" reverse="1">
        <cfvo type="percent" val="0"/>
        <cfvo type="num" val="1"/>
        <cfvo type="num" val="1.05"/>
      </iconSet>
    </cfRule>
  </conditionalFormatting>
  <conditionalFormatting sqref="Q308">
    <cfRule type="iconSet" priority="3752">
      <iconSet iconSet="3Symbols" showValue="0" reverse="1">
        <cfvo type="percent" val="0"/>
        <cfvo type="num" val="1"/>
        <cfvo type="num" val="1.05"/>
      </iconSet>
    </cfRule>
  </conditionalFormatting>
  <conditionalFormatting sqref="N308">
    <cfRule type="cellIs" dxfId="2943" priority="3750" operator="lessThan">
      <formula>0</formula>
    </cfRule>
    <cfRule type="cellIs" dxfId="2942" priority="3751" operator="greaterThan">
      <formula>0</formula>
    </cfRule>
  </conditionalFormatting>
  <conditionalFormatting sqref="F308">
    <cfRule type="cellIs" dxfId="2941" priority="3748" operator="lessThan">
      <formula>0</formula>
    </cfRule>
    <cfRule type="cellIs" dxfId="2940" priority="3749" operator="greaterThan">
      <formula>0</formula>
    </cfRule>
  </conditionalFormatting>
  <conditionalFormatting sqref="U308">
    <cfRule type="iconSet" priority="3753">
      <iconSet iconSet="3Symbols" showValue="0" reverse="1">
        <cfvo type="percent" val="0"/>
        <cfvo type="num" val="1"/>
        <cfvo type="num" val="1.05"/>
      </iconSet>
    </cfRule>
  </conditionalFormatting>
  <conditionalFormatting sqref="P308">
    <cfRule type="iconSet" priority="3754">
      <iconSet iconSet="3Symbols" showValue="0" reverse="1">
        <cfvo type="percent" val="0"/>
        <cfvo type="num" val="1"/>
        <cfvo type="num" val="1.05"/>
      </iconSet>
    </cfRule>
  </conditionalFormatting>
  <conditionalFormatting sqref="Q307">
    <cfRule type="iconSet" priority="3745">
      <iconSet iconSet="3Symbols" showValue="0" reverse="1">
        <cfvo type="percent" val="0"/>
        <cfvo type="num" val="1"/>
        <cfvo type="num" val="1.05"/>
      </iconSet>
    </cfRule>
  </conditionalFormatting>
  <conditionalFormatting sqref="N307">
    <cfRule type="cellIs" dxfId="2939" priority="3743" operator="lessThan">
      <formula>0</formula>
    </cfRule>
    <cfRule type="cellIs" dxfId="2938" priority="3744" operator="greaterThan">
      <formula>0</formula>
    </cfRule>
  </conditionalFormatting>
  <conditionalFormatting sqref="F307">
    <cfRule type="cellIs" dxfId="2937" priority="3741" operator="lessThan">
      <formula>0</formula>
    </cfRule>
    <cfRule type="cellIs" dxfId="2936" priority="3742" operator="greaterThan">
      <formula>0</formula>
    </cfRule>
  </conditionalFormatting>
  <conditionalFormatting sqref="U307">
    <cfRule type="iconSet" priority="3746">
      <iconSet iconSet="3Symbols" showValue="0" reverse="1">
        <cfvo type="percent" val="0"/>
        <cfvo type="num" val="1"/>
        <cfvo type="num" val="1.05"/>
      </iconSet>
    </cfRule>
  </conditionalFormatting>
  <conditionalFormatting sqref="P307">
    <cfRule type="iconSet" priority="3747">
      <iconSet iconSet="3Symbols" showValue="0" reverse="1">
        <cfvo type="percent" val="0"/>
        <cfvo type="num" val="1"/>
        <cfvo type="num" val="1.05"/>
      </iconSet>
    </cfRule>
  </conditionalFormatting>
  <conditionalFormatting sqref="Q306">
    <cfRule type="iconSet" priority="3738">
      <iconSet iconSet="3Symbols" showValue="0" reverse="1">
        <cfvo type="percent" val="0"/>
        <cfvo type="num" val="1"/>
        <cfvo type="num" val="1.05"/>
      </iconSet>
    </cfRule>
  </conditionalFormatting>
  <conditionalFormatting sqref="N306">
    <cfRule type="cellIs" dxfId="2935" priority="3736" operator="lessThan">
      <formula>0</formula>
    </cfRule>
    <cfRule type="cellIs" dxfId="2934" priority="3737" operator="greaterThan">
      <formula>0</formula>
    </cfRule>
  </conditionalFormatting>
  <conditionalFormatting sqref="F306">
    <cfRule type="cellIs" dxfId="2933" priority="3734" operator="lessThan">
      <formula>0</formula>
    </cfRule>
    <cfRule type="cellIs" dxfId="2932" priority="3735" operator="greaterThan">
      <formula>0</formula>
    </cfRule>
  </conditionalFormatting>
  <conditionalFormatting sqref="U306">
    <cfRule type="iconSet" priority="3739">
      <iconSet iconSet="3Symbols" showValue="0" reverse="1">
        <cfvo type="percent" val="0"/>
        <cfvo type="num" val="1"/>
        <cfvo type="num" val="1.05"/>
      </iconSet>
    </cfRule>
  </conditionalFormatting>
  <conditionalFormatting sqref="P306">
    <cfRule type="iconSet" priority="3740">
      <iconSet iconSet="3Symbols" showValue="0" reverse="1">
        <cfvo type="percent" val="0"/>
        <cfvo type="num" val="1"/>
        <cfvo type="num" val="1.05"/>
      </iconSet>
    </cfRule>
  </conditionalFormatting>
  <conditionalFormatting sqref="Q305">
    <cfRule type="iconSet" priority="3731">
      <iconSet iconSet="3Symbols" showValue="0" reverse="1">
        <cfvo type="percent" val="0"/>
        <cfvo type="num" val="1"/>
        <cfvo type="num" val="1.05"/>
      </iconSet>
    </cfRule>
  </conditionalFormatting>
  <conditionalFormatting sqref="N305">
    <cfRule type="cellIs" dxfId="2931" priority="3729" operator="lessThan">
      <formula>0</formula>
    </cfRule>
    <cfRule type="cellIs" dxfId="2930" priority="3730" operator="greaterThan">
      <formula>0</formula>
    </cfRule>
  </conditionalFormatting>
  <conditionalFormatting sqref="F305">
    <cfRule type="cellIs" dxfId="2929" priority="3727" operator="lessThan">
      <formula>0</formula>
    </cfRule>
    <cfRule type="cellIs" dxfId="2928" priority="3728" operator="greaterThan">
      <formula>0</formula>
    </cfRule>
  </conditionalFormatting>
  <conditionalFormatting sqref="U305">
    <cfRule type="iconSet" priority="3732">
      <iconSet iconSet="3Symbols" showValue="0" reverse="1">
        <cfvo type="percent" val="0"/>
        <cfvo type="num" val="1"/>
        <cfvo type="num" val="1.05"/>
      </iconSet>
    </cfRule>
  </conditionalFormatting>
  <conditionalFormatting sqref="P305">
    <cfRule type="iconSet" priority="3733">
      <iconSet iconSet="3Symbols" showValue="0" reverse="1">
        <cfvo type="percent" val="0"/>
        <cfvo type="num" val="1"/>
        <cfvo type="num" val="1.05"/>
      </iconSet>
    </cfRule>
  </conditionalFormatting>
  <conditionalFormatting sqref="Q304">
    <cfRule type="iconSet" priority="3724">
      <iconSet iconSet="3Symbols" showValue="0" reverse="1">
        <cfvo type="percent" val="0"/>
        <cfvo type="num" val="1"/>
        <cfvo type="num" val="1.05"/>
      </iconSet>
    </cfRule>
  </conditionalFormatting>
  <conditionalFormatting sqref="N304">
    <cfRule type="cellIs" dxfId="2927" priority="3722" operator="lessThan">
      <formula>0</formula>
    </cfRule>
    <cfRule type="cellIs" dxfId="2926" priority="3723" operator="greaterThan">
      <formula>0</formula>
    </cfRule>
  </conditionalFormatting>
  <conditionalFormatting sqref="F304">
    <cfRule type="cellIs" dxfId="2925" priority="3720" operator="lessThan">
      <formula>0</formula>
    </cfRule>
    <cfRule type="cellIs" dxfId="2924" priority="3721" operator="greaterThan">
      <formula>0</formula>
    </cfRule>
  </conditionalFormatting>
  <conditionalFormatting sqref="U304">
    <cfRule type="iconSet" priority="3725">
      <iconSet iconSet="3Symbols" showValue="0" reverse="1">
        <cfvo type="percent" val="0"/>
        <cfvo type="num" val="1"/>
        <cfvo type="num" val="1.05"/>
      </iconSet>
    </cfRule>
  </conditionalFormatting>
  <conditionalFormatting sqref="P304">
    <cfRule type="iconSet" priority="3726">
      <iconSet iconSet="3Symbols" showValue="0" reverse="1">
        <cfvo type="percent" val="0"/>
        <cfvo type="num" val="1"/>
        <cfvo type="num" val="1.05"/>
      </iconSet>
    </cfRule>
  </conditionalFormatting>
  <conditionalFormatting sqref="Q303">
    <cfRule type="iconSet" priority="3717">
      <iconSet iconSet="3Symbols" showValue="0" reverse="1">
        <cfvo type="percent" val="0"/>
        <cfvo type="num" val="1"/>
        <cfvo type="num" val="1.05"/>
      </iconSet>
    </cfRule>
  </conditionalFormatting>
  <conditionalFormatting sqref="N303">
    <cfRule type="cellIs" dxfId="2923" priority="3715" operator="lessThan">
      <formula>0</formula>
    </cfRule>
    <cfRule type="cellIs" dxfId="2922" priority="3716" operator="greaterThan">
      <formula>0</formula>
    </cfRule>
  </conditionalFormatting>
  <conditionalFormatting sqref="F303">
    <cfRule type="cellIs" dxfId="2921" priority="3713" operator="lessThan">
      <formula>0</formula>
    </cfRule>
    <cfRule type="cellIs" dxfId="2920" priority="3714" operator="greaterThan">
      <formula>0</formula>
    </cfRule>
  </conditionalFormatting>
  <conditionalFormatting sqref="U303">
    <cfRule type="iconSet" priority="3718">
      <iconSet iconSet="3Symbols" showValue="0" reverse="1">
        <cfvo type="percent" val="0"/>
        <cfvo type="num" val="1"/>
        <cfvo type="num" val="1.05"/>
      </iconSet>
    </cfRule>
  </conditionalFormatting>
  <conditionalFormatting sqref="P303">
    <cfRule type="iconSet" priority="3719">
      <iconSet iconSet="3Symbols" showValue="0" reverse="1">
        <cfvo type="percent" val="0"/>
        <cfvo type="num" val="1"/>
        <cfvo type="num" val="1.05"/>
      </iconSet>
    </cfRule>
  </conditionalFormatting>
  <conditionalFormatting sqref="Q302">
    <cfRule type="iconSet" priority="3710">
      <iconSet iconSet="3Symbols" showValue="0" reverse="1">
        <cfvo type="percent" val="0"/>
        <cfvo type="num" val="1"/>
        <cfvo type="num" val="1.05"/>
      </iconSet>
    </cfRule>
  </conditionalFormatting>
  <conditionalFormatting sqref="N302">
    <cfRule type="cellIs" dxfId="2919" priority="3708" operator="lessThan">
      <formula>0</formula>
    </cfRule>
    <cfRule type="cellIs" dxfId="2918" priority="3709" operator="greaterThan">
      <formula>0</formula>
    </cfRule>
  </conditionalFormatting>
  <conditionalFormatting sqref="F302">
    <cfRule type="cellIs" dxfId="2917" priority="3706" operator="lessThan">
      <formula>0</formula>
    </cfRule>
    <cfRule type="cellIs" dxfId="2916" priority="3707" operator="greaterThan">
      <formula>0</formula>
    </cfRule>
  </conditionalFormatting>
  <conditionalFormatting sqref="U302">
    <cfRule type="iconSet" priority="3711">
      <iconSet iconSet="3Symbols" showValue="0" reverse="1">
        <cfvo type="percent" val="0"/>
        <cfvo type="num" val="1"/>
        <cfvo type="num" val="1.05"/>
      </iconSet>
    </cfRule>
  </conditionalFormatting>
  <conditionalFormatting sqref="P302">
    <cfRule type="iconSet" priority="3712">
      <iconSet iconSet="3Symbols" showValue="0" reverse="1">
        <cfvo type="percent" val="0"/>
        <cfvo type="num" val="1"/>
        <cfvo type="num" val="1.05"/>
      </iconSet>
    </cfRule>
  </conditionalFormatting>
  <conditionalFormatting sqref="Q300:Q301">
    <cfRule type="iconSet" priority="3703">
      <iconSet iconSet="3Symbols" showValue="0" reverse="1">
        <cfvo type="percent" val="0"/>
        <cfvo type="num" val="1"/>
        <cfvo type="num" val="1.05"/>
      </iconSet>
    </cfRule>
  </conditionalFormatting>
  <conditionalFormatting sqref="N300:N301">
    <cfRule type="cellIs" dxfId="2915" priority="3701" operator="lessThan">
      <formula>0</formula>
    </cfRule>
    <cfRule type="cellIs" dxfId="2914" priority="3702" operator="greaterThan">
      <formula>0</formula>
    </cfRule>
  </conditionalFormatting>
  <conditionalFormatting sqref="F300:F301">
    <cfRule type="cellIs" dxfId="2913" priority="3699" operator="lessThan">
      <formula>0</formula>
    </cfRule>
    <cfRule type="cellIs" dxfId="2912" priority="3700" operator="greaterThan">
      <formula>0</formula>
    </cfRule>
  </conditionalFormatting>
  <conditionalFormatting sqref="U300:U301">
    <cfRule type="iconSet" priority="3704">
      <iconSet iconSet="3Symbols" showValue="0" reverse="1">
        <cfvo type="percent" val="0"/>
        <cfvo type="num" val="1"/>
        <cfvo type="num" val="1.05"/>
      </iconSet>
    </cfRule>
  </conditionalFormatting>
  <conditionalFormatting sqref="P300:P301">
    <cfRule type="iconSet" priority="3705">
      <iconSet iconSet="3Symbols" showValue="0" reverse="1">
        <cfvo type="percent" val="0"/>
        <cfvo type="num" val="1"/>
        <cfvo type="num" val="1.05"/>
      </iconSet>
    </cfRule>
  </conditionalFormatting>
  <conditionalFormatting sqref="Q299">
    <cfRule type="iconSet" priority="3696">
      <iconSet iconSet="3Symbols" showValue="0" reverse="1">
        <cfvo type="percent" val="0"/>
        <cfvo type="num" val="1"/>
        <cfvo type="num" val="1.05"/>
      </iconSet>
    </cfRule>
  </conditionalFormatting>
  <conditionalFormatting sqref="N299">
    <cfRule type="cellIs" dxfId="2911" priority="3694" operator="lessThan">
      <formula>0</formula>
    </cfRule>
    <cfRule type="cellIs" dxfId="2910" priority="3695" operator="greaterThan">
      <formula>0</formula>
    </cfRule>
  </conditionalFormatting>
  <conditionalFormatting sqref="F299">
    <cfRule type="cellIs" dxfId="2909" priority="3692" operator="lessThan">
      <formula>0</formula>
    </cfRule>
    <cfRule type="cellIs" dxfId="2908" priority="3693" operator="greaterThan">
      <formula>0</formula>
    </cfRule>
  </conditionalFormatting>
  <conditionalFormatting sqref="U299">
    <cfRule type="iconSet" priority="3697">
      <iconSet iconSet="3Symbols" showValue="0" reverse="1">
        <cfvo type="percent" val="0"/>
        <cfvo type="num" val="1"/>
        <cfvo type="num" val="1.05"/>
      </iconSet>
    </cfRule>
  </conditionalFormatting>
  <conditionalFormatting sqref="P299">
    <cfRule type="iconSet" priority="3698">
      <iconSet iconSet="3Symbols" showValue="0" reverse="1">
        <cfvo type="percent" val="0"/>
        <cfvo type="num" val="1"/>
        <cfvo type="num" val="1.05"/>
      </iconSet>
    </cfRule>
  </conditionalFormatting>
  <conditionalFormatting sqref="Q298">
    <cfRule type="iconSet" priority="3689">
      <iconSet iconSet="3Symbols" showValue="0" reverse="1">
        <cfvo type="percent" val="0"/>
        <cfvo type="num" val="1"/>
        <cfvo type="num" val="1.05"/>
      </iconSet>
    </cfRule>
  </conditionalFormatting>
  <conditionalFormatting sqref="N298">
    <cfRule type="cellIs" dxfId="2907" priority="3687" operator="lessThan">
      <formula>0</formula>
    </cfRule>
    <cfRule type="cellIs" dxfId="2906" priority="3688" operator="greaterThan">
      <formula>0</formula>
    </cfRule>
  </conditionalFormatting>
  <conditionalFormatting sqref="F298">
    <cfRule type="cellIs" dxfId="2905" priority="3685" operator="lessThan">
      <formula>0</formula>
    </cfRule>
    <cfRule type="cellIs" dxfId="2904" priority="3686" operator="greaterThan">
      <formula>0</formula>
    </cfRule>
  </conditionalFormatting>
  <conditionalFormatting sqref="U298">
    <cfRule type="iconSet" priority="3690">
      <iconSet iconSet="3Symbols" showValue="0" reverse="1">
        <cfvo type="percent" val="0"/>
        <cfvo type="num" val="1"/>
        <cfvo type="num" val="1.05"/>
      </iconSet>
    </cfRule>
  </conditionalFormatting>
  <conditionalFormatting sqref="P298">
    <cfRule type="iconSet" priority="3691">
      <iconSet iconSet="3Symbols" showValue="0" reverse="1">
        <cfvo type="percent" val="0"/>
        <cfvo type="num" val="1"/>
        <cfvo type="num" val="1.05"/>
      </iconSet>
    </cfRule>
  </conditionalFormatting>
  <conditionalFormatting sqref="Q297">
    <cfRule type="iconSet" priority="3682">
      <iconSet iconSet="3Symbols" showValue="0" reverse="1">
        <cfvo type="percent" val="0"/>
        <cfvo type="num" val="1"/>
        <cfvo type="num" val="1.05"/>
      </iconSet>
    </cfRule>
  </conditionalFormatting>
  <conditionalFormatting sqref="N297">
    <cfRule type="cellIs" dxfId="2903" priority="3680" operator="lessThan">
      <formula>0</formula>
    </cfRule>
    <cfRule type="cellIs" dxfId="2902" priority="3681" operator="greaterThan">
      <formula>0</formula>
    </cfRule>
  </conditionalFormatting>
  <conditionalFormatting sqref="F297">
    <cfRule type="cellIs" dxfId="2901" priority="3678" operator="lessThan">
      <formula>0</formula>
    </cfRule>
    <cfRule type="cellIs" dxfId="2900" priority="3679" operator="greaterThan">
      <formula>0</formula>
    </cfRule>
  </conditionalFormatting>
  <conditionalFormatting sqref="U297">
    <cfRule type="iconSet" priority="3683">
      <iconSet iconSet="3Symbols" showValue="0" reverse="1">
        <cfvo type="percent" val="0"/>
        <cfvo type="num" val="1"/>
        <cfvo type="num" val="1.05"/>
      </iconSet>
    </cfRule>
  </conditionalFormatting>
  <conditionalFormatting sqref="P297">
    <cfRule type="iconSet" priority="3684">
      <iconSet iconSet="3Symbols" showValue="0" reverse="1">
        <cfvo type="percent" val="0"/>
        <cfvo type="num" val="1"/>
        <cfvo type="num" val="1.05"/>
      </iconSet>
    </cfRule>
  </conditionalFormatting>
  <conditionalFormatting sqref="Q296">
    <cfRule type="iconSet" priority="3675">
      <iconSet iconSet="3Symbols" showValue="0" reverse="1">
        <cfvo type="percent" val="0"/>
        <cfvo type="num" val="1"/>
        <cfvo type="num" val="1.05"/>
      </iconSet>
    </cfRule>
  </conditionalFormatting>
  <conditionalFormatting sqref="N296">
    <cfRule type="cellIs" dxfId="2899" priority="3673" operator="lessThan">
      <formula>0</formula>
    </cfRule>
    <cfRule type="cellIs" dxfId="2898" priority="3674" operator="greaterThan">
      <formula>0</formula>
    </cfRule>
  </conditionalFormatting>
  <conditionalFormatting sqref="F296">
    <cfRule type="cellIs" dxfId="2897" priority="3671" operator="lessThan">
      <formula>0</formula>
    </cfRule>
    <cfRule type="cellIs" dxfId="2896" priority="3672" operator="greaterThan">
      <formula>0</formula>
    </cfRule>
  </conditionalFormatting>
  <conditionalFormatting sqref="U296">
    <cfRule type="iconSet" priority="3676">
      <iconSet iconSet="3Symbols" showValue="0" reverse="1">
        <cfvo type="percent" val="0"/>
        <cfvo type="num" val="1"/>
        <cfvo type="num" val="1.05"/>
      </iconSet>
    </cfRule>
  </conditionalFormatting>
  <conditionalFormatting sqref="P296">
    <cfRule type="iconSet" priority="3677">
      <iconSet iconSet="3Symbols" showValue="0" reverse="1">
        <cfvo type="percent" val="0"/>
        <cfvo type="num" val="1"/>
        <cfvo type="num" val="1.05"/>
      </iconSet>
    </cfRule>
  </conditionalFormatting>
  <conditionalFormatting sqref="Q295">
    <cfRule type="iconSet" priority="3668">
      <iconSet iconSet="3Symbols" showValue="0" reverse="1">
        <cfvo type="percent" val="0"/>
        <cfvo type="num" val="1"/>
        <cfvo type="num" val="1.05"/>
      </iconSet>
    </cfRule>
  </conditionalFormatting>
  <conditionalFormatting sqref="N295">
    <cfRule type="cellIs" dxfId="2895" priority="3666" operator="lessThan">
      <formula>0</formula>
    </cfRule>
    <cfRule type="cellIs" dxfId="2894" priority="3667" operator="greaterThan">
      <formula>0</formula>
    </cfRule>
  </conditionalFormatting>
  <conditionalFormatting sqref="F295">
    <cfRule type="cellIs" dxfId="2893" priority="3664" operator="lessThan">
      <formula>0</formula>
    </cfRule>
    <cfRule type="cellIs" dxfId="2892" priority="3665" operator="greaterThan">
      <formula>0</formula>
    </cfRule>
  </conditionalFormatting>
  <conditionalFormatting sqref="U295">
    <cfRule type="iconSet" priority="3669">
      <iconSet iconSet="3Symbols" showValue="0" reverse="1">
        <cfvo type="percent" val="0"/>
        <cfvo type="num" val="1"/>
        <cfvo type="num" val="1.05"/>
      </iconSet>
    </cfRule>
  </conditionalFormatting>
  <conditionalFormatting sqref="P295">
    <cfRule type="iconSet" priority="3670">
      <iconSet iconSet="3Symbols" showValue="0" reverse="1">
        <cfvo type="percent" val="0"/>
        <cfvo type="num" val="1"/>
        <cfvo type="num" val="1.05"/>
      </iconSet>
    </cfRule>
  </conditionalFormatting>
  <conditionalFormatting sqref="Q294">
    <cfRule type="iconSet" priority="3661">
      <iconSet iconSet="3Symbols" showValue="0" reverse="1">
        <cfvo type="percent" val="0"/>
        <cfvo type="num" val="1"/>
        <cfvo type="num" val="1.05"/>
      </iconSet>
    </cfRule>
  </conditionalFormatting>
  <conditionalFormatting sqref="N294">
    <cfRule type="cellIs" dxfId="2891" priority="3659" operator="lessThan">
      <formula>0</formula>
    </cfRule>
    <cfRule type="cellIs" dxfId="2890" priority="3660" operator="greaterThan">
      <formula>0</formula>
    </cfRule>
  </conditionalFormatting>
  <conditionalFormatting sqref="F294">
    <cfRule type="cellIs" dxfId="2889" priority="3657" operator="lessThan">
      <formula>0</formula>
    </cfRule>
    <cfRule type="cellIs" dxfId="2888" priority="3658" operator="greaterThan">
      <formula>0</formula>
    </cfRule>
  </conditionalFormatting>
  <conditionalFormatting sqref="U294">
    <cfRule type="iconSet" priority="3662">
      <iconSet iconSet="3Symbols" showValue="0" reverse="1">
        <cfvo type="percent" val="0"/>
        <cfvo type="num" val="1"/>
        <cfvo type="num" val="1.05"/>
      </iconSet>
    </cfRule>
  </conditionalFormatting>
  <conditionalFormatting sqref="P294">
    <cfRule type="iconSet" priority="3663">
      <iconSet iconSet="3Symbols" showValue="0" reverse="1">
        <cfvo type="percent" val="0"/>
        <cfvo type="num" val="1"/>
        <cfvo type="num" val="1.05"/>
      </iconSet>
    </cfRule>
  </conditionalFormatting>
  <conditionalFormatting sqref="Q293">
    <cfRule type="iconSet" priority="3654">
      <iconSet iconSet="3Symbols" showValue="0" reverse="1">
        <cfvo type="percent" val="0"/>
        <cfvo type="num" val="1"/>
        <cfvo type="num" val="1.05"/>
      </iconSet>
    </cfRule>
  </conditionalFormatting>
  <conditionalFormatting sqref="N293">
    <cfRule type="cellIs" dxfId="2887" priority="3652" operator="lessThan">
      <formula>0</formula>
    </cfRule>
    <cfRule type="cellIs" dxfId="2886" priority="3653" operator="greaterThan">
      <formula>0</formula>
    </cfRule>
  </conditionalFormatting>
  <conditionalFormatting sqref="F293">
    <cfRule type="cellIs" dxfId="2885" priority="3650" operator="lessThan">
      <formula>0</formula>
    </cfRule>
    <cfRule type="cellIs" dxfId="2884" priority="3651" operator="greaterThan">
      <formula>0</formula>
    </cfRule>
  </conditionalFormatting>
  <conditionalFormatting sqref="U293">
    <cfRule type="iconSet" priority="3655">
      <iconSet iconSet="3Symbols" showValue="0" reverse="1">
        <cfvo type="percent" val="0"/>
        <cfvo type="num" val="1"/>
        <cfvo type="num" val="1.05"/>
      </iconSet>
    </cfRule>
  </conditionalFormatting>
  <conditionalFormatting sqref="P293">
    <cfRule type="iconSet" priority="3656">
      <iconSet iconSet="3Symbols" showValue="0" reverse="1">
        <cfvo type="percent" val="0"/>
        <cfvo type="num" val="1"/>
        <cfvo type="num" val="1.05"/>
      </iconSet>
    </cfRule>
  </conditionalFormatting>
  <conditionalFormatting sqref="Q292">
    <cfRule type="iconSet" priority="3647">
      <iconSet iconSet="3Symbols" showValue="0" reverse="1">
        <cfvo type="percent" val="0"/>
        <cfvo type="num" val="1"/>
        <cfvo type="num" val="1.05"/>
      </iconSet>
    </cfRule>
  </conditionalFormatting>
  <conditionalFormatting sqref="N292">
    <cfRule type="cellIs" dxfId="2883" priority="3645" operator="lessThan">
      <formula>0</formula>
    </cfRule>
    <cfRule type="cellIs" dxfId="2882" priority="3646" operator="greaterThan">
      <formula>0</formula>
    </cfRule>
  </conditionalFormatting>
  <conditionalFormatting sqref="F292">
    <cfRule type="cellIs" dxfId="2881" priority="3643" operator="lessThan">
      <formula>0</formula>
    </cfRule>
    <cfRule type="cellIs" dxfId="2880" priority="3644" operator="greaterThan">
      <formula>0</formula>
    </cfRule>
  </conditionalFormatting>
  <conditionalFormatting sqref="U292">
    <cfRule type="iconSet" priority="3648">
      <iconSet iconSet="3Symbols" showValue="0" reverse="1">
        <cfvo type="percent" val="0"/>
        <cfvo type="num" val="1"/>
        <cfvo type="num" val="1.05"/>
      </iconSet>
    </cfRule>
  </conditionalFormatting>
  <conditionalFormatting sqref="P292">
    <cfRule type="iconSet" priority="3649">
      <iconSet iconSet="3Symbols" showValue="0" reverse="1">
        <cfvo type="percent" val="0"/>
        <cfvo type="num" val="1"/>
        <cfvo type="num" val="1.05"/>
      </iconSet>
    </cfRule>
  </conditionalFormatting>
  <conditionalFormatting sqref="Q291">
    <cfRule type="iconSet" priority="3640">
      <iconSet iconSet="3Symbols" showValue="0" reverse="1">
        <cfvo type="percent" val="0"/>
        <cfvo type="num" val="1"/>
        <cfvo type="num" val="1.05"/>
      </iconSet>
    </cfRule>
  </conditionalFormatting>
  <conditionalFormatting sqref="N291">
    <cfRule type="cellIs" dxfId="2879" priority="3638" operator="lessThan">
      <formula>0</formula>
    </cfRule>
    <cfRule type="cellIs" dxfId="2878" priority="3639" operator="greaterThan">
      <formula>0</formula>
    </cfRule>
  </conditionalFormatting>
  <conditionalFormatting sqref="F291">
    <cfRule type="cellIs" dxfId="2877" priority="3636" operator="lessThan">
      <formula>0</formula>
    </cfRule>
    <cfRule type="cellIs" dxfId="2876" priority="3637" operator="greaterThan">
      <formula>0</formula>
    </cfRule>
  </conditionalFormatting>
  <conditionalFormatting sqref="U291">
    <cfRule type="iconSet" priority="3641">
      <iconSet iconSet="3Symbols" showValue="0" reverse="1">
        <cfvo type="percent" val="0"/>
        <cfvo type="num" val="1"/>
        <cfvo type="num" val="1.05"/>
      </iconSet>
    </cfRule>
  </conditionalFormatting>
  <conditionalFormatting sqref="P291">
    <cfRule type="iconSet" priority="3642">
      <iconSet iconSet="3Symbols" showValue="0" reverse="1">
        <cfvo type="percent" val="0"/>
        <cfvo type="num" val="1"/>
        <cfvo type="num" val="1.05"/>
      </iconSet>
    </cfRule>
  </conditionalFormatting>
  <conditionalFormatting sqref="Q290">
    <cfRule type="iconSet" priority="3633">
      <iconSet iconSet="3Symbols" showValue="0" reverse="1">
        <cfvo type="percent" val="0"/>
        <cfvo type="num" val="1"/>
        <cfvo type="num" val="1.05"/>
      </iconSet>
    </cfRule>
  </conditionalFormatting>
  <conditionalFormatting sqref="N290">
    <cfRule type="cellIs" dxfId="2875" priority="3631" operator="lessThan">
      <formula>0</formula>
    </cfRule>
    <cfRule type="cellIs" dxfId="2874" priority="3632" operator="greaterThan">
      <formula>0</formula>
    </cfRule>
  </conditionalFormatting>
  <conditionalFormatting sqref="F290">
    <cfRule type="cellIs" dxfId="2873" priority="3629" operator="lessThan">
      <formula>0</formula>
    </cfRule>
    <cfRule type="cellIs" dxfId="2872" priority="3630" operator="greaterThan">
      <formula>0</formula>
    </cfRule>
  </conditionalFormatting>
  <conditionalFormatting sqref="U290">
    <cfRule type="iconSet" priority="3634">
      <iconSet iconSet="3Symbols" showValue="0" reverse="1">
        <cfvo type="percent" val="0"/>
        <cfvo type="num" val="1"/>
        <cfvo type="num" val="1.05"/>
      </iconSet>
    </cfRule>
  </conditionalFormatting>
  <conditionalFormatting sqref="P290">
    <cfRule type="iconSet" priority="3635">
      <iconSet iconSet="3Symbols" showValue="0" reverse="1">
        <cfvo type="percent" val="0"/>
        <cfvo type="num" val="1"/>
        <cfvo type="num" val="1.05"/>
      </iconSet>
    </cfRule>
  </conditionalFormatting>
  <conditionalFormatting sqref="Q289">
    <cfRule type="iconSet" priority="3626">
      <iconSet iconSet="3Symbols" showValue="0" reverse="1">
        <cfvo type="percent" val="0"/>
        <cfvo type="num" val="1"/>
        <cfvo type="num" val="1.05"/>
      </iconSet>
    </cfRule>
  </conditionalFormatting>
  <conditionalFormatting sqref="N289">
    <cfRule type="cellIs" dxfId="2871" priority="3624" operator="lessThan">
      <formula>0</formula>
    </cfRule>
    <cfRule type="cellIs" dxfId="2870" priority="3625" operator="greaterThan">
      <formula>0</formula>
    </cfRule>
  </conditionalFormatting>
  <conditionalFormatting sqref="F289">
    <cfRule type="cellIs" dxfId="2869" priority="3622" operator="lessThan">
      <formula>0</formula>
    </cfRule>
    <cfRule type="cellIs" dxfId="2868" priority="3623" operator="greaterThan">
      <formula>0</formula>
    </cfRule>
  </conditionalFormatting>
  <conditionalFormatting sqref="U289">
    <cfRule type="iconSet" priority="3627">
      <iconSet iconSet="3Symbols" showValue="0" reverse="1">
        <cfvo type="percent" val="0"/>
        <cfvo type="num" val="1"/>
        <cfvo type="num" val="1.05"/>
      </iconSet>
    </cfRule>
  </conditionalFormatting>
  <conditionalFormatting sqref="P289">
    <cfRule type="iconSet" priority="3628">
      <iconSet iconSet="3Symbols" showValue="0" reverse="1">
        <cfvo type="percent" val="0"/>
        <cfvo type="num" val="1"/>
        <cfvo type="num" val="1.05"/>
      </iconSet>
    </cfRule>
  </conditionalFormatting>
  <conditionalFormatting sqref="Q287:Q288">
    <cfRule type="iconSet" priority="3619">
      <iconSet iconSet="3Symbols" showValue="0" reverse="1">
        <cfvo type="percent" val="0"/>
        <cfvo type="num" val="1"/>
        <cfvo type="num" val="1.05"/>
      </iconSet>
    </cfRule>
  </conditionalFormatting>
  <conditionalFormatting sqref="N287:N288">
    <cfRule type="cellIs" dxfId="2867" priority="3617" operator="lessThan">
      <formula>0</formula>
    </cfRule>
    <cfRule type="cellIs" dxfId="2866" priority="3618" operator="greaterThan">
      <formula>0</formula>
    </cfRule>
  </conditionalFormatting>
  <conditionalFormatting sqref="F287:F288">
    <cfRule type="cellIs" dxfId="2865" priority="3615" operator="lessThan">
      <formula>0</formula>
    </cfRule>
    <cfRule type="cellIs" dxfId="2864" priority="3616" operator="greaterThan">
      <formula>0</formula>
    </cfRule>
  </conditionalFormatting>
  <conditionalFormatting sqref="U287:U288">
    <cfRule type="iconSet" priority="3620">
      <iconSet iconSet="3Symbols" showValue="0" reverse="1">
        <cfvo type="percent" val="0"/>
        <cfvo type="num" val="1"/>
        <cfvo type="num" val="1.05"/>
      </iconSet>
    </cfRule>
  </conditionalFormatting>
  <conditionalFormatting sqref="P287:P288">
    <cfRule type="iconSet" priority="3621">
      <iconSet iconSet="3Symbols" showValue="0" reverse="1">
        <cfvo type="percent" val="0"/>
        <cfvo type="num" val="1"/>
        <cfvo type="num" val="1.05"/>
      </iconSet>
    </cfRule>
  </conditionalFormatting>
  <conditionalFormatting sqref="Q286">
    <cfRule type="iconSet" priority="3612">
      <iconSet iconSet="3Symbols" showValue="0" reverse="1">
        <cfvo type="percent" val="0"/>
        <cfvo type="num" val="1"/>
        <cfvo type="num" val="1.05"/>
      </iconSet>
    </cfRule>
  </conditionalFormatting>
  <conditionalFormatting sqref="N286">
    <cfRule type="cellIs" dxfId="2863" priority="3610" operator="lessThan">
      <formula>0</formula>
    </cfRule>
    <cfRule type="cellIs" dxfId="2862" priority="3611" operator="greaterThan">
      <formula>0</formula>
    </cfRule>
  </conditionalFormatting>
  <conditionalFormatting sqref="F286">
    <cfRule type="cellIs" dxfId="2861" priority="3608" operator="lessThan">
      <formula>0</formula>
    </cfRule>
    <cfRule type="cellIs" dxfId="2860" priority="3609" operator="greaterThan">
      <formula>0</formula>
    </cfRule>
  </conditionalFormatting>
  <conditionalFormatting sqref="U286">
    <cfRule type="iconSet" priority="3613">
      <iconSet iconSet="3Symbols" showValue="0" reverse="1">
        <cfvo type="percent" val="0"/>
        <cfvo type="num" val="1"/>
        <cfvo type="num" val="1.05"/>
      </iconSet>
    </cfRule>
  </conditionalFormatting>
  <conditionalFormatting sqref="P286">
    <cfRule type="iconSet" priority="3614">
      <iconSet iconSet="3Symbols" showValue="0" reverse="1">
        <cfvo type="percent" val="0"/>
        <cfvo type="num" val="1"/>
        <cfvo type="num" val="1.05"/>
      </iconSet>
    </cfRule>
  </conditionalFormatting>
  <conditionalFormatting sqref="Q285">
    <cfRule type="iconSet" priority="3605">
      <iconSet iconSet="3Symbols" showValue="0" reverse="1">
        <cfvo type="percent" val="0"/>
        <cfvo type="num" val="1"/>
        <cfvo type="num" val="1.05"/>
      </iconSet>
    </cfRule>
  </conditionalFormatting>
  <conditionalFormatting sqref="N285">
    <cfRule type="cellIs" dxfId="2859" priority="3603" operator="lessThan">
      <formula>0</formula>
    </cfRule>
    <cfRule type="cellIs" dxfId="2858" priority="3604" operator="greaterThan">
      <formula>0</formula>
    </cfRule>
  </conditionalFormatting>
  <conditionalFormatting sqref="F285">
    <cfRule type="cellIs" dxfId="2857" priority="3601" operator="lessThan">
      <formula>0</formula>
    </cfRule>
    <cfRule type="cellIs" dxfId="2856" priority="3602" operator="greaterThan">
      <formula>0</formula>
    </cfRule>
  </conditionalFormatting>
  <conditionalFormatting sqref="U285">
    <cfRule type="iconSet" priority="3606">
      <iconSet iconSet="3Symbols" showValue="0" reverse="1">
        <cfvo type="percent" val="0"/>
        <cfvo type="num" val="1"/>
        <cfvo type="num" val="1.05"/>
      </iconSet>
    </cfRule>
  </conditionalFormatting>
  <conditionalFormatting sqref="P285">
    <cfRule type="iconSet" priority="3607">
      <iconSet iconSet="3Symbols" showValue="0" reverse="1">
        <cfvo type="percent" val="0"/>
        <cfvo type="num" val="1"/>
        <cfvo type="num" val="1.05"/>
      </iconSet>
    </cfRule>
  </conditionalFormatting>
  <conditionalFormatting sqref="Q284">
    <cfRule type="iconSet" priority="3598">
      <iconSet iconSet="3Symbols" showValue="0" reverse="1">
        <cfvo type="percent" val="0"/>
        <cfvo type="num" val="1"/>
        <cfvo type="num" val="1.05"/>
      </iconSet>
    </cfRule>
  </conditionalFormatting>
  <conditionalFormatting sqref="N284">
    <cfRule type="cellIs" dxfId="2855" priority="3596" operator="lessThan">
      <formula>0</formula>
    </cfRule>
    <cfRule type="cellIs" dxfId="2854" priority="3597" operator="greaterThan">
      <formula>0</formula>
    </cfRule>
  </conditionalFormatting>
  <conditionalFormatting sqref="F284">
    <cfRule type="cellIs" dxfId="2853" priority="3594" operator="lessThan">
      <formula>0</formula>
    </cfRule>
    <cfRule type="cellIs" dxfId="2852" priority="3595" operator="greaterThan">
      <formula>0</formula>
    </cfRule>
  </conditionalFormatting>
  <conditionalFormatting sqref="U284">
    <cfRule type="iconSet" priority="3599">
      <iconSet iconSet="3Symbols" showValue="0" reverse="1">
        <cfvo type="percent" val="0"/>
        <cfvo type="num" val="1"/>
        <cfvo type="num" val="1.05"/>
      </iconSet>
    </cfRule>
  </conditionalFormatting>
  <conditionalFormatting sqref="P284">
    <cfRule type="iconSet" priority="3600">
      <iconSet iconSet="3Symbols" showValue="0" reverse="1">
        <cfvo type="percent" val="0"/>
        <cfvo type="num" val="1"/>
        <cfvo type="num" val="1.05"/>
      </iconSet>
    </cfRule>
  </conditionalFormatting>
  <conditionalFormatting sqref="Q283">
    <cfRule type="iconSet" priority="3591">
      <iconSet iconSet="3Symbols" showValue="0" reverse="1">
        <cfvo type="percent" val="0"/>
        <cfvo type="num" val="1"/>
        <cfvo type="num" val="1.05"/>
      </iconSet>
    </cfRule>
  </conditionalFormatting>
  <conditionalFormatting sqref="N283">
    <cfRule type="cellIs" dxfId="2851" priority="3589" operator="lessThan">
      <formula>0</formula>
    </cfRule>
    <cfRule type="cellIs" dxfId="2850" priority="3590" operator="greaterThan">
      <formula>0</formula>
    </cfRule>
  </conditionalFormatting>
  <conditionalFormatting sqref="F283">
    <cfRule type="cellIs" dxfId="2849" priority="3587" operator="lessThan">
      <formula>0</formula>
    </cfRule>
    <cfRule type="cellIs" dxfId="2848" priority="3588" operator="greaterThan">
      <formula>0</formula>
    </cfRule>
  </conditionalFormatting>
  <conditionalFormatting sqref="U283">
    <cfRule type="iconSet" priority="3592">
      <iconSet iconSet="3Symbols" showValue="0" reverse="1">
        <cfvo type="percent" val="0"/>
        <cfvo type="num" val="1"/>
        <cfvo type="num" val="1.05"/>
      </iconSet>
    </cfRule>
  </conditionalFormatting>
  <conditionalFormatting sqref="P283">
    <cfRule type="iconSet" priority="3593">
      <iconSet iconSet="3Symbols" showValue="0" reverse="1">
        <cfvo type="percent" val="0"/>
        <cfvo type="num" val="1"/>
        <cfvo type="num" val="1.05"/>
      </iconSet>
    </cfRule>
  </conditionalFormatting>
  <conditionalFormatting sqref="Q282">
    <cfRule type="iconSet" priority="3584">
      <iconSet iconSet="3Symbols" showValue="0" reverse="1">
        <cfvo type="percent" val="0"/>
        <cfvo type="num" val="1"/>
        <cfvo type="num" val="1.05"/>
      </iconSet>
    </cfRule>
  </conditionalFormatting>
  <conditionalFormatting sqref="N282">
    <cfRule type="cellIs" dxfId="2847" priority="3582" operator="lessThan">
      <formula>0</formula>
    </cfRule>
    <cfRule type="cellIs" dxfId="2846" priority="3583" operator="greaterThan">
      <formula>0</formula>
    </cfRule>
  </conditionalFormatting>
  <conditionalFormatting sqref="F282">
    <cfRule type="cellIs" dxfId="2845" priority="3580" operator="lessThan">
      <formula>0</formula>
    </cfRule>
    <cfRule type="cellIs" dxfId="2844" priority="3581" operator="greaterThan">
      <formula>0</formula>
    </cfRule>
  </conditionalFormatting>
  <conditionalFormatting sqref="U282">
    <cfRule type="iconSet" priority="3585">
      <iconSet iconSet="3Symbols" showValue="0" reverse="1">
        <cfvo type="percent" val="0"/>
        <cfvo type="num" val="1"/>
        <cfvo type="num" val="1.05"/>
      </iconSet>
    </cfRule>
  </conditionalFormatting>
  <conditionalFormatting sqref="P282">
    <cfRule type="iconSet" priority="3586">
      <iconSet iconSet="3Symbols" showValue="0" reverse="1">
        <cfvo type="percent" val="0"/>
        <cfvo type="num" val="1"/>
        <cfvo type="num" val="1.05"/>
      </iconSet>
    </cfRule>
  </conditionalFormatting>
  <conditionalFormatting sqref="Q281">
    <cfRule type="iconSet" priority="3577">
      <iconSet iconSet="3Symbols" showValue="0" reverse="1">
        <cfvo type="percent" val="0"/>
        <cfvo type="num" val="1"/>
        <cfvo type="num" val="1.05"/>
      </iconSet>
    </cfRule>
  </conditionalFormatting>
  <conditionalFormatting sqref="N281">
    <cfRule type="cellIs" dxfId="2843" priority="3575" operator="lessThan">
      <formula>0</formula>
    </cfRule>
    <cfRule type="cellIs" dxfId="2842" priority="3576" operator="greaterThan">
      <formula>0</formula>
    </cfRule>
  </conditionalFormatting>
  <conditionalFormatting sqref="F281">
    <cfRule type="cellIs" dxfId="2841" priority="3573" operator="lessThan">
      <formula>0</formula>
    </cfRule>
    <cfRule type="cellIs" dxfId="2840" priority="3574" operator="greaterThan">
      <formula>0</formula>
    </cfRule>
  </conditionalFormatting>
  <conditionalFormatting sqref="U281">
    <cfRule type="iconSet" priority="3578">
      <iconSet iconSet="3Symbols" showValue="0" reverse="1">
        <cfvo type="percent" val="0"/>
        <cfvo type="num" val="1"/>
        <cfvo type="num" val="1.05"/>
      </iconSet>
    </cfRule>
  </conditionalFormatting>
  <conditionalFormatting sqref="P281">
    <cfRule type="iconSet" priority="3579">
      <iconSet iconSet="3Symbols" showValue="0" reverse="1">
        <cfvo type="percent" val="0"/>
        <cfvo type="num" val="1"/>
        <cfvo type="num" val="1.05"/>
      </iconSet>
    </cfRule>
  </conditionalFormatting>
  <conditionalFormatting sqref="Q280">
    <cfRule type="iconSet" priority="3570">
      <iconSet iconSet="3Symbols" showValue="0" reverse="1">
        <cfvo type="percent" val="0"/>
        <cfvo type="num" val="1"/>
        <cfvo type="num" val="1.05"/>
      </iconSet>
    </cfRule>
  </conditionalFormatting>
  <conditionalFormatting sqref="N280">
    <cfRule type="cellIs" dxfId="2839" priority="3568" operator="lessThan">
      <formula>0</formula>
    </cfRule>
    <cfRule type="cellIs" dxfId="2838" priority="3569" operator="greaterThan">
      <formula>0</formula>
    </cfRule>
  </conditionalFormatting>
  <conditionalFormatting sqref="F280">
    <cfRule type="cellIs" dxfId="2837" priority="3566" operator="lessThan">
      <formula>0</formula>
    </cfRule>
    <cfRule type="cellIs" dxfId="2836" priority="3567" operator="greaterThan">
      <formula>0</formula>
    </cfRule>
  </conditionalFormatting>
  <conditionalFormatting sqref="U280">
    <cfRule type="iconSet" priority="3571">
      <iconSet iconSet="3Symbols" showValue="0" reverse="1">
        <cfvo type="percent" val="0"/>
        <cfvo type="num" val="1"/>
        <cfvo type="num" val="1.05"/>
      </iconSet>
    </cfRule>
  </conditionalFormatting>
  <conditionalFormatting sqref="P280">
    <cfRule type="iconSet" priority="3572">
      <iconSet iconSet="3Symbols" showValue="0" reverse="1">
        <cfvo type="percent" val="0"/>
        <cfvo type="num" val="1"/>
        <cfvo type="num" val="1.05"/>
      </iconSet>
    </cfRule>
  </conditionalFormatting>
  <conditionalFormatting sqref="Q279">
    <cfRule type="iconSet" priority="3563">
      <iconSet iconSet="3Symbols" showValue="0" reverse="1">
        <cfvo type="percent" val="0"/>
        <cfvo type="num" val="1"/>
        <cfvo type="num" val="1.05"/>
      </iconSet>
    </cfRule>
  </conditionalFormatting>
  <conditionalFormatting sqref="N279">
    <cfRule type="cellIs" dxfId="2835" priority="3561" operator="lessThan">
      <formula>0</formula>
    </cfRule>
    <cfRule type="cellIs" dxfId="2834" priority="3562" operator="greaterThan">
      <formula>0</formula>
    </cfRule>
  </conditionalFormatting>
  <conditionalFormatting sqref="F279">
    <cfRule type="cellIs" dxfId="2833" priority="3559" operator="lessThan">
      <formula>0</formula>
    </cfRule>
    <cfRule type="cellIs" dxfId="2832" priority="3560" operator="greaterThan">
      <formula>0</formula>
    </cfRule>
  </conditionalFormatting>
  <conditionalFormatting sqref="U279">
    <cfRule type="iconSet" priority="3564">
      <iconSet iconSet="3Symbols" showValue="0" reverse="1">
        <cfvo type="percent" val="0"/>
        <cfvo type="num" val="1"/>
        <cfvo type="num" val="1.05"/>
      </iconSet>
    </cfRule>
  </conditionalFormatting>
  <conditionalFormatting sqref="P279">
    <cfRule type="iconSet" priority="3565">
      <iconSet iconSet="3Symbols" showValue="0" reverse="1">
        <cfvo type="percent" val="0"/>
        <cfvo type="num" val="1"/>
        <cfvo type="num" val="1.05"/>
      </iconSet>
    </cfRule>
  </conditionalFormatting>
  <conditionalFormatting sqref="Q278">
    <cfRule type="iconSet" priority="3556">
      <iconSet iconSet="3Symbols" showValue="0" reverse="1">
        <cfvo type="percent" val="0"/>
        <cfvo type="num" val="1"/>
        <cfvo type="num" val="1.05"/>
      </iconSet>
    </cfRule>
  </conditionalFormatting>
  <conditionalFormatting sqref="N278">
    <cfRule type="cellIs" dxfId="2831" priority="3554" operator="lessThan">
      <formula>0</formula>
    </cfRule>
    <cfRule type="cellIs" dxfId="2830" priority="3555" operator="greaterThan">
      <formula>0</formula>
    </cfRule>
  </conditionalFormatting>
  <conditionalFormatting sqref="F278">
    <cfRule type="cellIs" dxfId="2829" priority="3552" operator="lessThan">
      <formula>0</formula>
    </cfRule>
    <cfRule type="cellIs" dxfId="2828" priority="3553" operator="greaterThan">
      <formula>0</formula>
    </cfRule>
  </conditionalFormatting>
  <conditionalFormatting sqref="U278">
    <cfRule type="iconSet" priority="3557">
      <iconSet iconSet="3Symbols" showValue="0" reverse="1">
        <cfvo type="percent" val="0"/>
        <cfvo type="num" val="1"/>
        <cfvo type="num" val="1.05"/>
      </iconSet>
    </cfRule>
  </conditionalFormatting>
  <conditionalFormatting sqref="P278">
    <cfRule type="iconSet" priority="3558">
      <iconSet iconSet="3Symbols" showValue="0" reverse="1">
        <cfvo type="percent" val="0"/>
        <cfvo type="num" val="1"/>
        <cfvo type="num" val="1.05"/>
      </iconSet>
    </cfRule>
  </conditionalFormatting>
  <conditionalFormatting sqref="Q277">
    <cfRule type="iconSet" priority="3549">
      <iconSet iconSet="3Symbols" showValue="0" reverse="1">
        <cfvo type="percent" val="0"/>
        <cfvo type="num" val="1"/>
        <cfvo type="num" val="1.05"/>
      </iconSet>
    </cfRule>
  </conditionalFormatting>
  <conditionalFormatting sqref="N277">
    <cfRule type="cellIs" dxfId="2827" priority="3547" operator="lessThan">
      <formula>0</formula>
    </cfRule>
    <cfRule type="cellIs" dxfId="2826" priority="3548" operator="greaterThan">
      <formula>0</formula>
    </cfRule>
  </conditionalFormatting>
  <conditionalFormatting sqref="F277">
    <cfRule type="cellIs" dxfId="2825" priority="3545" operator="lessThan">
      <formula>0</formula>
    </cfRule>
    <cfRule type="cellIs" dxfId="2824" priority="3546" operator="greaterThan">
      <formula>0</formula>
    </cfRule>
  </conditionalFormatting>
  <conditionalFormatting sqref="U277">
    <cfRule type="iconSet" priority="3550">
      <iconSet iconSet="3Symbols" showValue="0" reverse="1">
        <cfvo type="percent" val="0"/>
        <cfvo type="num" val="1"/>
        <cfvo type="num" val="1.05"/>
      </iconSet>
    </cfRule>
  </conditionalFormatting>
  <conditionalFormatting sqref="P277">
    <cfRule type="iconSet" priority="3551">
      <iconSet iconSet="3Symbols" showValue="0" reverse="1">
        <cfvo type="percent" val="0"/>
        <cfvo type="num" val="1"/>
        <cfvo type="num" val="1.05"/>
      </iconSet>
    </cfRule>
  </conditionalFormatting>
  <conditionalFormatting sqref="Q276">
    <cfRule type="iconSet" priority="3542">
      <iconSet iconSet="3Symbols" showValue="0" reverse="1">
        <cfvo type="percent" val="0"/>
        <cfvo type="num" val="1"/>
        <cfvo type="num" val="1.05"/>
      </iconSet>
    </cfRule>
  </conditionalFormatting>
  <conditionalFormatting sqref="N276">
    <cfRule type="cellIs" dxfId="2823" priority="3540" operator="lessThan">
      <formula>0</formula>
    </cfRule>
    <cfRule type="cellIs" dxfId="2822" priority="3541" operator="greaterThan">
      <formula>0</formula>
    </cfRule>
  </conditionalFormatting>
  <conditionalFormatting sqref="F276">
    <cfRule type="cellIs" dxfId="2821" priority="3538" operator="lessThan">
      <formula>0</formula>
    </cfRule>
    <cfRule type="cellIs" dxfId="2820" priority="3539" operator="greaterThan">
      <formula>0</formula>
    </cfRule>
  </conditionalFormatting>
  <conditionalFormatting sqref="U276">
    <cfRule type="iconSet" priority="3543">
      <iconSet iconSet="3Symbols" showValue="0" reverse="1">
        <cfvo type="percent" val="0"/>
        <cfvo type="num" val="1"/>
        <cfvo type="num" val="1.05"/>
      </iconSet>
    </cfRule>
  </conditionalFormatting>
  <conditionalFormatting sqref="P276">
    <cfRule type="iconSet" priority="3544">
      <iconSet iconSet="3Symbols" showValue="0" reverse="1">
        <cfvo type="percent" val="0"/>
        <cfvo type="num" val="1"/>
        <cfvo type="num" val="1.05"/>
      </iconSet>
    </cfRule>
  </conditionalFormatting>
  <conditionalFormatting sqref="Q274:Q275">
    <cfRule type="iconSet" priority="3535">
      <iconSet iconSet="3Symbols" showValue="0" reverse="1">
        <cfvo type="percent" val="0"/>
        <cfvo type="num" val="1"/>
        <cfvo type="num" val="1.05"/>
      </iconSet>
    </cfRule>
  </conditionalFormatting>
  <conditionalFormatting sqref="N274:N275">
    <cfRule type="cellIs" dxfId="2819" priority="3533" operator="lessThan">
      <formula>0</formula>
    </cfRule>
    <cfRule type="cellIs" dxfId="2818" priority="3534" operator="greaterThan">
      <formula>0</formula>
    </cfRule>
  </conditionalFormatting>
  <conditionalFormatting sqref="F274:F275">
    <cfRule type="cellIs" dxfId="2817" priority="3531" operator="lessThan">
      <formula>0</formula>
    </cfRule>
    <cfRule type="cellIs" dxfId="2816" priority="3532" operator="greaterThan">
      <formula>0</formula>
    </cfRule>
  </conditionalFormatting>
  <conditionalFormatting sqref="U274:U275">
    <cfRule type="iconSet" priority="3536">
      <iconSet iconSet="3Symbols" showValue="0" reverse="1">
        <cfvo type="percent" val="0"/>
        <cfvo type="num" val="1"/>
        <cfvo type="num" val="1.05"/>
      </iconSet>
    </cfRule>
  </conditionalFormatting>
  <conditionalFormatting sqref="P274:P275">
    <cfRule type="iconSet" priority="3537">
      <iconSet iconSet="3Symbols" showValue="0" reverse="1">
        <cfvo type="percent" val="0"/>
        <cfvo type="num" val="1"/>
        <cfvo type="num" val="1.05"/>
      </iconSet>
    </cfRule>
  </conditionalFormatting>
  <conditionalFormatting sqref="Q273">
    <cfRule type="iconSet" priority="3528">
      <iconSet iconSet="3Symbols" showValue="0" reverse="1">
        <cfvo type="percent" val="0"/>
        <cfvo type="num" val="1"/>
        <cfvo type="num" val="1.05"/>
      </iconSet>
    </cfRule>
  </conditionalFormatting>
  <conditionalFormatting sqref="N273">
    <cfRule type="cellIs" dxfId="2815" priority="3526" operator="lessThan">
      <formula>0</formula>
    </cfRule>
    <cfRule type="cellIs" dxfId="2814" priority="3527" operator="greaterThan">
      <formula>0</formula>
    </cfRule>
  </conditionalFormatting>
  <conditionalFormatting sqref="F273">
    <cfRule type="cellIs" dxfId="2813" priority="3524" operator="lessThan">
      <formula>0</formula>
    </cfRule>
    <cfRule type="cellIs" dxfId="2812" priority="3525" operator="greaterThan">
      <formula>0</formula>
    </cfRule>
  </conditionalFormatting>
  <conditionalFormatting sqref="U273">
    <cfRule type="iconSet" priority="3529">
      <iconSet iconSet="3Symbols" showValue="0" reverse="1">
        <cfvo type="percent" val="0"/>
        <cfvo type="num" val="1"/>
        <cfvo type="num" val="1.05"/>
      </iconSet>
    </cfRule>
  </conditionalFormatting>
  <conditionalFormatting sqref="P273">
    <cfRule type="iconSet" priority="3530">
      <iconSet iconSet="3Symbols" showValue="0" reverse="1">
        <cfvo type="percent" val="0"/>
        <cfvo type="num" val="1"/>
        <cfvo type="num" val="1.05"/>
      </iconSet>
    </cfRule>
  </conditionalFormatting>
  <conditionalFormatting sqref="Q272">
    <cfRule type="iconSet" priority="3521">
      <iconSet iconSet="3Symbols" showValue="0" reverse="1">
        <cfvo type="percent" val="0"/>
        <cfvo type="num" val="1"/>
        <cfvo type="num" val="1.05"/>
      </iconSet>
    </cfRule>
  </conditionalFormatting>
  <conditionalFormatting sqref="N272">
    <cfRule type="cellIs" dxfId="2811" priority="3519" operator="lessThan">
      <formula>0</formula>
    </cfRule>
    <cfRule type="cellIs" dxfId="2810" priority="3520" operator="greaterThan">
      <formula>0</formula>
    </cfRule>
  </conditionalFormatting>
  <conditionalFormatting sqref="F272">
    <cfRule type="cellIs" dxfId="2809" priority="3517" operator="lessThan">
      <formula>0</formula>
    </cfRule>
    <cfRule type="cellIs" dxfId="2808" priority="3518" operator="greaterThan">
      <formula>0</formula>
    </cfRule>
  </conditionalFormatting>
  <conditionalFormatting sqref="U272">
    <cfRule type="iconSet" priority="3522">
      <iconSet iconSet="3Symbols" showValue="0" reverse="1">
        <cfvo type="percent" val="0"/>
        <cfvo type="num" val="1"/>
        <cfvo type="num" val="1.05"/>
      </iconSet>
    </cfRule>
  </conditionalFormatting>
  <conditionalFormatting sqref="P272">
    <cfRule type="iconSet" priority="3523">
      <iconSet iconSet="3Symbols" showValue="0" reverse="1">
        <cfvo type="percent" val="0"/>
        <cfvo type="num" val="1"/>
        <cfvo type="num" val="1.05"/>
      </iconSet>
    </cfRule>
  </conditionalFormatting>
  <conditionalFormatting sqref="Q271">
    <cfRule type="iconSet" priority="3514">
      <iconSet iconSet="3Symbols" showValue="0" reverse="1">
        <cfvo type="percent" val="0"/>
        <cfvo type="num" val="1"/>
        <cfvo type="num" val="1.05"/>
      </iconSet>
    </cfRule>
  </conditionalFormatting>
  <conditionalFormatting sqref="N271">
    <cfRule type="cellIs" dxfId="2807" priority="3512" operator="lessThan">
      <formula>0</formula>
    </cfRule>
    <cfRule type="cellIs" dxfId="2806" priority="3513" operator="greaterThan">
      <formula>0</formula>
    </cfRule>
  </conditionalFormatting>
  <conditionalFormatting sqref="F271">
    <cfRule type="cellIs" dxfId="2805" priority="3510" operator="lessThan">
      <formula>0</formula>
    </cfRule>
    <cfRule type="cellIs" dxfId="2804" priority="3511" operator="greaterThan">
      <formula>0</formula>
    </cfRule>
  </conditionalFormatting>
  <conditionalFormatting sqref="U271">
    <cfRule type="iconSet" priority="3515">
      <iconSet iconSet="3Symbols" showValue="0" reverse="1">
        <cfvo type="percent" val="0"/>
        <cfvo type="num" val="1"/>
        <cfvo type="num" val="1.05"/>
      </iconSet>
    </cfRule>
  </conditionalFormatting>
  <conditionalFormatting sqref="P271">
    <cfRule type="iconSet" priority="3516">
      <iconSet iconSet="3Symbols" showValue="0" reverse="1">
        <cfvo type="percent" val="0"/>
        <cfvo type="num" val="1"/>
        <cfvo type="num" val="1.05"/>
      </iconSet>
    </cfRule>
  </conditionalFormatting>
  <conditionalFormatting sqref="Q270">
    <cfRule type="iconSet" priority="3507">
      <iconSet iconSet="3Symbols" showValue="0" reverse="1">
        <cfvo type="percent" val="0"/>
        <cfvo type="num" val="1"/>
        <cfvo type="num" val="1.05"/>
      </iconSet>
    </cfRule>
  </conditionalFormatting>
  <conditionalFormatting sqref="N270">
    <cfRule type="cellIs" dxfId="2803" priority="3505" operator="lessThan">
      <formula>0</formula>
    </cfRule>
    <cfRule type="cellIs" dxfId="2802" priority="3506" operator="greaterThan">
      <formula>0</formula>
    </cfRule>
  </conditionalFormatting>
  <conditionalFormatting sqref="F270">
    <cfRule type="cellIs" dxfId="2801" priority="3503" operator="lessThan">
      <formula>0</formula>
    </cfRule>
    <cfRule type="cellIs" dxfId="2800" priority="3504" operator="greaterThan">
      <formula>0</formula>
    </cfRule>
  </conditionalFormatting>
  <conditionalFormatting sqref="U270">
    <cfRule type="iconSet" priority="3508">
      <iconSet iconSet="3Symbols" showValue="0" reverse="1">
        <cfvo type="percent" val="0"/>
        <cfvo type="num" val="1"/>
        <cfvo type="num" val="1.05"/>
      </iconSet>
    </cfRule>
  </conditionalFormatting>
  <conditionalFormatting sqref="P270">
    <cfRule type="iconSet" priority="3509">
      <iconSet iconSet="3Symbols" showValue="0" reverse="1">
        <cfvo type="percent" val="0"/>
        <cfvo type="num" val="1"/>
        <cfvo type="num" val="1.05"/>
      </iconSet>
    </cfRule>
  </conditionalFormatting>
  <conditionalFormatting sqref="Q269">
    <cfRule type="iconSet" priority="3500">
      <iconSet iconSet="3Symbols" showValue="0" reverse="1">
        <cfvo type="percent" val="0"/>
        <cfvo type="num" val="1"/>
        <cfvo type="num" val="1.05"/>
      </iconSet>
    </cfRule>
  </conditionalFormatting>
  <conditionalFormatting sqref="N269">
    <cfRule type="cellIs" dxfId="2799" priority="3498" operator="lessThan">
      <formula>0</formula>
    </cfRule>
    <cfRule type="cellIs" dxfId="2798" priority="3499" operator="greaterThan">
      <formula>0</formula>
    </cfRule>
  </conditionalFormatting>
  <conditionalFormatting sqref="F269">
    <cfRule type="cellIs" dxfId="2797" priority="3496" operator="lessThan">
      <formula>0</formula>
    </cfRule>
    <cfRule type="cellIs" dxfId="2796" priority="3497" operator="greaterThan">
      <formula>0</formula>
    </cfRule>
  </conditionalFormatting>
  <conditionalFormatting sqref="U269">
    <cfRule type="iconSet" priority="3501">
      <iconSet iconSet="3Symbols" showValue="0" reverse="1">
        <cfvo type="percent" val="0"/>
        <cfvo type="num" val="1"/>
        <cfvo type="num" val="1.05"/>
      </iconSet>
    </cfRule>
  </conditionalFormatting>
  <conditionalFormatting sqref="P269">
    <cfRule type="iconSet" priority="3502">
      <iconSet iconSet="3Symbols" showValue="0" reverse="1">
        <cfvo type="percent" val="0"/>
        <cfvo type="num" val="1"/>
        <cfvo type="num" val="1.05"/>
      </iconSet>
    </cfRule>
  </conditionalFormatting>
  <conditionalFormatting sqref="Q268">
    <cfRule type="iconSet" priority="3493">
      <iconSet iconSet="3Symbols" showValue="0" reverse="1">
        <cfvo type="percent" val="0"/>
        <cfvo type="num" val="1"/>
        <cfvo type="num" val="1.05"/>
      </iconSet>
    </cfRule>
  </conditionalFormatting>
  <conditionalFormatting sqref="N268">
    <cfRule type="cellIs" dxfId="2795" priority="3491" operator="lessThan">
      <formula>0</formula>
    </cfRule>
    <cfRule type="cellIs" dxfId="2794" priority="3492" operator="greaterThan">
      <formula>0</formula>
    </cfRule>
  </conditionalFormatting>
  <conditionalFormatting sqref="F268">
    <cfRule type="cellIs" dxfId="2793" priority="3489" operator="lessThan">
      <formula>0</formula>
    </cfRule>
    <cfRule type="cellIs" dxfId="2792" priority="3490" operator="greaterThan">
      <formula>0</formula>
    </cfRule>
  </conditionalFormatting>
  <conditionalFormatting sqref="U268">
    <cfRule type="iconSet" priority="3494">
      <iconSet iconSet="3Symbols" showValue="0" reverse="1">
        <cfvo type="percent" val="0"/>
        <cfvo type="num" val="1"/>
        <cfvo type="num" val="1.05"/>
      </iconSet>
    </cfRule>
  </conditionalFormatting>
  <conditionalFormatting sqref="P268">
    <cfRule type="iconSet" priority="3495">
      <iconSet iconSet="3Symbols" showValue="0" reverse="1">
        <cfvo type="percent" val="0"/>
        <cfvo type="num" val="1"/>
        <cfvo type="num" val="1.05"/>
      </iconSet>
    </cfRule>
  </conditionalFormatting>
  <conditionalFormatting sqref="Q267">
    <cfRule type="iconSet" priority="3486">
      <iconSet iconSet="3Symbols" showValue="0" reverse="1">
        <cfvo type="percent" val="0"/>
        <cfvo type="num" val="1"/>
        <cfvo type="num" val="1.05"/>
      </iconSet>
    </cfRule>
  </conditionalFormatting>
  <conditionalFormatting sqref="N267">
    <cfRule type="cellIs" dxfId="2791" priority="3484" operator="lessThan">
      <formula>0</formula>
    </cfRule>
    <cfRule type="cellIs" dxfId="2790" priority="3485" operator="greaterThan">
      <formula>0</formula>
    </cfRule>
  </conditionalFormatting>
  <conditionalFormatting sqref="F267">
    <cfRule type="cellIs" dxfId="2789" priority="3482" operator="lessThan">
      <formula>0</formula>
    </cfRule>
    <cfRule type="cellIs" dxfId="2788" priority="3483" operator="greaterThan">
      <formula>0</formula>
    </cfRule>
  </conditionalFormatting>
  <conditionalFormatting sqref="U267">
    <cfRule type="iconSet" priority="3487">
      <iconSet iconSet="3Symbols" showValue="0" reverse="1">
        <cfvo type="percent" val="0"/>
        <cfvo type="num" val="1"/>
        <cfvo type="num" val="1.05"/>
      </iconSet>
    </cfRule>
  </conditionalFormatting>
  <conditionalFormatting sqref="P267">
    <cfRule type="iconSet" priority="3488">
      <iconSet iconSet="3Symbols" showValue="0" reverse="1">
        <cfvo type="percent" val="0"/>
        <cfvo type="num" val="1"/>
        <cfvo type="num" val="1.05"/>
      </iconSet>
    </cfRule>
  </conditionalFormatting>
  <conditionalFormatting sqref="Q266">
    <cfRule type="iconSet" priority="3479">
      <iconSet iconSet="3Symbols" showValue="0" reverse="1">
        <cfvo type="percent" val="0"/>
        <cfvo type="num" val="1"/>
        <cfvo type="num" val="1.05"/>
      </iconSet>
    </cfRule>
  </conditionalFormatting>
  <conditionalFormatting sqref="N266">
    <cfRule type="cellIs" dxfId="2787" priority="3477" operator="lessThan">
      <formula>0</formula>
    </cfRule>
    <cfRule type="cellIs" dxfId="2786" priority="3478" operator="greaterThan">
      <formula>0</formula>
    </cfRule>
  </conditionalFormatting>
  <conditionalFormatting sqref="F266">
    <cfRule type="cellIs" dxfId="2785" priority="3475" operator="lessThan">
      <formula>0</formula>
    </cfRule>
    <cfRule type="cellIs" dxfId="2784" priority="3476" operator="greaterThan">
      <formula>0</formula>
    </cfRule>
  </conditionalFormatting>
  <conditionalFormatting sqref="U266">
    <cfRule type="iconSet" priority="3480">
      <iconSet iconSet="3Symbols" showValue="0" reverse="1">
        <cfvo type="percent" val="0"/>
        <cfvo type="num" val="1"/>
        <cfvo type="num" val="1.05"/>
      </iconSet>
    </cfRule>
  </conditionalFormatting>
  <conditionalFormatting sqref="P266">
    <cfRule type="iconSet" priority="3481">
      <iconSet iconSet="3Symbols" showValue="0" reverse="1">
        <cfvo type="percent" val="0"/>
        <cfvo type="num" val="1"/>
        <cfvo type="num" val="1.05"/>
      </iconSet>
    </cfRule>
  </conditionalFormatting>
  <conditionalFormatting sqref="Q265">
    <cfRule type="iconSet" priority="3472">
      <iconSet iconSet="3Symbols" showValue="0" reverse="1">
        <cfvo type="percent" val="0"/>
        <cfvo type="num" val="1"/>
        <cfvo type="num" val="1.05"/>
      </iconSet>
    </cfRule>
  </conditionalFormatting>
  <conditionalFormatting sqref="N265">
    <cfRule type="cellIs" dxfId="2783" priority="3470" operator="lessThan">
      <formula>0</formula>
    </cfRule>
    <cfRule type="cellIs" dxfId="2782" priority="3471" operator="greaterThan">
      <formula>0</formula>
    </cfRule>
  </conditionalFormatting>
  <conditionalFormatting sqref="F265">
    <cfRule type="cellIs" dxfId="2781" priority="3468" operator="lessThan">
      <formula>0</formula>
    </cfRule>
    <cfRule type="cellIs" dxfId="2780" priority="3469" operator="greaterThan">
      <formula>0</formula>
    </cfRule>
  </conditionalFormatting>
  <conditionalFormatting sqref="U265">
    <cfRule type="iconSet" priority="3473">
      <iconSet iconSet="3Symbols" showValue="0" reverse="1">
        <cfvo type="percent" val="0"/>
        <cfvo type="num" val="1"/>
        <cfvo type="num" val="1.05"/>
      </iconSet>
    </cfRule>
  </conditionalFormatting>
  <conditionalFormatting sqref="P265">
    <cfRule type="iconSet" priority="3474">
      <iconSet iconSet="3Symbols" showValue="0" reverse="1">
        <cfvo type="percent" val="0"/>
        <cfvo type="num" val="1"/>
        <cfvo type="num" val="1.05"/>
      </iconSet>
    </cfRule>
  </conditionalFormatting>
  <conditionalFormatting sqref="Q264">
    <cfRule type="iconSet" priority="3465">
      <iconSet iconSet="3Symbols" showValue="0" reverse="1">
        <cfvo type="percent" val="0"/>
        <cfvo type="num" val="1"/>
        <cfvo type="num" val="1.05"/>
      </iconSet>
    </cfRule>
  </conditionalFormatting>
  <conditionalFormatting sqref="N264">
    <cfRule type="cellIs" dxfId="2779" priority="3463" operator="lessThan">
      <formula>0</formula>
    </cfRule>
    <cfRule type="cellIs" dxfId="2778" priority="3464" operator="greaterThan">
      <formula>0</formula>
    </cfRule>
  </conditionalFormatting>
  <conditionalFormatting sqref="F264">
    <cfRule type="cellIs" dxfId="2777" priority="3461" operator="lessThan">
      <formula>0</formula>
    </cfRule>
    <cfRule type="cellIs" dxfId="2776" priority="3462" operator="greaterThan">
      <formula>0</formula>
    </cfRule>
  </conditionalFormatting>
  <conditionalFormatting sqref="U264">
    <cfRule type="iconSet" priority="3466">
      <iconSet iconSet="3Symbols" showValue="0" reverse="1">
        <cfvo type="percent" val="0"/>
        <cfvo type="num" val="1"/>
        <cfvo type="num" val="1.05"/>
      </iconSet>
    </cfRule>
  </conditionalFormatting>
  <conditionalFormatting sqref="P264">
    <cfRule type="iconSet" priority="3467">
      <iconSet iconSet="3Symbols" showValue="0" reverse="1">
        <cfvo type="percent" val="0"/>
        <cfvo type="num" val="1"/>
        <cfvo type="num" val="1.05"/>
      </iconSet>
    </cfRule>
  </conditionalFormatting>
  <conditionalFormatting sqref="Q263">
    <cfRule type="iconSet" priority="3458">
      <iconSet iconSet="3Symbols" showValue="0" reverse="1">
        <cfvo type="percent" val="0"/>
        <cfvo type="num" val="1"/>
        <cfvo type="num" val="1.05"/>
      </iconSet>
    </cfRule>
  </conditionalFormatting>
  <conditionalFormatting sqref="N263">
    <cfRule type="cellIs" dxfId="2775" priority="3456" operator="lessThan">
      <formula>0</formula>
    </cfRule>
    <cfRule type="cellIs" dxfId="2774" priority="3457" operator="greaterThan">
      <formula>0</formula>
    </cfRule>
  </conditionalFormatting>
  <conditionalFormatting sqref="F263">
    <cfRule type="cellIs" dxfId="2773" priority="3454" operator="lessThan">
      <formula>0</formula>
    </cfRule>
    <cfRule type="cellIs" dxfId="2772" priority="3455" operator="greaterThan">
      <formula>0</formula>
    </cfRule>
  </conditionalFormatting>
  <conditionalFormatting sqref="U263">
    <cfRule type="iconSet" priority="3459">
      <iconSet iconSet="3Symbols" showValue="0" reverse="1">
        <cfvo type="percent" val="0"/>
        <cfvo type="num" val="1"/>
        <cfvo type="num" val="1.05"/>
      </iconSet>
    </cfRule>
  </conditionalFormatting>
  <conditionalFormatting sqref="P263">
    <cfRule type="iconSet" priority="3460">
      <iconSet iconSet="3Symbols" showValue="0" reverse="1">
        <cfvo type="percent" val="0"/>
        <cfvo type="num" val="1"/>
        <cfvo type="num" val="1.05"/>
      </iconSet>
    </cfRule>
  </conditionalFormatting>
  <conditionalFormatting sqref="Q261:Q262">
    <cfRule type="iconSet" priority="3451">
      <iconSet iconSet="3Symbols" showValue="0" reverse="1">
        <cfvo type="percent" val="0"/>
        <cfvo type="num" val="1"/>
        <cfvo type="num" val="1.05"/>
      </iconSet>
    </cfRule>
  </conditionalFormatting>
  <conditionalFormatting sqref="N261:N262">
    <cfRule type="cellIs" dxfId="2771" priority="3449" operator="lessThan">
      <formula>0</formula>
    </cfRule>
    <cfRule type="cellIs" dxfId="2770" priority="3450" operator="greaterThan">
      <formula>0</formula>
    </cfRule>
  </conditionalFormatting>
  <conditionalFormatting sqref="F261:F262">
    <cfRule type="cellIs" dxfId="2769" priority="3447" operator="lessThan">
      <formula>0</formula>
    </cfRule>
    <cfRule type="cellIs" dxfId="2768" priority="3448" operator="greaterThan">
      <formula>0</formula>
    </cfRule>
  </conditionalFormatting>
  <conditionalFormatting sqref="U261:U262">
    <cfRule type="iconSet" priority="3452">
      <iconSet iconSet="3Symbols" showValue="0" reverse="1">
        <cfvo type="percent" val="0"/>
        <cfvo type="num" val="1"/>
        <cfvo type="num" val="1.05"/>
      </iconSet>
    </cfRule>
  </conditionalFormatting>
  <conditionalFormatting sqref="P261:P262">
    <cfRule type="iconSet" priority="3453">
      <iconSet iconSet="3Symbols" showValue="0" reverse="1">
        <cfvo type="percent" val="0"/>
        <cfvo type="num" val="1"/>
        <cfvo type="num" val="1.05"/>
      </iconSet>
    </cfRule>
  </conditionalFormatting>
  <conditionalFormatting sqref="Q260">
    <cfRule type="iconSet" priority="3444">
      <iconSet iconSet="3Symbols" showValue="0" reverse="1">
        <cfvo type="percent" val="0"/>
        <cfvo type="num" val="1"/>
        <cfvo type="num" val="1.05"/>
      </iconSet>
    </cfRule>
  </conditionalFormatting>
  <conditionalFormatting sqref="N260">
    <cfRule type="cellIs" dxfId="2767" priority="3442" operator="lessThan">
      <formula>0</formula>
    </cfRule>
    <cfRule type="cellIs" dxfId="2766" priority="3443" operator="greaterThan">
      <formula>0</formula>
    </cfRule>
  </conditionalFormatting>
  <conditionalFormatting sqref="F260">
    <cfRule type="cellIs" dxfId="2765" priority="3440" operator="lessThan">
      <formula>0</formula>
    </cfRule>
    <cfRule type="cellIs" dxfId="2764" priority="3441" operator="greaterThan">
      <formula>0</formula>
    </cfRule>
  </conditionalFormatting>
  <conditionalFormatting sqref="U260">
    <cfRule type="iconSet" priority="3445">
      <iconSet iconSet="3Symbols" showValue="0" reverse="1">
        <cfvo type="percent" val="0"/>
        <cfvo type="num" val="1"/>
        <cfvo type="num" val="1.05"/>
      </iconSet>
    </cfRule>
  </conditionalFormatting>
  <conditionalFormatting sqref="P260">
    <cfRule type="iconSet" priority="3446">
      <iconSet iconSet="3Symbols" showValue="0" reverse="1">
        <cfvo type="percent" val="0"/>
        <cfvo type="num" val="1"/>
        <cfvo type="num" val="1.05"/>
      </iconSet>
    </cfRule>
  </conditionalFormatting>
  <conditionalFormatting sqref="Q259">
    <cfRule type="iconSet" priority="3437">
      <iconSet iconSet="3Symbols" showValue="0" reverse="1">
        <cfvo type="percent" val="0"/>
        <cfvo type="num" val="1"/>
        <cfvo type="num" val="1.05"/>
      </iconSet>
    </cfRule>
  </conditionalFormatting>
  <conditionalFormatting sqref="N259">
    <cfRule type="cellIs" dxfId="2763" priority="3435" operator="lessThan">
      <formula>0</formula>
    </cfRule>
    <cfRule type="cellIs" dxfId="2762" priority="3436" operator="greaterThan">
      <formula>0</formula>
    </cfRule>
  </conditionalFormatting>
  <conditionalFormatting sqref="F259">
    <cfRule type="cellIs" dxfId="2761" priority="3433" operator="lessThan">
      <formula>0</formula>
    </cfRule>
    <cfRule type="cellIs" dxfId="2760" priority="3434" operator="greaterThan">
      <formula>0</formula>
    </cfRule>
  </conditionalFormatting>
  <conditionalFormatting sqref="U259">
    <cfRule type="iconSet" priority="3438">
      <iconSet iconSet="3Symbols" showValue="0" reverse="1">
        <cfvo type="percent" val="0"/>
        <cfvo type="num" val="1"/>
        <cfvo type="num" val="1.05"/>
      </iconSet>
    </cfRule>
  </conditionalFormatting>
  <conditionalFormatting sqref="P259">
    <cfRule type="iconSet" priority="3439">
      <iconSet iconSet="3Symbols" showValue="0" reverse="1">
        <cfvo type="percent" val="0"/>
        <cfvo type="num" val="1"/>
        <cfvo type="num" val="1.05"/>
      </iconSet>
    </cfRule>
  </conditionalFormatting>
  <conditionalFormatting sqref="Q258">
    <cfRule type="iconSet" priority="3430">
      <iconSet iconSet="3Symbols" showValue="0" reverse="1">
        <cfvo type="percent" val="0"/>
        <cfvo type="num" val="1"/>
        <cfvo type="num" val="1.05"/>
      </iconSet>
    </cfRule>
  </conditionalFormatting>
  <conditionalFormatting sqref="N258">
    <cfRule type="cellIs" dxfId="2759" priority="3428" operator="lessThan">
      <formula>0</formula>
    </cfRule>
    <cfRule type="cellIs" dxfId="2758" priority="3429" operator="greaterThan">
      <formula>0</formula>
    </cfRule>
  </conditionalFormatting>
  <conditionalFormatting sqref="F258">
    <cfRule type="cellIs" dxfId="2757" priority="3426" operator="lessThan">
      <formula>0</formula>
    </cfRule>
    <cfRule type="cellIs" dxfId="2756" priority="3427" operator="greaterThan">
      <formula>0</formula>
    </cfRule>
  </conditionalFormatting>
  <conditionalFormatting sqref="U258">
    <cfRule type="iconSet" priority="3431">
      <iconSet iconSet="3Symbols" showValue="0" reverse="1">
        <cfvo type="percent" val="0"/>
        <cfvo type="num" val="1"/>
        <cfvo type="num" val="1.05"/>
      </iconSet>
    </cfRule>
  </conditionalFormatting>
  <conditionalFormatting sqref="P258">
    <cfRule type="iconSet" priority="3432">
      <iconSet iconSet="3Symbols" showValue="0" reverse="1">
        <cfvo type="percent" val="0"/>
        <cfvo type="num" val="1"/>
        <cfvo type="num" val="1.05"/>
      </iconSet>
    </cfRule>
  </conditionalFormatting>
  <conditionalFormatting sqref="Q257">
    <cfRule type="iconSet" priority="3423">
      <iconSet iconSet="3Symbols" showValue="0" reverse="1">
        <cfvo type="percent" val="0"/>
        <cfvo type="num" val="1"/>
        <cfvo type="num" val="1.05"/>
      </iconSet>
    </cfRule>
  </conditionalFormatting>
  <conditionalFormatting sqref="N257">
    <cfRule type="cellIs" dxfId="2755" priority="3421" operator="lessThan">
      <formula>0</formula>
    </cfRule>
    <cfRule type="cellIs" dxfId="2754" priority="3422" operator="greaterThan">
      <formula>0</formula>
    </cfRule>
  </conditionalFormatting>
  <conditionalFormatting sqref="F257">
    <cfRule type="cellIs" dxfId="2753" priority="3419" operator="lessThan">
      <formula>0</formula>
    </cfRule>
    <cfRule type="cellIs" dxfId="2752" priority="3420" operator="greaterThan">
      <formula>0</formula>
    </cfRule>
  </conditionalFormatting>
  <conditionalFormatting sqref="U257">
    <cfRule type="iconSet" priority="3424">
      <iconSet iconSet="3Symbols" showValue="0" reverse="1">
        <cfvo type="percent" val="0"/>
        <cfvo type="num" val="1"/>
        <cfvo type="num" val="1.05"/>
      </iconSet>
    </cfRule>
  </conditionalFormatting>
  <conditionalFormatting sqref="P257">
    <cfRule type="iconSet" priority="3425">
      <iconSet iconSet="3Symbols" showValue="0" reverse="1">
        <cfvo type="percent" val="0"/>
        <cfvo type="num" val="1"/>
        <cfvo type="num" val="1.05"/>
      </iconSet>
    </cfRule>
  </conditionalFormatting>
  <conditionalFormatting sqref="Q256">
    <cfRule type="iconSet" priority="3416">
      <iconSet iconSet="3Symbols" showValue="0" reverse="1">
        <cfvo type="percent" val="0"/>
        <cfvo type="num" val="1"/>
        <cfvo type="num" val="1.05"/>
      </iconSet>
    </cfRule>
  </conditionalFormatting>
  <conditionalFormatting sqref="N256">
    <cfRule type="cellIs" dxfId="2751" priority="3414" operator="lessThan">
      <formula>0</formula>
    </cfRule>
    <cfRule type="cellIs" dxfId="2750" priority="3415" operator="greaterThan">
      <formula>0</formula>
    </cfRule>
  </conditionalFormatting>
  <conditionalFormatting sqref="F256">
    <cfRule type="cellIs" dxfId="2749" priority="3412" operator="lessThan">
      <formula>0</formula>
    </cfRule>
    <cfRule type="cellIs" dxfId="2748" priority="3413" operator="greaterThan">
      <formula>0</formula>
    </cfRule>
  </conditionalFormatting>
  <conditionalFormatting sqref="U256">
    <cfRule type="iconSet" priority="3417">
      <iconSet iconSet="3Symbols" showValue="0" reverse="1">
        <cfvo type="percent" val="0"/>
        <cfvo type="num" val="1"/>
        <cfvo type="num" val="1.05"/>
      </iconSet>
    </cfRule>
  </conditionalFormatting>
  <conditionalFormatting sqref="P256">
    <cfRule type="iconSet" priority="3418">
      <iconSet iconSet="3Symbols" showValue="0" reverse="1">
        <cfvo type="percent" val="0"/>
        <cfvo type="num" val="1"/>
        <cfvo type="num" val="1.05"/>
      </iconSet>
    </cfRule>
  </conditionalFormatting>
  <conditionalFormatting sqref="Q255">
    <cfRule type="iconSet" priority="3409">
      <iconSet iconSet="3Symbols" showValue="0" reverse="1">
        <cfvo type="percent" val="0"/>
        <cfvo type="num" val="1"/>
        <cfvo type="num" val="1.05"/>
      </iconSet>
    </cfRule>
  </conditionalFormatting>
  <conditionalFormatting sqref="N255">
    <cfRule type="cellIs" dxfId="2747" priority="3407" operator="lessThan">
      <formula>0</formula>
    </cfRule>
    <cfRule type="cellIs" dxfId="2746" priority="3408" operator="greaterThan">
      <formula>0</formula>
    </cfRule>
  </conditionalFormatting>
  <conditionalFormatting sqref="F255">
    <cfRule type="cellIs" dxfId="2745" priority="3405" operator="lessThan">
      <formula>0</formula>
    </cfRule>
    <cfRule type="cellIs" dxfId="2744" priority="3406" operator="greaterThan">
      <formula>0</formula>
    </cfRule>
  </conditionalFormatting>
  <conditionalFormatting sqref="U255">
    <cfRule type="iconSet" priority="3410">
      <iconSet iconSet="3Symbols" showValue="0" reverse="1">
        <cfvo type="percent" val="0"/>
        <cfvo type="num" val="1"/>
        <cfvo type="num" val="1.05"/>
      </iconSet>
    </cfRule>
  </conditionalFormatting>
  <conditionalFormatting sqref="P255">
    <cfRule type="iconSet" priority="3411">
      <iconSet iconSet="3Symbols" showValue="0" reverse="1">
        <cfvo type="percent" val="0"/>
        <cfvo type="num" val="1"/>
        <cfvo type="num" val="1.05"/>
      </iconSet>
    </cfRule>
  </conditionalFormatting>
  <conditionalFormatting sqref="Q254">
    <cfRule type="iconSet" priority="3402">
      <iconSet iconSet="3Symbols" showValue="0" reverse="1">
        <cfvo type="percent" val="0"/>
        <cfvo type="num" val="1"/>
        <cfvo type="num" val="1.05"/>
      </iconSet>
    </cfRule>
  </conditionalFormatting>
  <conditionalFormatting sqref="N254">
    <cfRule type="cellIs" dxfId="2743" priority="3400" operator="lessThan">
      <formula>0</formula>
    </cfRule>
    <cfRule type="cellIs" dxfId="2742" priority="3401" operator="greaterThan">
      <formula>0</formula>
    </cfRule>
  </conditionalFormatting>
  <conditionalFormatting sqref="F254">
    <cfRule type="cellIs" dxfId="2741" priority="3398" operator="lessThan">
      <formula>0</formula>
    </cfRule>
    <cfRule type="cellIs" dxfId="2740" priority="3399" operator="greaterThan">
      <formula>0</formula>
    </cfRule>
  </conditionalFormatting>
  <conditionalFormatting sqref="U254">
    <cfRule type="iconSet" priority="3403">
      <iconSet iconSet="3Symbols" showValue="0" reverse="1">
        <cfvo type="percent" val="0"/>
        <cfvo type="num" val="1"/>
        <cfvo type="num" val="1.05"/>
      </iconSet>
    </cfRule>
  </conditionalFormatting>
  <conditionalFormatting sqref="P254">
    <cfRule type="iconSet" priority="3404">
      <iconSet iconSet="3Symbols" showValue="0" reverse="1">
        <cfvo type="percent" val="0"/>
        <cfvo type="num" val="1"/>
        <cfvo type="num" val="1.05"/>
      </iconSet>
    </cfRule>
  </conditionalFormatting>
  <conditionalFormatting sqref="Q253">
    <cfRule type="iconSet" priority="3395">
      <iconSet iconSet="3Symbols" showValue="0" reverse="1">
        <cfvo type="percent" val="0"/>
        <cfvo type="num" val="1"/>
        <cfvo type="num" val="1.05"/>
      </iconSet>
    </cfRule>
  </conditionalFormatting>
  <conditionalFormatting sqref="N253">
    <cfRule type="cellIs" dxfId="2739" priority="3393" operator="lessThan">
      <formula>0</formula>
    </cfRule>
    <cfRule type="cellIs" dxfId="2738" priority="3394" operator="greaterThan">
      <formula>0</formula>
    </cfRule>
  </conditionalFormatting>
  <conditionalFormatting sqref="F253">
    <cfRule type="cellIs" dxfId="2737" priority="3391" operator="lessThan">
      <formula>0</formula>
    </cfRule>
    <cfRule type="cellIs" dxfId="2736" priority="3392" operator="greaterThan">
      <formula>0</formula>
    </cfRule>
  </conditionalFormatting>
  <conditionalFormatting sqref="U253">
    <cfRule type="iconSet" priority="3396">
      <iconSet iconSet="3Symbols" showValue="0" reverse="1">
        <cfvo type="percent" val="0"/>
        <cfvo type="num" val="1"/>
        <cfvo type="num" val="1.05"/>
      </iconSet>
    </cfRule>
  </conditionalFormatting>
  <conditionalFormatting sqref="P253">
    <cfRule type="iconSet" priority="3397">
      <iconSet iconSet="3Symbols" showValue="0" reverse="1">
        <cfvo type="percent" val="0"/>
        <cfvo type="num" val="1"/>
        <cfvo type="num" val="1.05"/>
      </iconSet>
    </cfRule>
  </conditionalFormatting>
  <conditionalFormatting sqref="Q252">
    <cfRule type="iconSet" priority="3388">
      <iconSet iconSet="3Symbols" showValue="0" reverse="1">
        <cfvo type="percent" val="0"/>
        <cfvo type="num" val="1"/>
        <cfvo type="num" val="1.05"/>
      </iconSet>
    </cfRule>
  </conditionalFormatting>
  <conditionalFormatting sqref="N252">
    <cfRule type="cellIs" dxfId="2735" priority="3386" operator="lessThan">
      <formula>0</formula>
    </cfRule>
    <cfRule type="cellIs" dxfId="2734" priority="3387" operator="greaterThan">
      <formula>0</formula>
    </cfRule>
  </conditionalFormatting>
  <conditionalFormatting sqref="F252">
    <cfRule type="cellIs" dxfId="2733" priority="3384" operator="lessThan">
      <formula>0</formula>
    </cfRule>
    <cfRule type="cellIs" dxfId="2732" priority="3385" operator="greaterThan">
      <formula>0</formula>
    </cfRule>
  </conditionalFormatting>
  <conditionalFormatting sqref="U252">
    <cfRule type="iconSet" priority="3389">
      <iconSet iconSet="3Symbols" showValue="0" reverse="1">
        <cfvo type="percent" val="0"/>
        <cfvo type="num" val="1"/>
        <cfvo type="num" val="1.05"/>
      </iconSet>
    </cfRule>
  </conditionalFormatting>
  <conditionalFormatting sqref="P252">
    <cfRule type="iconSet" priority="3390">
      <iconSet iconSet="3Symbols" showValue="0" reverse="1">
        <cfvo type="percent" val="0"/>
        <cfvo type="num" val="1"/>
        <cfvo type="num" val="1.05"/>
      </iconSet>
    </cfRule>
  </conditionalFormatting>
  <conditionalFormatting sqref="Q251">
    <cfRule type="iconSet" priority="3381">
      <iconSet iconSet="3Symbols" showValue="0" reverse="1">
        <cfvo type="percent" val="0"/>
        <cfvo type="num" val="1"/>
        <cfvo type="num" val="1.05"/>
      </iconSet>
    </cfRule>
  </conditionalFormatting>
  <conditionalFormatting sqref="N251">
    <cfRule type="cellIs" dxfId="2731" priority="3379" operator="lessThan">
      <formula>0</formula>
    </cfRule>
    <cfRule type="cellIs" dxfId="2730" priority="3380" operator="greaterThan">
      <formula>0</formula>
    </cfRule>
  </conditionalFormatting>
  <conditionalFormatting sqref="F251">
    <cfRule type="cellIs" dxfId="2729" priority="3377" operator="lessThan">
      <formula>0</formula>
    </cfRule>
    <cfRule type="cellIs" dxfId="2728" priority="3378" operator="greaterThan">
      <formula>0</formula>
    </cfRule>
  </conditionalFormatting>
  <conditionalFormatting sqref="U251">
    <cfRule type="iconSet" priority="3382">
      <iconSet iconSet="3Symbols" showValue="0" reverse="1">
        <cfvo type="percent" val="0"/>
        <cfvo type="num" val="1"/>
        <cfvo type="num" val="1.05"/>
      </iconSet>
    </cfRule>
  </conditionalFormatting>
  <conditionalFormatting sqref="P251">
    <cfRule type="iconSet" priority="3383">
      <iconSet iconSet="3Symbols" showValue="0" reverse="1">
        <cfvo type="percent" val="0"/>
        <cfvo type="num" val="1"/>
        <cfvo type="num" val="1.05"/>
      </iconSet>
    </cfRule>
  </conditionalFormatting>
  <conditionalFormatting sqref="Q250">
    <cfRule type="iconSet" priority="3374">
      <iconSet iconSet="3Symbols" showValue="0" reverse="1">
        <cfvo type="percent" val="0"/>
        <cfvo type="num" val="1"/>
        <cfvo type="num" val="1.05"/>
      </iconSet>
    </cfRule>
  </conditionalFormatting>
  <conditionalFormatting sqref="N250">
    <cfRule type="cellIs" dxfId="2727" priority="3372" operator="lessThan">
      <formula>0</formula>
    </cfRule>
    <cfRule type="cellIs" dxfId="2726" priority="3373" operator="greaterThan">
      <formula>0</formula>
    </cfRule>
  </conditionalFormatting>
  <conditionalFormatting sqref="F250">
    <cfRule type="cellIs" dxfId="2725" priority="3370" operator="lessThan">
      <formula>0</formula>
    </cfRule>
    <cfRule type="cellIs" dxfId="2724" priority="3371" operator="greaterThan">
      <formula>0</formula>
    </cfRule>
  </conditionalFormatting>
  <conditionalFormatting sqref="U250">
    <cfRule type="iconSet" priority="3375">
      <iconSet iconSet="3Symbols" showValue="0" reverse="1">
        <cfvo type="percent" val="0"/>
        <cfvo type="num" val="1"/>
        <cfvo type="num" val="1.05"/>
      </iconSet>
    </cfRule>
  </conditionalFormatting>
  <conditionalFormatting sqref="P250">
    <cfRule type="iconSet" priority="3376">
      <iconSet iconSet="3Symbols" showValue="0" reverse="1">
        <cfvo type="percent" val="0"/>
        <cfvo type="num" val="1"/>
        <cfvo type="num" val="1.05"/>
      </iconSet>
    </cfRule>
  </conditionalFormatting>
  <conditionalFormatting sqref="Q248:Q249">
    <cfRule type="iconSet" priority="3367">
      <iconSet iconSet="3Symbols" showValue="0" reverse="1">
        <cfvo type="percent" val="0"/>
        <cfvo type="num" val="1"/>
        <cfvo type="num" val="1.05"/>
      </iconSet>
    </cfRule>
  </conditionalFormatting>
  <conditionalFormatting sqref="N248:N249">
    <cfRule type="cellIs" dxfId="2723" priority="3365" operator="lessThan">
      <formula>0</formula>
    </cfRule>
    <cfRule type="cellIs" dxfId="2722" priority="3366" operator="greaterThan">
      <formula>0</formula>
    </cfRule>
  </conditionalFormatting>
  <conditionalFormatting sqref="F248:F249">
    <cfRule type="cellIs" dxfId="2721" priority="3363" operator="lessThan">
      <formula>0</formula>
    </cfRule>
    <cfRule type="cellIs" dxfId="2720" priority="3364" operator="greaterThan">
      <formula>0</formula>
    </cfRule>
  </conditionalFormatting>
  <conditionalFormatting sqref="U248:U249">
    <cfRule type="iconSet" priority="3368">
      <iconSet iconSet="3Symbols" showValue="0" reverse="1">
        <cfvo type="percent" val="0"/>
        <cfvo type="num" val="1"/>
        <cfvo type="num" val="1.05"/>
      </iconSet>
    </cfRule>
  </conditionalFormatting>
  <conditionalFormatting sqref="P248:P249">
    <cfRule type="iconSet" priority="3369">
      <iconSet iconSet="3Symbols" showValue="0" reverse="1">
        <cfvo type="percent" val="0"/>
        <cfvo type="num" val="1"/>
        <cfvo type="num" val="1.05"/>
      </iconSet>
    </cfRule>
  </conditionalFormatting>
  <conditionalFormatting sqref="Q247">
    <cfRule type="iconSet" priority="3360">
      <iconSet iconSet="3Symbols" showValue="0" reverse="1">
        <cfvo type="percent" val="0"/>
        <cfvo type="num" val="1"/>
        <cfvo type="num" val="1.05"/>
      </iconSet>
    </cfRule>
  </conditionalFormatting>
  <conditionalFormatting sqref="N247">
    <cfRule type="cellIs" dxfId="2719" priority="3358" operator="lessThan">
      <formula>0</formula>
    </cfRule>
    <cfRule type="cellIs" dxfId="2718" priority="3359" operator="greaterThan">
      <formula>0</formula>
    </cfRule>
  </conditionalFormatting>
  <conditionalFormatting sqref="F247">
    <cfRule type="cellIs" dxfId="2717" priority="3356" operator="lessThan">
      <formula>0</formula>
    </cfRule>
    <cfRule type="cellIs" dxfId="2716" priority="3357" operator="greaterThan">
      <formula>0</formula>
    </cfRule>
  </conditionalFormatting>
  <conditionalFormatting sqref="U247">
    <cfRule type="iconSet" priority="3361">
      <iconSet iconSet="3Symbols" showValue="0" reverse="1">
        <cfvo type="percent" val="0"/>
        <cfvo type="num" val="1"/>
        <cfvo type="num" val="1.05"/>
      </iconSet>
    </cfRule>
  </conditionalFormatting>
  <conditionalFormatting sqref="P247">
    <cfRule type="iconSet" priority="3362">
      <iconSet iconSet="3Symbols" showValue="0" reverse="1">
        <cfvo type="percent" val="0"/>
        <cfvo type="num" val="1"/>
        <cfvo type="num" val="1.05"/>
      </iconSet>
    </cfRule>
  </conditionalFormatting>
  <conditionalFormatting sqref="Q246">
    <cfRule type="iconSet" priority="3353">
      <iconSet iconSet="3Symbols" showValue="0" reverse="1">
        <cfvo type="percent" val="0"/>
        <cfvo type="num" val="1"/>
        <cfvo type="num" val="1.05"/>
      </iconSet>
    </cfRule>
  </conditionalFormatting>
  <conditionalFormatting sqref="N246">
    <cfRule type="cellIs" dxfId="2715" priority="3351" operator="lessThan">
      <formula>0</formula>
    </cfRule>
    <cfRule type="cellIs" dxfId="2714" priority="3352" operator="greaterThan">
      <formula>0</formula>
    </cfRule>
  </conditionalFormatting>
  <conditionalFormatting sqref="F246">
    <cfRule type="cellIs" dxfId="2713" priority="3349" operator="lessThan">
      <formula>0</formula>
    </cfRule>
    <cfRule type="cellIs" dxfId="2712" priority="3350" operator="greaterThan">
      <formula>0</formula>
    </cfRule>
  </conditionalFormatting>
  <conditionalFormatting sqref="U246">
    <cfRule type="iconSet" priority="3354">
      <iconSet iconSet="3Symbols" showValue="0" reverse="1">
        <cfvo type="percent" val="0"/>
        <cfvo type="num" val="1"/>
        <cfvo type="num" val="1.05"/>
      </iconSet>
    </cfRule>
  </conditionalFormatting>
  <conditionalFormatting sqref="P246">
    <cfRule type="iconSet" priority="3355">
      <iconSet iconSet="3Symbols" showValue="0" reverse="1">
        <cfvo type="percent" val="0"/>
        <cfvo type="num" val="1"/>
        <cfvo type="num" val="1.05"/>
      </iconSet>
    </cfRule>
  </conditionalFormatting>
  <conditionalFormatting sqref="Q245">
    <cfRule type="iconSet" priority="3346">
      <iconSet iconSet="3Symbols" showValue="0" reverse="1">
        <cfvo type="percent" val="0"/>
        <cfvo type="num" val="1"/>
        <cfvo type="num" val="1.05"/>
      </iconSet>
    </cfRule>
  </conditionalFormatting>
  <conditionalFormatting sqref="N245">
    <cfRule type="cellIs" dxfId="2711" priority="3344" operator="lessThan">
      <formula>0</formula>
    </cfRule>
    <cfRule type="cellIs" dxfId="2710" priority="3345" operator="greaterThan">
      <formula>0</formula>
    </cfRule>
  </conditionalFormatting>
  <conditionalFormatting sqref="F245">
    <cfRule type="cellIs" dxfId="2709" priority="3342" operator="lessThan">
      <formula>0</formula>
    </cfRule>
    <cfRule type="cellIs" dxfId="2708" priority="3343" operator="greaterThan">
      <formula>0</formula>
    </cfRule>
  </conditionalFormatting>
  <conditionalFormatting sqref="U245">
    <cfRule type="iconSet" priority="3347">
      <iconSet iconSet="3Symbols" showValue="0" reverse="1">
        <cfvo type="percent" val="0"/>
        <cfvo type="num" val="1"/>
        <cfvo type="num" val="1.05"/>
      </iconSet>
    </cfRule>
  </conditionalFormatting>
  <conditionalFormatting sqref="P245">
    <cfRule type="iconSet" priority="3348">
      <iconSet iconSet="3Symbols" showValue="0" reverse="1">
        <cfvo type="percent" val="0"/>
        <cfvo type="num" val="1"/>
        <cfvo type="num" val="1.05"/>
      </iconSet>
    </cfRule>
  </conditionalFormatting>
  <conditionalFormatting sqref="Q244">
    <cfRule type="iconSet" priority="3339">
      <iconSet iconSet="3Symbols" showValue="0" reverse="1">
        <cfvo type="percent" val="0"/>
        <cfvo type="num" val="1"/>
        <cfvo type="num" val="1.05"/>
      </iconSet>
    </cfRule>
  </conditionalFormatting>
  <conditionalFormatting sqref="N244">
    <cfRule type="cellIs" dxfId="2707" priority="3337" operator="lessThan">
      <formula>0</formula>
    </cfRule>
    <cfRule type="cellIs" dxfId="2706" priority="3338" operator="greaterThan">
      <formula>0</formula>
    </cfRule>
  </conditionalFormatting>
  <conditionalFormatting sqref="F244">
    <cfRule type="cellIs" dxfId="2705" priority="3335" operator="lessThan">
      <formula>0</formula>
    </cfRule>
    <cfRule type="cellIs" dxfId="2704" priority="3336" operator="greaterThan">
      <formula>0</formula>
    </cfRule>
  </conditionalFormatting>
  <conditionalFormatting sqref="U244">
    <cfRule type="iconSet" priority="3340">
      <iconSet iconSet="3Symbols" showValue="0" reverse="1">
        <cfvo type="percent" val="0"/>
        <cfvo type="num" val="1"/>
        <cfvo type="num" val="1.05"/>
      </iconSet>
    </cfRule>
  </conditionalFormatting>
  <conditionalFormatting sqref="P244">
    <cfRule type="iconSet" priority="3341">
      <iconSet iconSet="3Symbols" showValue="0" reverse="1">
        <cfvo type="percent" val="0"/>
        <cfvo type="num" val="1"/>
        <cfvo type="num" val="1.05"/>
      </iconSet>
    </cfRule>
  </conditionalFormatting>
  <conditionalFormatting sqref="Q243">
    <cfRule type="iconSet" priority="3332">
      <iconSet iconSet="3Symbols" showValue="0" reverse="1">
        <cfvo type="percent" val="0"/>
        <cfvo type="num" val="1"/>
        <cfvo type="num" val="1.05"/>
      </iconSet>
    </cfRule>
  </conditionalFormatting>
  <conditionalFormatting sqref="N243">
    <cfRule type="cellIs" dxfId="2703" priority="3330" operator="lessThan">
      <formula>0</formula>
    </cfRule>
    <cfRule type="cellIs" dxfId="2702" priority="3331" operator="greaterThan">
      <formula>0</formula>
    </cfRule>
  </conditionalFormatting>
  <conditionalFormatting sqref="F243">
    <cfRule type="cellIs" dxfId="2701" priority="3328" operator="lessThan">
      <formula>0</formula>
    </cfRule>
    <cfRule type="cellIs" dxfId="2700" priority="3329" operator="greaterThan">
      <formula>0</formula>
    </cfRule>
  </conditionalFormatting>
  <conditionalFormatting sqref="U243">
    <cfRule type="iconSet" priority="3333">
      <iconSet iconSet="3Symbols" showValue="0" reverse="1">
        <cfvo type="percent" val="0"/>
        <cfvo type="num" val="1"/>
        <cfvo type="num" val="1.05"/>
      </iconSet>
    </cfRule>
  </conditionalFormatting>
  <conditionalFormatting sqref="P243">
    <cfRule type="iconSet" priority="3334">
      <iconSet iconSet="3Symbols" showValue="0" reverse="1">
        <cfvo type="percent" val="0"/>
        <cfvo type="num" val="1"/>
        <cfvo type="num" val="1.05"/>
      </iconSet>
    </cfRule>
  </conditionalFormatting>
  <conditionalFormatting sqref="Q242">
    <cfRule type="iconSet" priority="3325">
      <iconSet iconSet="3Symbols" showValue="0" reverse="1">
        <cfvo type="percent" val="0"/>
        <cfvo type="num" val="1"/>
        <cfvo type="num" val="1.05"/>
      </iconSet>
    </cfRule>
  </conditionalFormatting>
  <conditionalFormatting sqref="N242">
    <cfRule type="cellIs" dxfId="2699" priority="3323" operator="lessThan">
      <formula>0</formula>
    </cfRule>
    <cfRule type="cellIs" dxfId="2698" priority="3324" operator="greaterThan">
      <formula>0</formula>
    </cfRule>
  </conditionalFormatting>
  <conditionalFormatting sqref="F242">
    <cfRule type="cellIs" dxfId="2697" priority="3321" operator="lessThan">
      <formula>0</formula>
    </cfRule>
    <cfRule type="cellIs" dxfId="2696" priority="3322" operator="greaterThan">
      <formula>0</formula>
    </cfRule>
  </conditionalFormatting>
  <conditionalFormatting sqref="U242">
    <cfRule type="iconSet" priority="3326">
      <iconSet iconSet="3Symbols" showValue="0" reverse="1">
        <cfvo type="percent" val="0"/>
        <cfvo type="num" val="1"/>
        <cfvo type="num" val="1.05"/>
      </iconSet>
    </cfRule>
  </conditionalFormatting>
  <conditionalFormatting sqref="P242">
    <cfRule type="iconSet" priority="3327">
      <iconSet iconSet="3Symbols" showValue="0" reverse="1">
        <cfvo type="percent" val="0"/>
        <cfvo type="num" val="1"/>
        <cfvo type="num" val="1.05"/>
      </iconSet>
    </cfRule>
  </conditionalFormatting>
  <conditionalFormatting sqref="Q241">
    <cfRule type="iconSet" priority="3318">
      <iconSet iconSet="3Symbols" showValue="0" reverse="1">
        <cfvo type="percent" val="0"/>
        <cfvo type="num" val="1"/>
        <cfvo type="num" val="1.05"/>
      </iconSet>
    </cfRule>
  </conditionalFormatting>
  <conditionalFormatting sqref="N241">
    <cfRule type="cellIs" dxfId="2695" priority="3316" operator="lessThan">
      <formula>0</formula>
    </cfRule>
    <cfRule type="cellIs" dxfId="2694" priority="3317" operator="greaterThan">
      <formula>0</formula>
    </cfRule>
  </conditionalFormatting>
  <conditionalFormatting sqref="F241">
    <cfRule type="cellIs" dxfId="2693" priority="3314" operator="lessThan">
      <formula>0</formula>
    </cfRule>
    <cfRule type="cellIs" dxfId="2692" priority="3315" operator="greaterThan">
      <formula>0</formula>
    </cfRule>
  </conditionalFormatting>
  <conditionalFormatting sqref="U241">
    <cfRule type="iconSet" priority="3319">
      <iconSet iconSet="3Symbols" showValue="0" reverse="1">
        <cfvo type="percent" val="0"/>
        <cfvo type="num" val="1"/>
        <cfvo type="num" val="1.05"/>
      </iconSet>
    </cfRule>
  </conditionalFormatting>
  <conditionalFormatting sqref="P241">
    <cfRule type="iconSet" priority="3320">
      <iconSet iconSet="3Symbols" showValue="0" reverse="1">
        <cfvo type="percent" val="0"/>
        <cfvo type="num" val="1"/>
        <cfvo type="num" val="1.05"/>
      </iconSet>
    </cfRule>
  </conditionalFormatting>
  <conditionalFormatting sqref="Q240">
    <cfRule type="iconSet" priority="3311">
      <iconSet iconSet="3Symbols" showValue="0" reverse="1">
        <cfvo type="percent" val="0"/>
        <cfvo type="num" val="1"/>
        <cfvo type="num" val="1.05"/>
      </iconSet>
    </cfRule>
  </conditionalFormatting>
  <conditionalFormatting sqref="N240">
    <cfRule type="cellIs" dxfId="2691" priority="3309" operator="lessThan">
      <formula>0</formula>
    </cfRule>
    <cfRule type="cellIs" dxfId="2690" priority="3310" operator="greaterThan">
      <formula>0</formula>
    </cfRule>
  </conditionalFormatting>
  <conditionalFormatting sqref="F240">
    <cfRule type="cellIs" dxfId="2689" priority="3307" operator="lessThan">
      <formula>0</formula>
    </cfRule>
    <cfRule type="cellIs" dxfId="2688" priority="3308" operator="greaterThan">
      <formula>0</formula>
    </cfRule>
  </conditionalFormatting>
  <conditionalFormatting sqref="U240">
    <cfRule type="iconSet" priority="3312">
      <iconSet iconSet="3Symbols" showValue="0" reverse="1">
        <cfvo type="percent" val="0"/>
        <cfvo type="num" val="1"/>
        <cfvo type="num" val="1.05"/>
      </iconSet>
    </cfRule>
  </conditionalFormatting>
  <conditionalFormatting sqref="P240">
    <cfRule type="iconSet" priority="3313">
      <iconSet iconSet="3Symbols" showValue="0" reverse="1">
        <cfvo type="percent" val="0"/>
        <cfvo type="num" val="1"/>
        <cfvo type="num" val="1.05"/>
      </iconSet>
    </cfRule>
  </conditionalFormatting>
  <conditionalFormatting sqref="Q239">
    <cfRule type="iconSet" priority="3304">
      <iconSet iconSet="3Symbols" showValue="0" reverse="1">
        <cfvo type="percent" val="0"/>
        <cfvo type="num" val="1"/>
        <cfvo type="num" val="1.05"/>
      </iconSet>
    </cfRule>
  </conditionalFormatting>
  <conditionalFormatting sqref="N239">
    <cfRule type="cellIs" dxfId="2687" priority="3302" operator="lessThan">
      <formula>0</formula>
    </cfRule>
    <cfRule type="cellIs" dxfId="2686" priority="3303" operator="greaterThan">
      <formula>0</formula>
    </cfRule>
  </conditionalFormatting>
  <conditionalFormatting sqref="F239">
    <cfRule type="cellIs" dxfId="2685" priority="3300" operator="lessThan">
      <formula>0</formula>
    </cfRule>
    <cfRule type="cellIs" dxfId="2684" priority="3301" operator="greaterThan">
      <formula>0</formula>
    </cfRule>
  </conditionalFormatting>
  <conditionalFormatting sqref="U239">
    <cfRule type="iconSet" priority="3305">
      <iconSet iconSet="3Symbols" showValue="0" reverse="1">
        <cfvo type="percent" val="0"/>
        <cfvo type="num" val="1"/>
        <cfvo type="num" val="1.05"/>
      </iconSet>
    </cfRule>
  </conditionalFormatting>
  <conditionalFormatting sqref="P239">
    <cfRule type="iconSet" priority="3306">
      <iconSet iconSet="3Symbols" showValue="0" reverse="1">
        <cfvo type="percent" val="0"/>
        <cfvo type="num" val="1"/>
        <cfvo type="num" val="1.05"/>
      </iconSet>
    </cfRule>
  </conditionalFormatting>
  <conditionalFormatting sqref="Q238">
    <cfRule type="iconSet" priority="3297">
      <iconSet iconSet="3Symbols" showValue="0" reverse="1">
        <cfvo type="percent" val="0"/>
        <cfvo type="num" val="1"/>
        <cfvo type="num" val="1.05"/>
      </iconSet>
    </cfRule>
  </conditionalFormatting>
  <conditionalFormatting sqref="N238">
    <cfRule type="cellIs" dxfId="2683" priority="3295" operator="lessThan">
      <formula>0</formula>
    </cfRule>
    <cfRule type="cellIs" dxfId="2682" priority="3296" operator="greaterThan">
      <formula>0</formula>
    </cfRule>
  </conditionalFormatting>
  <conditionalFormatting sqref="F238">
    <cfRule type="cellIs" dxfId="2681" priority="3293" operator="lessThan">
      <formula>0</formula>
    </cfRule>
    <cfRule type="cellIs" dxfId="2680" priority="3294" operator="greaterThan">
      <formula>0</formula>
    </cfRule>
  </conditionalFormatting>
  <conditionalFormatting sqref="U238">
    <cfRule type="iconSet" priority="3298">
      <iconSet iconSet="3Symbols" showValue="0" reverse="1">
        <cfvo type="percent" val="0"/>
        <cfvo type="num" val="1"/>
        <cfvo type="num" val="1.05"/>
      </iconSet>
    </cfRule>
  </conditionalFormatting>
  <conditionalFormatting sqref="P238">
    <cfRule type="iconSet" priority="3299">
      <iconSet iconSet="3Symbols" showValue="0" reverse="1">
        <cfvo type="percent" val="0"/>
        <cfvo type="num" val="1"/>
        <cfvo type="num" val="1.05"/>
      </iconSet>
    </cfRule>
  </conditionalFormatting>
  <conditionalFormatting sqref="Q237">
    <cfRule type="iconSet" priority="3290">
      <iconSet iconSet="3Symbols" showValue="0" reverse="1">
        <cfvo type="percent" val="0"/>
        <cfvo type="num" val="1"/>
        <cfvo type="num" val="1.05"/>
      </iconSet>
    </cfRule>
  </conditionalFormatting>
  <conditionalFormatting sqref="N237">
    <cfRule type="cellIs" dxfId="2679" priority="3288" operator="lessThan">
      <formula>0</formula>
    </cfRule>
    <cfRule type="cellIs" dxfId="2678" priority="3289" operator="greaterThan">
      <formula>0</formula>
    </cfRule>
  </conditionalFormatting>
  <conditionalFormatting sqref="F237">
    <cfRule type="cellIs" dxfId="2677" priority="3286" operator="lessThan">
      <formula>0</formula>
    </cfRule>
    <cfRule type="cellIs" dxfId="2676" priority="3287" operator="greaterThan">
      <formula>0</formula>
    </cfRule>
  </conditionalFormatting>
  <conditionalFormatting sqref="U237">
    <cfRule type="iconSet" priority="3291">
      <iconSet iconSet="3Symbols" showValue="0" reverse="1">
        <cfvo type="percent" val="0"/>
        <cfvo type="num" val="1"/>
        <cfvo type="num" val="1.05"/>
      </iconSet>
    </cfRule>
  </conditionalFormatting>
  <conditionalFormatting sqref="P237">
    <cfRule type="iconSet" priority="3292">
      <iconSet iconSet="3Symbols" showValue="0" reverse="1">
        <cfvo type="percent" val="0"/>
        <cfvo type="num" val="1"/>
        <cfvo type="num" val="1.05"/>
      </iconSet>
    </cfRule>
  </conditionalFormatting>
  <conditionalFormatting sqref="Q235:Q236">
    <cfRule type="iconSet" priority="3283">
      <iconSet iconSet="3Symbols" showValue="0" reverse="1">
        <cfvo type="percent" val="0"/>
        <cfvo type="num" val="1"/>
        <cfvo type="num" val="1.05"/>
      </iconSet>
    </cfRule>
  </conditionalFormatting>
  <conditionalFormatting sqref="N235:N236">
    <cfRule type="cellIs" dxfId="2675" priority="3281" operator="lessThan">
      <formula>0</formula>
    </cfRule>
    <cfRule type="cellIs" dxfId="2674" priority="3282" operator="greaterThan">
      <formula>0</formula>
    </cfRule>
  </conditionalFormatting>
  <conditionalFormatting sqref="F235:F236">
    <cfRule type="cellIs" dxfId="2673" priority="3279" operator="lessThan">
      <formula>0</formula>
    </cfRule>
    <cfRule type="cellIs" dxfId="2672" priority="3280" operator="greaterThan">
      <formula>0</formula>
    </cfRule>
  </conditionalFormatting>
  <conditionalFormatting sqref="U235:U236">
    <cfRule type="iconSet" priority="3284">
      <iconSet iconSet="3Symbols" showValue="0" reverse="1">
        <cfvo type="percent" val="0"/>
        <cfvo type="num" val="1"/>
        <cfvo type="num" val="1.05"/>
      </iconSet>
    </cfRule>
  </conditionalFormatting>
  <conditionalFormatting sqref="P235:P236">
    <cfRule type="iconSet" priority="3285">
      <iconSet iconSet="3Symbols" showValue="0" reverse="1">
        <cfvo type="percent" val="0"/>
        <cfvo type="num" val="1"/>
        <cfvo type="num" val="1.05"/>
      </iconSet>
    </cfRule>
  </conditionalFormatting>
  <conditionalFormatting sqref="Q234">
    <cfRule type="iconSet" priority="3276">
      <iconSet iconSet="3Symbols" showValue="0" reverse="1">
        <cfvo type="percent" val="0"/>
        <cfvo type="num" val="1"/>
        <cfvo type="num" val="1.05"/>
      </iconSet>
    </cfRule>
  </conditionalFormatting>
  <conditionalFormatting sqref="N234">
    <cfRule type="cellIs" dxfId="2671" priority="3274" operator="lessThan">
      <formula>0</formula>
    </cfRule>
    <cfRule type="cellIs" dxfId="2670" priority="3275" operator="greaterThan">
      <formula>0</formula>
    </cfRule>
  </conditionalFormatting>
  <conditionalFormatting sqref="F234">
    <cfRule type="cellIs" dxfId="2669" priority="3272" operator="lessThan">
      <formula>0</formula>
    </cfRule>
    <cfRule type="cellIs" dxfId="2668" priority="3273" operator="greaterThan">
      <formula>0</formula>
    </cfRule>
  </conditionalFormatting>
  <conditionalFormatting sqref="U234">
    <cfRule type="iconSet" priority="3277">
      <iconSet iconSet="3Symbols" showValue="0" reverse="1">
        <cfvo type="percent" val="0"/>
        <cfvo type="num" val="1"/>
        <cfvo type="num" val="1.05"/>
      </iconSet>
    </cfRule>
  </conditionalFormatting>
  <conditionalFormatting sqref="P234">
    <cfRule type="iconSet" priority="3278">
      <iconSet iconSet="3Symbols" showValue="0" reverse="1">
        <cfvo type="percent" val="0"/>
        <cfvo type="num" val="1"/>
        <cfvo type="num" val="1.05"/>
      </iconSet>
    </cfRule>
  </conditionalFormatting>
  <conditionalFormatting sqref="Q233">
    <cfRule type="iconSet" priority="3269">
      <iconSet iconSet="3Symbols" showValue="0" reverse="1">
        <cfvo type="percent" val="0"/>
        <cfvo type="num" val="1"/>
        <cfvo type="num" val="1.05"/>
      </iconSet>
    </cfRule>
  </conditionalFormatting>
  <conditionalFormatting sqref="N233">
    <cfRule type="cellIs" dxfId="2667" priority="3267" operator="lessThan">
      <formula>0</formula>
    </cfRule>
    <cfRule type="cellIs" dxfId="2666" priority="3268" operator="greaterThan">
      <formula>0</formula>
    </cfRule>
  </conditionalFormatting>
  <conditionalFormatting sqref="F233">
    <cfRule type="cellIs" dxfId="2665" priority="3265" operator="lessThan">
      <formula>0</formula>
    </cfRule>
    <cfRule type="cellIs" dxfId="2664" priority="3266" operator="greaterThan">
      <formula>0</formula>
    </cfRule>
  </conditionalFormatting>
  <conditionalFormatting sqref="U233">
    <cfRule type="iconSet" priority="3270">
      <iconSet iconSet="3Symbols" showValue="0" reverse="1">
        <cfvo type="percent" val="0"/>
        <cfvo type="num" val="1"/>
        <cfvo type="num" val="1.05"/>
      </iconSet>
    </cfRule>
  </conditionalFormatting>
  <conditionalFormatting sqref="P233">
    <cfRule type="iconSet" priority="3271">
      <iconSet iconSet="3Symbols" showValue="0" reverse="1">
        <cfvo type="percent" val="0"/>
        <cfvo type="num" val="1"/>
        <cfvo type="num" val="1.05"/>
      </iconSet>
    </cfRule>
  </conditionalFormatting>
  <conditionalFormatting sqref="Q232">
    <cfRule type="iconSet" priority="3262">
      <iconSet iconSet="3Symbols" showValue="0" reverse="1">
        <cfvo type="percent" val="0"/>
        <cfvo type="num" val="1"/>
        <cfvo type="num" val="1.05"/>
      </iconSet>
    </cfRule>
  </conditionalFormatting>
  <conditionalFormatting sqref="N232">
    <cfRule type="cellIs" dxfId="2663" priority="3260" operator="lessThan">
      <formula>0</formula>
    </cfRule>
    <cfRule type="cellIs" dxfId="2662" priority="3261" operator="greaterThan">
      <formula>0</formula>
    </cfRule>
  </conditionalFormatting>
  <conditionalFormatting sqref="F232">
    <cfRule type="cellIs" dxfId="2661" priority="3258" operator="lessThan">
      <formula>0</formula>
    </cfRule>
    <cfRule type="cellIs" dxfId="2660" priority="3259" operator="greaterThan">
      <formula>0</formula>
    </cfRule>
  </conditionalFormatting>
  <conditionalFormatting sqref="U232">
    <cfRule type="iconSet" priority="3263">
      <iconSet iconSet="3Symbols" showValue="0" reverse="1">
        <cfvo type="percent" val="0"/>
        <cfvo type="num" val="1"/>
        <cfvo type="num" val="1.05"/>
      </iconSet>
    </cfRule>
  </conditionalFormatting>
  <conditionalFormatting sqref="P232">
    <cfRule type="iconSet" priority="3264">
      <iconSet iconSet="3Symbols" showValue="0" reverse="1">
        <cfvo type="percent" val="0"/>
        <cfvo type="num" val="1"/>
        <cfvo type="num" val="1.05"/>
      </iconSet>
    </cfRule>
  </conditionalFormatting>
  <conditionalFormatting sqref="Q231">
    <cfRule type="iconSet" priority="3255">
      <iconSet iconSet="3Symbols" showValue="0" reverse="1">
        <cfvo type="percent" val="0"/>
        <cfvo type="num" val="1"/>
        <cfvo type="num" val="1.05"/>
      </iconSet>
    </cfRule>
  </conditionalFormatting>
  <conditionalFormatting sqref="N231">
    <cfRule type="cellIs" dxfId="2659" priority="3253" operator="lessThan">
      <formula>0</formula>
    </cfRule>
    <cfRule type="cellIs" dxfId="2658" priority="3254" operator="greaterThan">
      <formula>0</formula>
    </cfRule>
  </conditionalFormatting>
  <conditionalFormatting sqref="F231">
    <cfRule type="cellIs" dxfId="2657" priority="3251" operator="lessThan">
      <formula>0</formula>
    </cfRule>
    <cfRule type="cellIs" dxfId="2656" priority="3252" operator="greaterThan">
      <formula>0</formula>
    </cfRule>
  </conditionalFormatting>
  <conditionalFormatting sqref="U231">
    <cfRule type="iconSet" priority="3256">
      <iconSet iconSet="3Symbols" showValue="0" reverse="1">
        <cfvo type="percent" val="0"/>
        <cfvo type="num" val="1"/>
        <cfvo type="num" val="1.05"/>
      </iconSet>
    </cfRule>
  </conditionalFormatting>
  <conditionalFormatting sqref="P231">
    <cfRule type="iconSet" priority="3257">
      <iconSet iconSet="3Symbols" showValue="0" reverse="1">
        <cfvo type="percent" val="0"/>
        <cfvo type="num" val="1"/>
        <cfvo type="num" val="1.05"/>
      </iconSet>
    </cfRule>
  </conditionalFormatting>
  <conditionalFormatting sqref="Q230">
    <cfRule type="iconSet" priority="3248">
      <iconSet iconSet="3Symbols" showValue="0" reverse="1">
        <cfvo type="percent" val="0"/>
        <cfvo type="num" val="1"/>
        <cfvo type="num" val="1.05"/>
      </iconSet>
    </cfRule>
  </conditionalFormatting>
  <conditionalFormatting sqref="N230">
    <cfRule type="cellIs" dxfId="2655" priority="3246" operator="lessThan">
      <formula>0</formula>
    </cfRule>
    <cfRule type="cellIs" dxfId="2654" priority="3247" operator="greaterThan">
      <formula>0</formula>
    </cfRule>
  </conditionalFormatting>
  <conditionalFormatting sqref="F230">
    <cfRule type="cellIs" dxfId="2653" priority="3244" operator="lessThan">
      <formula>0</formula>
    </cfRule>
    <cfRule type="cellIs" dxfId="2652" priority="3245" operator="greaterThan">
      <formula>0</formula>
    </cfRule>
  </conditionalFormatting>
  <conditionalFormatting sqref="U230">
    <cfRule type="iconSet" priority="3249">
      <iconSet iconSet="3Symbols" showValue="0" reverse="1">
        <cfvo type="percent" val="0"/>
        <cfvo type="num" val="1"/>
        <cfvo type="num" val="1.05"/>
      </iconSet>
    </cfRule>
  </conditionalFormatting>
  <conditionalFormatting sqref="P230">
    <cfRule type="iconSet" priority="3250">
      <iconSet iconSet="3Symbols" showValue="0" reverse="1">
        <cfvo type="percent" val="0"/>
        <cfvo type="num" val="1"/>
        <cfvo type="num" val="1.05"/>
      </iconSet>
    </cfRule>
  </conditionalFormatting>
  <conditionalFormatting sqref="Q229">
    <cfRule type="iconSet" priority="3241">
      <iconSet iconSet="3Symbols" showValue="0" reverse="1">
        <cfvo type="percent" val="0"/>
        <cfvo type="num" val="1"/>
        <cfvo type="num" val="1.05"/>
      </iconSet>
    </cfRule>
  </conditionalFormatting>
  <conditionalFormatting sqref="N229">
    <cfRule type="cellIs" dxfId="2651" priority="3239" operator="lessThan">
      <formula>0</formula>
    </cfRule>
    <cfRule type="cellIs" dxfId="2650" priority="3240" operator="greaterThan">
      <formula>0</formula>
    </cfRule>
  </conditionalFormatting>
  <conditionalFormatting sqref="F229">
    <cfRule type="cellIs" dxfId="2649" priority="3237" operator="lessThan">
      <formula>0</formula>
    </cfRule>
    <cfRule type="cellIs" dxfId="2648" priority="3238" operator="greaterThan">
      <formula>0</formula>
    </cfRule>
  </conditionalFormatting>
  <conditionalFormatting sqref="U229">
    <cfRule type="iconSet" priority="3242">
      <iconSet iconSet="3Symbols" showValue="0" reverse="1">
        <cfvo type="percent" val="0"/>
        <cfvo type="num" val="1"/>
        <cfvo type="num" val="1.05"/>
      </iconSet>
    </cfRule>
  </conditionalFormatting>
  <conditionalFormatting sqref="P229">
    <cfRule type="iconSet" priority="3243">
      <iconSet iconSet="3Symbols" showValue="0" reverse="1">
        <cfvo type="percent" val="0"/>
        <cfvo type="num" val="1"/>
        <cfvo type="num" val="1.05"/>
      </iconSet>
    </cfRule>
  </conditionalFormatting>
  <conditionalFormatting sqref="Q228">
    <cfRule type="iconSet" priority="3234">
      <iconSet iconSet="3Symbols" showValue="0" reverse="1">
        <cfvo type="percent" val="0"/>
        <cfvo type="num" val="1"/>
        <cfvo type="num" val="1.05"/>
      </iconSet>
    </cfRule>
  </conditionalFormatting>
  <conditionalFormatting sqref="N228">
    <cfRule type="cellIs" dxfId="2647" priority="3232" operator="lessThan">
      <formula>0</formula>
    </cfRule>
    <cfRule type="cellIs" dxfId="2646" priority="3233" operator="greaterThan">
      <formula>0</formula>
    </cfRule>
  </conditionalFormatting>
  <conditionalFormatting sqref="F228">
    <cfRule type="cellIs" dxfId="2645" priority="3230" operator="lessThan">
      <formula>0</formula>
    </cfRule>
    <cfRule type="cellIs" dxfId="2644" priority="3231" operator="greaterThan">
      <formula>0</formula>
    </cfRule>
  </conditionalFormatting>
  <conditionalFormatting sqref="U228">
    <cfRule type="iconSet" priority="3235">
      <iconSet iconSet="3Symbols" showValue="0" reverse="1">
        <cfvo type="percent" val="0"/>
        <cfvo type="num" val="1"/>
        <cfvo type="num" val="1.05"/>
      </iconSet>
    </cfRule>
  </conditionalFormatting>
  <conditionalFormatting sqref="P228">
    <cfRule type="iconSet" priority="3236">
      <iconSet iconSet="3Symbols" showValue="0" reverse="1">
        <cfvo type="percent" val="0"/>
        <cfvo type="num" val="1"/>
        <cfvo type="num" val="1.05"/>
      </iconSet>
    </cfRule>
  </conditionalFormatting>
  <conditionalFormatting sqref="Q227">
    <cfRule type="iconSet" priority="3227">
      <iconSet iconSet="3Symbols" showValue="0" reverse="1">
        <cfvo type="percent" val="0"/>
        <cfvo type="num" val="1"/>
        <cfvo type="num" val="1.05"/>
      </iconSet>
    </cfRule>
  </conditionalFormatting>
  <conditionalFormatting sqref="N227">
    <cfRule type="cellIs" dxfId="2643" priority="3225" operator="lessThan">
      <formula>0</formula>
    </cfRule>
    <cfRule type="cellIs" dxfId="2642" priority="3226" operator="greaterThan">
      <formula>0</formula>
    </cfRule>
  </conditionalFormatting>
  <conditionalFormatting sqref="F227">
    <cfRule type="cellIs" dxfId="2641" priority="3223" operator="lessThan">
      <formula>0</formula>
    </cfRule>
    <cfRule type="cellIs" dxfId="2640" priority="3224" operator="greaterThan">
      <formula>0</formula>
    </cfRule>
  </conditionalFormatting>
  <conditionalFormatting sqref="U227">
    <cfRule type="iconSet" priority="3228">
      <iconSet iconSet="3Symbols" showValue="0" reverse="1">
        <cfvo type="percent" val="0"/>
        <cfvo type="num" val="1"/>
        <cfvo type="num" val="1.05"/>
      </iconSet>
    </cfRule>
  </conditionalFormatting>
  <conditionalFormatting sqref="P227">
    <cfRule type="iconSet" priority="3229">
      <iconSet iconSet="3Symbols" showValue="0" reverse="1">
        <cfvo type="percent" val="0"/>
        <cfvo type="num" val="1"/>
        <cfvo type="num" val="1.05"/>
      </iconSet>
    </cfRule>
  </conditionalFormatting>
  <conditionalFormatting sqref="Q226">
    <cfRule type="iconSet" priority="3220">
      <iconSet iconSet="3Symbols" showValue="0" reverse="1">
        <cfvo type="percent" val="0"/>
        <cfvo type="num" val="1"/>
        <cfvo type="num" val="1.05"/>
      </iconSet>
    </cfRule>
  </conditionalFormatting>
  <conditionalFormatting sqref="N226">
    <cfRule type="cellIs" dxfId="2639" priority="3218" operator="lessThan">
      <formula>0</formula>
    </cfRule>
    <cfRule type="cellIs" dxfId="2638" priority="3219" operator="greaterThan">
      <formula>0</formula>
    </cfRule>
  </conditionalFormatting>
  <conditionalFormatting sqref="F226">
    <cfRule type="cellIs" dxfId="2637" priority="3216" operator="lessThan">
      <formula>0</formula>
    </cfRule>
    <cfRule type="cellIs" dxfId="2636" priority="3217" operator="greaterThan">
      <formula>0</formula>
    </cfRule>
  </conditionalFormatting>
  <conditionalFormatting sqref="U226">
    <cfRule type="iconSet" priority="3221">
      <iconSet iconSet="3Symbols" showValue="0" reverse="1">
        <cfvo type="percent" val="0"/>
        <cfvo type="num" val="1"/>
        <cfvo type="num" val="1.05"/>
      </iconSet>
    </cfRule>
  </conditionalFormatting>
  <conditionalFormatting sqref="P226">
    <cfRule type="iconSet" priority="3222">
      <iconSet iconSet="3Symbols" showValue="0" reverse="1">
        <cfvo type="percent" val="0"/>
        <cfvo type="num" val="1"/>
        <cfvo type="num" val="1.05"/>
      </iconSet>
    </cfRule>
  </conditionalFormatting>
  <conditionalFormatting sqref="Q225">
    <cfRule type="iconSet" priority="3213">
      <iconSet iconSet="3Symbols" showValue="0" reverse="1">
        <cfvo type="percent" val="0"/>
        <cfvo type="num" val="1"/>
        <cfvo type="num" val="1.05"/>
      </iconSet>
    </cfRule>
  </conditionalFormatting>
  <conditionalFormatting sqref="N225">
    <cfRule type="cellIs" dxfId="2635" priority="3211" operator="lessThan">
      <formula>0</formula>
    </cfRule>
    <cfRule type="cellIs" dxfId="2634" priority="3212" operator="greaterThan">
      <formula>0</formula>
    </cfRule>
  </conditionalFormatting>
  <conditionalFormatting sqref="F225">
    <cfRule type="cellIs" dxfId="2633" priority="3209" operator="lessThan">
      <formula>0</formula>
    </cfRule>
    <cfRule type="cellIs" dxfId="2632" priority="3210" operator="greaterThan">
      <formula>0</formula>
    </cfRule>
  </conditionalFormatting>
  <conditionalFormatting sqref="U225">
    <cfRule type="iconSet" priority="3214">
      <iconSet iconSet="3Symbols" showValue="0" reverse="1">
        <cfvo type="percent" val="0"/>
        <cfvo type="num" val="1"/>
        <cfvo type="num" val="1.05"/>
      </iconSet>
    </cfRule>
  </conditionalFormatting>
  <conditionalFormatting sqref="P225">
    <cfRule type="iconSet" priority="3215">
      <iconSet iconSet="3Symbols" showValue="0" reverse="1">
        <cfvo type="percent" val="0"/>
        <cfvo type="num" val="1"/>
        <cfvo type="num" val="1.05"/>
      </iconSet>
    </cfRule>
  </conditionalFormatting>
  <conditionalFormatting sqref="Q224">
    <cfRule type="iconSet" priority="3206">
      <iconSet iconSet="3Symbols" showValue="0" reverse="1">
        <cfvo type="percent" val="0"/>
        <cfvo type="num" val="1"/>
        <cfvo type="num" val="1.05"/>
      </iconSet>
    </cfRule>
  </conditionalFormatting>
  <conditionalFormatting sqref="N224">
    <cfRule type="cellIs" dxfId="2631" priority="3204" operator="lessThan">
      <formula>0</formula>
    </cfRule>
    <cfRule type="cellIs" dxfId="2630" priority="3205" operator="greaterThan">
      <formula>0</formula>
    </cfRule>
  </conditionalFormatting>
  <conditionalFormatting sqref="F224">
    <cfRule type="cellIs" dxfId="2629" priority="3202" operator="lessThan">
      <formula>0</formula>
    </cfRule>
    <cfRule type="cellIs" dxfId="2628" priority="3203" operator="greaterThan">
      <formula>0</formula>
    </cfRule>
  </conditionalFormatting>
  <conditionalFormatting sqref="U224">
    <cfRule type="iconSet" priority="3207">
      <iconSet iconSet="3Symbols" showValue="0" reverse="1">
        <cfvo type="percent" val="0"/>
        <cfvo type="num" val="1"/>
        <cfvo type="num" val="1.05"/>
      </iconSet>
    </cfRule>
  </conditionalFormatting>
  <conditionalFormatting sqref="P224">
    <cfRule type="iconSet" priority="3208">
      <iconSet iconSet="3Symbols" showValue="0" reverse="1">
        <cfvo type="percent" val="0"/>
        <cfvo type="num" val="1"/>
        <cfvo type="num" val="1.05"/>
      </iconSet>
    </cfRule>
  </conditionalFormatting>
  <conditionalFormatting sqref="Q222:Q223">
    <cfRule type="iconSet" priority="3199">
      <iconSet iconSet="3Symbols" showValue="0" reverse="1">
        <cfvo type="percent" val="0"/>
        <cfvo type="num" val="1"/>
        <cfvo type="num" val="1.05"/>
      </iconSet>
    </cfRule>
  </conditionalFormatting>
  <conditionalFormatting sqref="N222:N223">
    <cfRule type="cellIs" dxfId="2627" priority="3197" operator="lessThan">
      <formula>0</formula>
    </cfRule>
    <cfRule type="cellIs" dxfId="2626" priority="3198" operator="greaterThan">
      <formula>0</formula>
    </cfRule>
  </conditionalFormatting>
  <conditionalFormatting sqref="F222:F223">
    <cfRule type="cellIs" dxfId="2625" priority="3195" operator="lessThan">
      <formula>0</formula>
    </cfRule>
    <cfRule type="cellIs" dxfId="2624" priority="3196" operator="greaterThan">
      <formula>0</formula>
    </cfRule>
  </conditionalFormatting>
  <conditionalFormatting sqref="U222:U223">
    <cfRule type="iconSet" priority="3200">
      <iconSet iconSet="3Symbols" showValue="0" reverse="1">
        <cfvo type="percent" val="0"/>
        <cfvo type="num" val="1"/>
        <cfvo type="num" val="1.05"/>
      </iconSet>
    </cfRule>
  </conditionalFormatting>
  <conditionalFormatting sqref="P222:P223">
    <cfRule type="iconSet" priority="3201">
      <iconSet iconSet="3Symbols" showValue="0" reverse="1">
        <cfvo type="percent" val="0"/>
        <cfvo type="num" val="1"/>
        <cfvo type="num" val="1.05"/>
      </iconSet>
    </cfRule>
  </conditionalFormatting>
  <conditionalFormatting sqref="Q221">
    <cfRule type="iconSet" priority="3192">
      <iconSet iconSet="3Symbols" showValue="0" reverse="1">
        <cfvo type="percent" val="0"/>
        <cfvo type="num" val="1"/>
        <cfvo type="num" val="1.05"/>
      </iconSet>
    </cfRule>
  </conditionalFormatting>
  <conditionalFormatting sqref="N221">
    <cfRule type="cellIs" dxfId="2623" priority="3190" operator="lessThan">
      <formula>0</formula>
    </cfRule>
    <cfRule type="cellIs" dxfId="2622" priority="3191" operator="greaterThan">
      <formula>0</formula>
    </cfRule>
  </conditionalFormatting>
  <conditionalFormatting sqref="F221">
    <cfRule type="cellIs" dxfId="2621" priority="3188" operator="lessThan">
      <formula>0</formula>
    </cfRule>
    <cfRule type="cellIs" dxfId="2620" priority="3189" operator="greaterThan">
      <formula>0</formula>
    </cfRule>
  </conditionalFormatting>
  <conditionalFormatting sqref="U221">
    <cfRule type="iconSet" priority="3193">
      <iconSet iconSet="3Symbols" showValue="0" reverse="1">
        <cfvo type="percent" val="0"/>
        <cfvo type="num" val="1"/>
        <cfvo type="num" val="1.05"/>
      </iconSet>
    </cfRule>
  </conditionalFormatting>
  <conditionalFormatting sqref="P221">
    <cfRule type="iconSet" priority="3194">
      <iconSet iconSet="3Symbols" showValue="0" reverse="1">
        <cfvo type="percent" val="0"/>
        <cfvo type="num" val="1"/>
        <cfvo type="num" val="1.05"/>
      </iconSet>
    </cfRule>
  </conditionalFormatting>
  <conditionalFormatting sqref="Q220">
    <cfRule type="iconSet" priority="3185">
      <iconSet iconSet="3Symbols" showValue="0" reverse="1">
        <cfvo type="percent" val="0"/>
        <cfvo type="num" val="1"/>
        <cfvo type="num" val="1.05"/>
      </iconSet>
    </cfRule>
  </conditionalFormatting>
  <conditionalFormatting sqref="N220">
    <cfRule type="cellIs" dxfId="2619" priority="3183" operator="lessThan">
      <formula>0</formula>
    </cfRule>
    <cfRule type="cellIs" dxfId="2618" priority="3184" operator="greaterThan">
      <formula>0</formula>
    </cfRule>
  </conditionalFormatting>
  <conditionalFormatting sqref="F220">
    <cfRule type="cellIs" dxfId="2617" priority="3181" operator="lessThan">
      <formula>0</formula>
    </cfRule>
    <cfRule type="cellIs" dxfId="2616" priority="3182" operator="greaterThan">
      <formula>0</formula>
    </cfRule>
  </conditionalFormatting>
  <conditionalFormatting sqref="U220">
    <cfRule type="iconSet" priority="3186">
      <iconSet iconSet="3Symbols" showValue="0" reverse="1">
        <cfvo type="percent" val="0"/>
        <cfvo type="num" val="1"/>
        <cfvo type="num" val="1.05"/>
      </iconSet>
    </cfRule>
  </conditionalFormatting>
  <conditionalFormatting sqref="P220">
    <cfRule type="iconSet" priority="3187">
      <iconSet iconSet="3Symbols" showValue="0" reverse="1">
        <cfvo type="percent" val="0"/>
        <cfvo type="num" val="1"/>
        <cfvo type="num" val="1.05"/>
      </iconSet>
    </cfRule>
  </conditionalFormatting>
  <conditionalFormatting sqref="Q219">
    <cfRule type="iconSet" priority="3178">
      <iconSet iconSet="3Symbols" showValue="0" reverse="1">
        <cfvo type="percent" val="0"/>
        <cfvo type="num" val="1"/>
        <cfvo type="num" val="1.05"/>
      </iconSet>
    </cfRule>
  </conditionalFormatting>
  <conditionalFormatting sqref="N219">
    <cfRule type="cellIs" dxfId="2615" priority="3176" operator="lessThan">
      <formula>0</formula>
    </cfRule>
    <cfRule type="cellIs" dxfId="2614" priority="3177" operator="greaterThan">
      <formula>0</formula>
    </cfRule>
  </conditionalFormatting>
  <conditionalFormatting sqref="F219">
    <cfRule type="cellIs" dxfId="2613" priority="3174" operator="lessThan">
      <formula>0</formula>
    </cfRule>
    <cfRule type="cellIs" dxfId="2612" priority="3175" operator="greaterThan">
      <formula>0</formula>
    </cfRule>
  </conditionalFormatting>
  <conditionalFormatting sqref="U219">
    <cfRule type="iconSet" priority="3179">
      <iconSet iconSet="3Symbols" showValue="0" reverse="1">
        <cfvo type="percent" val="0"/>
        <cfvo type="num" val="1"/>
        <cfvo type="num" val="1.05"/>
      </iconSet>
    </cfRule>
  </conditionalFormatting>
  <conditionalFormatting sqref="P219">
    <cfRule type="iconSet" priority="3180">
      <iconSet iconSet="3Symbols" showValue="0" reverse="1">
        <cfvo type="percent" val="0"/>
        <cfvo type="num" val="1"/>
        <cfvo type="num" val="1.05"/>
      </iconSet>
    </cfRule>
  </conditionalFormatting>
  <conditionalFormatting sqref="Q218">
    <cfRule type="iconSet" priority="3171">
      <iconSet iconSet="3Symbols" showValue="0" reverse="1">
        <cfvo type="percent" val="0"/>
        <cfvo type="num" val="1"/>
        <cfvo type="num" val="1.05"/>
      </iconSet>
    </cfRule>
  </conditionalFormatting>
  <conditionalFormatting sqref="N218">
    <cfRule type="cellIs" dxfId="2611" priority="3169" operator="lessThan">
      <formula>0</formula>
    </cfRule>
    <cfRule type="cellIs" dxfId="2610" priority="3170" operator="greaterThan">
      <formula>0</formula>
    </cfRule>
  </conditionalFormatting>
  <conditionalFormatting sqref="F218">
    <cfRule type="cellIs" dxfId="2609" priority="3167" operator="lessThan">
      <formula>0</formula>
    </cfRule>
    <cfRule type="cellIs" dxfId="2608" priority="3168" operator="greaterThan">
      <formula>0</formula>
    </cfRule>
  </conditionalFormatting>
  <conditionalFormatting sqref="U218">
    <cfRule type="iconSet" priority="3172">
      <iconSet iconSet="3Symbols" showValue="0" reverse="1">
        <cfvo type="percent" val="0"/>
        <cfvo type="num" val="1"/>
        <cfvo type="num" val="1.05"/>
      </iconSet>
    </cfRule>
  </conditionalFormatting>
  <conditionalFormatting sqref="P218">
    <cfRule type="iconSet" priority="3173">
      <iconSet iconSet="3Symbols" showValue="0" reverse="1">
        <cfvo type="percent" val="0"/>
        <cfvo type="num" val="1"/>
        <cfvo type="num" val="1.05"/>
      </iconSet>
    </cfRule>
  </conditionalFormatting>
  <conditionalFormatting sqref="Q217">
    <cfRule type="iconSet" priority="3164">
      <iconSet iconSet="3Symbols" showValue="0" reverse="1">
        <cfvo type="percent" val="0"/>
        <cfvo type="num" val="1"/>
        <cfvo type="num" val="1.05"/>
      </iconSet>
    </cfRule>
  </conditionalFormatting>
  <conditionalFormatting sqref="N217">
    <cfRule type="cellIs" dxfId="2607" priority="3162" operator="lessThan">
      <formula>0</formula>
    </cfRule>
    <cfRule type="cellIs" dxfId="2606" priority="3163" operator="greaterThan">
      <formula>0</formula>
    </cfRule>
  </conditionalFormatting>
  <conditionalFormatting sqref="F217">
    <cfRule type="cellIs" dxfId="2605" priority="3160" operator="lessThan">
      <formula>0</formula>
    </cfRule>
    <cfRule type="cellIs" dxfId="2604" priority="3161" operator="greaterThan">
      <formula>0</formula>
    </cfRule>
  </conditionalFormatting>
  <conditionalFormatting sqref="U217">
    <cfRule type="iconSet" priority="3165">
      <iconSet iconSet="3Symbols" showValue="0" reverse="1">
        <cfvo type="percent" val="0"/>
        <cfvo type="num" val="1"/>
        <cfvo type="num" val="1.05"/>
      </iconSet>
    </cfRule>
  </conditionalFormatting>
  <conditionalFormatting sqref="P217">
    <cfRule type="iconSet" priority="3166">
      <iconSet iconSet="3Symbols" showValue="0" reverse="1">
        <cfvo type="percent" val="0"/>
        <cfvo type="num" val="1"/>
        <cfvo type="num" val="1.05"/>
      </iconSet>
    </cfRule>
  </conditionalFormatting>
  <conditionalFormatting sqref="Q216">
    <cfRule type="iconSet" priority="3157">
      <iconSet iconSet="3Symbols" showValue="0" reverse="1">
        <cfvo type="percent" val="0"/>
        <cfvo type="num" val="1"/>
        <cfvo type="num" val="1.05"/>
      </iconSet>
    </cfRule>
  </conditionalFormatting>
  <conditionalFormatting sqref="N216">
    <cfRule type="cellIs" dxfId="2603" priority="3155" operator="lessThan">
      <formula>0</formula>
    </cfRule>
    <cfRule type="cellIs" dxfId="2602" priority="3156" operator="greaterThan">
      <formula>0</formula>
    </cfRule>
  </conditionalFormatting>
  <conditionalFormatting sqref="F216">
    <cfRule type="cellIs" dxfId="2601" priority="3153" operator="lessThan">
      <formula>0</formula>
    </cfRule>
    <cfRule type="cellIs" dxfId="2600" priority="3154" operator="greaterThan">
      <formula>0</formula>
    </cfRule>
  </conditionalFormatting>
  <conditionalFormatting sqref="U216">
    <cfRule type="iconSet" priority="3158">
      <iconSet iconSet="3Symbols" showValue="0" reverse="1">
        <cfvo type="percent" val="0"/>
        <cfvo type="num" val="1"/>
        <cfvo type="num" val="1.05"/>
      </iconSet>
    </cfRule>
  </conditionalFormatting>
  <conditionalFormatting sqref="P216">
    <cfRule type="iconSet" priority="3159">
      <iconSet iconSet="3Symbols" showValue="0" reverse="1">
        <cfvo type="percent" val="0"/>
        <cfvo type="num" val="1"/>
        <cfvo type="num" val="1.05"/>
      </iconSet>
    </cfRule>
  </conditionalFormatting>
  <conditionalFormatting sqref="Q215">
    <cfRule type="iconSet" priority="3150">
      <iconSet iconSet="3Symbols" showValue="0" reverse="1">
        <cfvo type="percent" val="0"/>
        <cfvo type="num" val="1"/>
        <cfvo type="num" val="1.05"/>
      </iconSet>
    </cfRule>
  </conditionalFormatting>
  <conditionalFormatting sqref="N215">
    <cfRule type="cellIs" dxfId="2599" priority="3148" operator="lessThan">
      <formula>0</formula>
    </cfRule>
    <cfRule type="cellIs" dxfId="2598" priority="3149" operator="greaterThan">
      <formula>0</formula>
    </cfRule>
  </conditionalFormatting>
  <conditionalFormatting sqref="F215">
    <cfRule type="cellIs" dxfId="2597" priority="3146" operator="lessThan">
      <formula>0</formula>
    </cfRule>
    <cfRule type="cellIs" dxfId="2596" priority="3147" operator="greaterThan">
      <formula>0</formula>
    </cfRule>
  </conditionalFormatting>
  <conditionalFormatting sqref="U215">
    <cfRule type="iconSet" priority="3151">
      <iconSet iconSet="3Symbols" showValue="0" reverse="1">
        <cfvo type="percent" val="0"/>
        <cfvo type="num" val="1"/>
        <cfvo type="num" val="1.05"/>
      </iconSet>
    </cfRule>
  </conditionalFormatting>
  <conditionalFormatting sqref="P215">
    <cfRule type="iconSet" priority="3152">
      <iconSet iconSet="3Symbols" showValue="0" reverse="1">
        <cfvo type="percent" val="0"/>
        <cfvo type="num" val="1"/>
        <cfvo type="num" val="1.05"/>
      </iconSet>
    </cfRule>
  </conditionalFormatting>
  <conditionalFormatting sqref="Q214">
    <cfRule type="iconSet" priority="3143">
      <iconSet iconSet="3Symbols" showValue="0" reverse="1">
        <cfvo type="percent" val="0"/>
        <cfvo type="num" val="1"/>
        <cfvo type="num" val="1.05"/>
      </iconSet>
    </cfRule>
  </conditionalFormatting>
  <conditionalFormatting sqref="N214">
    <cfRule type="cellIs" dxfId="2595" priority="3141" operator="lessThan">
      <formula>0</formula>
    </cfRule>
    <cfRule type="cellIs" dxfId="2594" priority="3142" operator="greaterThan">
      <formula>0</formula>
    </cfRule>
  </conditionalFormatting>
  <conditionalFormatting sqref="F214">
    <cfRule type="cellIs" dxfId="2593" priority="3139" operator="lessThan">
      <formula>0</formula>
    </cfRule>
    <cfRule type="cellIs" dxfId="2592" priority="3140" operator="greaterThan">
      <formula>0</formula>
    </cfRule>
  </conditionalFormatting>
  <conditionalFormatting sqref="U214">
    <cfRule type="iconSet" priority="3144">
      <iconSet iconSet="3Symbols" showValue="0" reverse="1">
        <cfvo type="percent" val="0"/>
        <cfvo type="num" val="1"/>
        <cfvo type="num" val="1.05"/>
      </iconSet>
    </cfRule>
  </conditionalFormatting>
  <conditionalFormatting sqref="P214">
    <cfRule type="iconSet" priority="3145">
      <iconSet iconSet="3Symbols" showValue="0" reverse="1">
        <cfvo type="percent" val="0"/>
        <cfvo type="num" val="1"/>
        <cfvo type="num" val="1.05"/>
      </iconSet>
    </cfRule>
  </conditionalFormatting>
  <conditionalFormatting sqref="Q213">
    <cfRule type="iconSet" priority="3136">
      <iconSet iconSet="3Symbols" showValue="0" reverse="1">
        <cfvo type="percent" val="0"/>
        <cfvo type="num" val="1"/>
        <cfvo type="num" val="1.05"/>
      </iconSet>
    </cfRule>
  </conditionalFormatting>
  <conditionalFormatting sqref="N213">
    <cfRule type="cellIs" dxfId="2591" priority="3134" operator="lessThan">
      <formula>0</formula>
    </cfRule>
    <cfRule type="cellIs" dxfId="2590" priority="3135" operator="greaterThan">
      <formula>0</formula>
    </cfRule>
  </conditionalFormatting>
  <conditionalFormatting sqref="F213">
    <cfRule type="cellIs" dxfId="2589" priority="3132" operator="lessThan">
      <formula>0</formula>
    </cfRule>
    <cfRule type="cellIs" dxfId="2588" priority="3133" operator="greaterThan">
      <formula>0</formula>
    </cfRule>
  </conditionalFormatting>
  <conditionalFormatting sqref="U213">
    <cfRule type="iconSet" priority="3137">
      <iconSet iconSet="3Symbols" showValue="0" reverse="1">
        <cfvo type="percent" val="0"/>
        <cfvo type="num" val="1"/>
        <cfvo type="num" val="1.05"/>
      </iconSet>
    </cfRule>
  </conditionalFormatting>
  <conditionalFormatting sqref="P213">
    <cfRule type="iconSet" priority="3138">
      <iconSet iconSet="3Symbols" showValue="0" reverse="1">
        <cfvo type="percent" val="0"/>
        <cfvo type="num" val="1"/>
        <cfvo type="num" val="1.05"/>
      </iconSet>
    </cfRule>
  </conditionalFormatting>
  <conditionalFormatting sqref="Q212">
    <cfRule type="iconSet" priority="3129">
      <iconSet iconSet="3Symbols" showValue="0" reverse="1">
        <cfvo type="percent" val="0"/>
        <cfvo type="num" val="1"/>
        <cfvo type="num" val="1.05"/>
      </iconSet>
    </cfRule>
  </conditionalFormatting>
  <conditionalFormatting sqref="N212">
    <cfRule type="cellIs" dxfId="2587" priority="3127" operator="lessThan">
      <formula>0</formula>
    </cfRule>
    <cfRule type="cellIs" dxfId="2586" priority="3128" operator="greaterThan">
      <formula>0</formula>
    </cfRule>
  </conditionalFormatting>
  <conditionalFormatting sqref="F212">
    <cfRule type="cellIs" dxfId="2585" priority="3125" operator="lessThan">
      <formula>0</formula>
    </cfRule>
    <cfRule type="cellIs" dxfId="2584" priority="3126" operator="greaterThan">
      <formula>0</formula>
    </cfRule>
  </conditionalFormatting>
  <conditionalFormatting sqref="U212">
    <cfRule type="iconSet" priority="3130">
      <iconSet iconSet="3Symbols" showValue="0" reverse="1">
        <cfvo type="percent" val="0"/>
        <cfvo type="num" val="1"/>
        <cfvo type="num" val="1.05"/>
      </iconSet>
    </cfRule>
  </conditionalFormatting>
  <conditionalFormatting sqref="P212">
    <cfRule type="iconSet" priority="3131">
      <iconSet iconSet="3Symbols" showValue="0" reverse="1">
        <cfvo type="percent" val="0"/>
        <cfvo type="num" val="1"/>
        <cfvo type="num" val="1.05"/>
      </iconSet>
    </cfRule>
  </conditionalFormatting>
  <conditionalFormatting sqref="Q211">
    <cfRule type="iconSet" priority="3122">
      <iconSet iconSet="3Symbols" showValue="0" reverse="1">
        <cfvo type="percent" val="0"/>
        <cfvo type="num" val="1"/>
        <cfvo type="num" val="1.05"/>
      </iconSet>
    </cfRule>
  </conditionalFormatting>
  <conditionalFormatting sqref="N211">
    <cfRule type="cellIs" dxfId="2583" priority="3120" operator="lessThan">
      <formula>0</formula>
    </cfRule>
    <cfRule type="cellIs" dxfId="2582" priority="3121" operator="greaterThan">
      <formula>0</formula>
    </cfRule>
  </conditionalFormatting>
  <conditionalFormatting sqref="F211">
    <cfRule type="cellIs" dxfId="2581" priority="3118" operator="lessThan">
      <formula>0</formula>
    </cfRule>
    <cfRule type="cellIs" dxfId="2580" priority="3119" operator="greaterThan">
      <formula>0</formula>
    </cfRule>
  </conditionalFormatting>
  <conditionalFormatting sqref="U211">
    <cfRule type="iconSet" priority="3123">
      <iconSet iconSet="3Symbols" showValue="0" reverse="1">
        <cfvo type="percent" val="0"/>
        <cfvo type="num" val="1"/>
        <cfvo type="num" val="1.05"/>
      </iconSet>
    </cfRule>
  </conditionalFormatting>
  <conditionalFormatting sqref="P211">
    <cfRule type="iconSet" priority="3124">
      <iconSet iconSet="3Symbols" showValue="0" reverse="1">
        <cfvo type="percent" val="0"/>
        <cfvo type="num" val="1"/>
        <cfvo type="num" val="1.05"/>
      </iconSet>
    </cfRule>
  </conditionalFormatting>
  <conditionalFormatting sqref="Q209:Q210">
    <cfRule type="iconSet" priority="3115">
      <iconSet iconSet="3Symbols" showValue="0" reverse="1">
        <cfvo type="percent" val="0"/>
        <cfvo type="num" val="1"/>
        <cfvo type="num" val="1.05"/>
      </iconSet>
    </cfRule>
  </conditionalFormatting>
  <conditionalFormatting sqref="N209:N210">
    <cfRule type="cellIs" dxfId="2579" priority="3113" operator="lessThan">
      <formula>0</formula>
    </cfRule>
    <cfRule type="cellIs" dxfId="2578" priority="3114" operator="greaterThan">
      <formula>0</formula>
    </cfRule>
  </conditionalFormatting>
  <conditionalFormatting sqref="F209:F210">
    <cfRule type="cellIs" dxfId="2577" priority="3111" operator="lessThan">
      <formula>0</formula>
    </cfRule>
    <cfRule type="cellIs" dxfId="2576" priority="3112" operator="greaterThan">
      <formula>0</formula>
    </cfRule>
  </conditionalFormatting>
  <conditionalFormatting sqref="U209:U210">
    <cfRule type="iconSet" priority="3116">
      <iconSet iconSet="3Symbols" showValue="0" reverse="1">
        <cfvo type="percent" val="0"/>
        <cfvo type="num" val="1"/>
        <cfvo type="num" val="1.05"/>
      </iconSet>
    </cfRule>
  </conditionalFormatting>
  <conditionalFormatting sqref="P209:P210">
    <cfRule type="iconSet" priority="3117">
      <iconSet iconSet="3Symbols" showValue="0" reverse="1">
        <cfvo type="percent" val="0"/>
        <cfvo type="num" val="1"/>
        <cfvo type="num" val="1.05"/>
      </iconSet>
    </cfRule>
  </conditionalFormatting>
  <conditionalFormatting sqref="Q208">
    <cfRule type="iconSet" priority="3108">
      <iconSet iconSet="3Symbols" showValue="0" reverse="1">
        <cfvo type="percent" val="0"/>
        <cfvo type="num" val="1"/>
        <cfvo type="num" val="1.05"/>
      </iconSet>
    </cfRule>
  </conditionalFormatting>
  <conditionalFormatting sqref="N208">
    <cfRule type="cellIs" dxfId="2575" priority="3106" operator="lessThan">
      <formula>0</formula>
    </cfRule>
    <cfRule type="cellIs" dxfId="2574" priority="3107" operator="greaterThan">
      <formula>0</formula>
    </cfRule>
  </conditionalFormatting>
  <conditionalFormatting sqref="F208">
    <cfRule type="cellIs" dxfId="2573" priority="3104" operator="lessThan">
      <formula>0</formula>
    </cfRule>
    <cfRule type="cellIs" dxfId="2572" priority="3105" operator="greaterThan">
      <formula>0</formula>
    </cfRule>
  </conditionalFormatting>
  <conditionalFormatting sqref="U208">
    <cfRule type="iconSet" priority="3109">
      <iconSet iconSet="3Symbols" showValue="0" reverse="1">
        <cfvo type="percent" val="0"/>
        <cfvo type="num" val="1"/>
        <cfvo type="num" val="1.05"/>
      </iconSet>
    </cfRule>
  </conditionalFormatting>
  <conditionalFormatting sqref="P208">
    <cfRule type="iconSet" priority="3110">
      <iconSet iconSet="3Symbols" showValue="0" reverse="1">
        <cfvo type="percent" val="0"/>
        <cfvo type="num" val="1"/>
        <cfvo type="num" val="1.05"/>
      </iconSet>
    </cfRule>
  </conditionalFormatting>
  <conditionalFormatting sqref="Q207">
    <cfRule type="iconSet" priority="3101">
      <iconSet iconSet="3Symbols" showValue="0" reverse="1">
        <cfvo type="percent" val="0"/>
        <cfvo type="num" val="1"/>
        <cfvo type="num" val="1.05"/>
      </iconSet>
    </cfRule>
  </conditionalFormatting>
  <conditionalFormatting sqref="N207">
    <cfRule type="cellIs" dxfId="2571" priority="3099" operator="lessThan">
      <formula>0</formula>
    </cfRule>
    <cfRule type="cellIs" dxfId="2570" priority="3100" operator="greaterThan">
      <formula>0</formula>
    </cfRule>
  </conditionalFormatting>
  <conditionalFormatting sqref="F207">
    <cfRule type="cellIs" dxfId="2569" priority="3097" operator="lessThan">
      <formula>0</formula>
    </cfRule>
    <cfRule type="cellIs" dxfId="2568" priority="3098" operator="greaterThan">
      <formula>0</formula>
    </cfRule>
  </conditionalFormatting>
  <conditionalFormatting sqref="U207">
    <cfRule type="iconSet" priority="3102">
      <iconSet iconSet="3Symbols" showValue="0" reverse="1">
        <cfvo type="percent" val="0"/>
        <cfvo type="num" val="1"/>
        <cfvo type="num" val="1.05"/>
      </iconSet>
    </cfRule>
  </conditionalFormatting>
  <conditionalFormatting sqref="P207">
    <cfRule type="iconSet" priority="3103">
      <iconSet iconSet="3Symbols" showValue="0" reverse="1">
        <cfvo type="percent" val="0"/>
        <cfvo type="num" val="1"/>
        <cfvo type="num" val="1.05"/>
      </iconSet>
    </cfRule>
  </conditionalFormatting>
  <conditionalFormatting sqref="Q206">
    <cfRule type="iconSet" priority="3094">
      <iconSet iconSet="3Symbols" showValue="0" reverse="1">
        <cfvo type="percent" val="0"/>
        <cfvo type="num" val="1"/>
        <cfvo type="num" val="1.05"/>
      </iconSet>
    </cfRule>
  </conditionalFormatting>
  <conditionalFormatting sqref="N206">
    <cfRule type="cellIs" dxfId="2567" priority="3092" operator="lessThan">
      <formula>0</formula>
    </cfRule>
    <cfRule type="cellIs" dxfId="2566" priority="3093" operator="greaterThan">
      <formula>0</formula>
    </cfRule>
  </conditionalFormatting>
  <conditionalFormatting sqref="F206">
    <cfRule type="cellIs" dxfId="2565" priority="3090" operator="lessThan">
      <formula>0</formula>
    </cfRule>
    <cfRule type="cellIs" dxfId="2564" priority="3091" operator="greaterThan">
      <formula>0</formula>
    </cfRule>
  </conditionalFormatting>
  <conditionalFormatting sqref="U206">
    <cfRule type="iconSet" priority="3095">
      <iconSet iconSet="3Symbols" showValue="0" reverse="1">
        <cfvo type="percent" val="0"/>
        <cfvo type="num" val="1"/>
        <cfvo type="num" val="1.05"/>
      </iconSet>
    </cfRule>
  </conditionalFormatting>
  <conditionalFormatting sqref="P206">
    <cfRule type="iconSet" priority="3096">
      <iconSet iconSet="3Symbols" showValue="0" reverse="1">
        <cfvo type="percent" val="0"/>
        <cfvo type="num" val="1"/>
        <cfvo type="num" val="1.05"/>
      </iconSet>
    </cfRule>
  </conditionalFormatting>
  <conditionalFormatting sqref="Q205">
    <cfRule type="iconSet" priority="3087">
      <iconSet iconSet="3Symbols" showValue="0" reverse="1">
        <cfvo type="percent" val="0"/>
        <cfvo type="num" val="1"/>
        <cfvo type="num" val="1.05"/>
      </iconSet>
    </cfRule>
  </conditionalFormatting>
  <conditionalFormatting sqref="N205">
    <cfRule type="cellIs" dxfId="2563" priority="3085" operator="lessThan">
      <formula>0</formula>
    </cfRule>
    <cfRule type="cellIs" dxfId="2562" priority="3086" operator="greaterThan">
      <formula>0</formula>
    </cfRule>
  </conditionalFormatting>
  <conditionalFormatting sqref="F205">
    <cfRule type="cellIs" dxfId="2561" priority="3083" operator="lessThan">
      <formula>0</formula>
    </cfRule>
    <cfRule type="cellIs" dxfId="2560" priority="3084" operator="greaterThan">
      <formula>0</formula>
    </cfRule>
  </conditionalFormatting>
  <conditionalFormatting sqref="U205">
    <cfRule type="iconSet" priority="3088">
      <iconSet iconSet="3Symbols" showValue="0" reverse="1">
        <cfvo type="percent" val="0"/>
        <cfvo type="num" val="1"/>
        <cfvo type="num" val="1.05"/>
      </iconSet>
    </cfRule>
  </conditionalFormatting>
  <conditionalFormatting sqref="P205">
    <cfRule type="iconSet" priority="3089">
      <iconSet iconSet="3Symbols" showValue="0" reverse="1">
        <cfvo type="percent" val="0"/>
        <cfvo type="num" val="1"/>
        <cfvo type="num" val="1.05"/>
      </iconSet>
    </cfRule>
  </conditionalFormatting>
  <conditionalFormatting sqref="Q204">
    <cfRule type="iconSet" priority="3080">
      <iconSet iconSet="3Symbols" showValue="0" reverse="1">
        <cfvo type="percent" val="0"/>
        <cfvo type="num" val="1"/>
        <cfvo type="num" val="1.05"/>
      </iconSet>
    </cfRule>
  </conditionalFormatting>
  <conditionalFormatting sqref="N204">
    <cfRule type="cellIs" dxfId="2559" priority="3078" operator="lessThan">
      <formula>0</formula>
    </cfRule>
    <cfRule type="cellIs" dxfId="2558" priority="3079" operator="greaterThan">
      <formula>0</formula>
    </cfRule>
  </conditionalFormatting>
  <conditionalFormatting sqref="F204">
    <cfRule type="cellIs" dxfId="2557" priority="3076" operator="lessThan">
      <formula>0</formula>
    </cfRule>
    <cfRule type="cellIs" dxfId="2556" priority="3077" operator="greaterThan">
      <formula>0</formula>
    </cfRule>
  </conditionalFormatting>
  <conditionalFormatting sqref="U204">
    <cfRule type="iconSet" priority="3081">
      <iconSet iconSet="3Symbols" showValue="0" reverse="1">
        <cfvo type="percent" val="0"/>
        <cfvo type="num" val="1"/>
        <cfvo type="num" val="1.05"/>
      </iconSet>
    </cfRule>
  </conditionalFormatting>
  <conditionalFormatting sqref="P204">
    <cfRule type="iconSet" priority="3082">
      <iconSet iconSet="3Symbols" showValue="0" reverse="1">
        <cfvo type="percent" val="0"/>
        <cfvo type="num" val="1"/>
        <cfvo type="num" val="1.05"/>
      </iconSet>
    </cfRule>
  </conditionalFormatting>
  <conditionalFormatting sqref="Q203">
    <cfRule type="iconSet" priority="3073">
      <iconSet iconSet="3Symbols" showValue="0" reverse="1">
        <cfvo type="percent" val="0"/>
        <cfvo type="num" val="1"/>
        <cfvo type="num" val="1.05"/>
      </iconSet>
    </cfRule>
  </conditionalFormatting>
  <conditionalFormatting sqref="N203">
    <cfRule type="cellIs" dxfId="2555" priority="3071" operator="lessThan">
      <formula>0</formula>
    </cfRule>
    <cfRule type="cellIs" dxfId="2554" priority="3072" operator="greaterThan">
      <formula>0</formula>
    </cfRule>
  </conditionalFormatting>
  <conditionalFormatting sqref="F203">
    <cfRule type="cellIs" dxfId="2553" priority="3069" operator="lessThan">
      <formula>0</formula>
    </cfRule>
    <cfRule type="cellIs" dxfId="2552" priority="3070" operator="greaterThan">
      <formula>0</formula>
    </cfRule>
  </conditionalFormatting>
  <conditionalFormatting sqref="U203">
    <cfRule type="iconSet" priority="3074">
      <iconSet iconSet="3Symbols" showValue="0" reverse="1">
        <cfvo type="percent" val="0"/>
        <cfvo type="num" val="1"/>
        <cfvo type="num" val="1.05"/>
      </iconSet>
    </cfRule>
  </conditionalFormatting>
  <conditionalFormatting sqref="P203">
    <cfRule type="iconSet" priority="3075">
      <iconSet iconSet="3Symbols" showValue="0" reverse="1">
        <cfvo type="percent" val="0"/>
        <cfvo type="num" val="1"/>
        <cfvo type="num" val="1.05"/>
      </iconSet>
    </cfRule>
  </conditionalFormatting>
  <conditionalFormatting sqref="Q202">
    <cfRule type="iconSet" priority="3066">
      <iconSet iconSet="3Symbols" showValue="0" reverse="1">
        <cfvo type="percent" val="0"/>
        <cfvo type="num" val="1"/>
        <cfvo type="num" val="1.05"/>
      </iconSet>
    </cfRule>
  </conditionalFormatting>
  <conditionalFormatting sqref="N202">
    <cfRule type="cellIs" dxfId="2551" priority="3064" operator="lessThan">
      <formula>0</formula>
    </cfRule>
    <cfRule type="cellIs" dxfId="2550" priority="3065" operator="greaterThan">
      <formula>0</formula>
    </cfRule>
  </conditionalFormatting>
  <conditionalFormatting sqref="F202">
    <cfRule type="cellIs" dxfId="2549" priority="3062" operator="lessThan">
      <formula>0</formula>
    </cfRule>
    <cfRule type="cellIs" dxfId="2548" priority="3063" operator="greaterThan">
      <formula>0</formula>
    </cfRule>
  </conditionalFormatting>
  <conditionalFormatting sqref="U202">
    <cfRule type="iconSet" priority="3067">
      <iconSet iconSet="3Symbols" showValue="0" reverse="1">
        <cfvo type="percent" val="0"/>
        <cfvo type="num" val="1"/>
        <cfvo type="num" val="1.05"/>
      </iconSet>
    </cfRule>
  </conditionalFormatting>
  <conditionalFormatting sqref="P202">
    <cfRule type="iconSet" priority="3068">
      <iconSet iconSet="3Symbols" showValue="0" reverse="1">
        <cfvo type="percent" val="0"/>
        <cfvo type="num" val="1"/>
        <cfvo type="num" val="1.05"/>
      </iconSet>
    </cfRule>
  </conditionalFormatting>
  <conditionalFormatting sqref="Q201">
    <cfRule type="iconSet" priority="3059">
      <iconSet iconSet="3Symbols" showValue="0" reverse="1">
        <cfvo type="percent" val="0"/>
        <cfvo type="num" val="1"/>
        <cfvo type="num" val="1.05"/>
      </iconSet>
    </cfRule>
  </conditionalFormatting>
  <conditionalFormatting sqref="N201">
    <cfRule type="cellIs" dxfId="2547" priority="3057" operator="lessThan">
      <formula>0</formula>
    </cfRule>
    <cfRule type="cellIs" dxfId="2546" priority="3058" operator="greaterThan">
      <formula>0</formula>
    </cfRule>
  </conditionalFormatting>
  <conditionalFormatting sqref="F201">
    <cfRule type="cellIs" dxfId="2545" priority="3055" operator="lessThan">
      <formula>0</formula>
    </cfRule>
    <cfRule type="cellIs" dxfId="2544" priority="3056" operator="greaterThan">
      <formula>0</formula>
    </cfRule>
  </conditionalFormatting>
  <conditionalFormatting sqref="U201">
    <cfRule type="iconSet" priority="3060">
      <iconSet iconSet="3Symbols" showValue="0" reverse="1">
        <cfvo type="percent" val="0"/>
        <cfvo type="num" val="1"/>
        <cfvo type="num" val="1.05"/>
      </iconSet>
    </cfRule>
  </conditionalFormatting>
  <conditionalFormatting sqref="P201">
    <cfRule type="iconSet" priority="3061">
      <iconSet iconSet="3Symbols" showValue="0" reverse="1">
        <cfvo type="percent" val="0"/>
        <cfvo type="num" val="1"/>
        <cfvo type="num" val="1.05"/>
      </iconSet>
    </cfRule>
  </conditionalFormatting>
  <conditionalFormatting sqref="Q200">
    <cfRule type="iconSet" priority="3052">
      <iconSet iconSet="3Symbols" showValue="0" reverse="1">
        <cfvo type="percent" val="0"/>
        <cfvo type="num" val="1"/>
        <cfvo type="num" val="1.05"/>
      </iconSet>
    </cfRule>
  </conditionalFormatting>
  <conditionalFormatting sqref="N200">
    <cfRule type="cellIs" dxfId="2543" priority="3050" operator="lessThan">
      <formula>0</formula>
    </cfRule>
    <cfRule type="cellIs" dxfId="2542" priority="3051" operator="greaterThan">
      <formula>0</formula>
    </cfRule>
  </conditionalFormatting>
  <conditionalFormatting sqref="F200">
    <cfRule type="cellIs" dxfId="2541" priority="3048" operator="lessThan">
      <formula>0</formula>
    </cfRule>
    <cfRule type="cellIs" dxfId="2540" priority="3049" operator="greaterThan">
      <formula>0</formula>
    </cfRule>
  </conditionalFormatting>
  <conditionalFormatting sqref="U200">
    <cfRule type="iconSet" priority="3053">
      <iconSet iconSet="3Symbols" showValue="0" reverse="1">
        <cfvo type="percent" val="0"/>
        <cfvo type="num" val="1"/>
        <cfvo type="num" val="1.05"/>
      </iconSet>
    </cfRule>
  </conditionalFormatting>
  <conditionalFormatting sqref="P200">
    <cfRule type="iconSet" priority="3054">
      <iconSet iconSet="3Symbols" showValue="0" reverse="1">
        <cfvo type="percent" val="0"/>
        <cfvo type="num" val="1"/>
        <cfvo type="num" val="1.05"/>
      </iconSet>
    </cfRule>
  </conditionalFormatting>
  <conditionalFormatting sqref="Q199">
    <cfRule type="iconSet" priority="3045">
      <iconSet iconSet="3Symbols" showValue="0" reverse="1">
        <cfvo type="percent" val="0"/>
        <cfvo type="num" val="1"/>
        <cfvo type="num" val="1.05"/>
      </iconSet>
    </cfRule>
  </conditionalFormatting>
  <conditionalFormatting sqref="N199">
    <cfRule type="cellIs" dxfId="2539" priority="3043" operator="lessThan">
      <formula>0</formula>
    </cfRule>
    <cfRule type="cellIs" dxfId="2538" priority="3044" operator="greaterThan">
      <formula>0</formula>
    </cfRule>
  </conditionalFormatting>
  <conditionalFormatting sqref="F199">
    <cfRule type="cellIs" dxfId="2537" priority="3041" operator="lessThan">
      <formula>0</formula>
    </cfRule>
    <cfRule type="cellIs" dxfId="2536" priority="3042" operator="greaterThan">
      <formula>0</formula>
    </cfRule>
  </conditionalFormatting>
  <conditionalFormatting sqref="U199">
    <cfRule type="iconSet" priority="3046">
      <iconSet iconSet="3Symbols" showValue="0" reverse="1">
        <cfvo type="percent" val="0"/>
        <cfvo type="num" val="1"/>
        <cfvo type="num" val="1.05"/>
      </iconSet>
    </cfRule>
  </conditionalFormatting>
  <conditionalFormatting sqref="P199">
    <cfRule type="iconSet" priority="3047">
      <iconSet iconSet="3Symbols" showValue="0" reverse="1">
        <cfvo type="percent" val="0"/>
        <cfvo type="num" val="1"/>
        <cfvo type="num" val="1.05"/>
      </iconSet>
    </cfRule>
  </conditionalFormatting>
  <conditionalFormatting sqref="Q198">
    <cfRule type="iconSet" priority="3038">
      <iconSet iconSet="3Symbols" showValue="0" reverse="1">
        <cfvo type="percent" val="0"/>
        <cfvo type="num" val="1"/>
        <cfvo type="num" val="1.05"/>
      </iconSet>
    </cfRule>
  </conditionalFormatting>
  <conditionalFormatting sqref="N198">
    <cfRule type="cellIs" dxfId="2535" priority="3036" operator="lessThan">
      <formula>0</formula>
    </cfRule>
    <cfRule type="cellIs" dxfId="2534" priority="3037" operator="greaterThan">
      <formula>0</formula>
    </cfRule>
  </conditionalFormatting>
  <conditionalFormatting sqref="F198">
    <cfRule type="cellIs" dxfId="2533" priority="3034" operator="lessThan">
      <formula>0</formula>
    </cfRule>
    <cfRule type="cellIs" dxfId="2532" priority="3035" operator="greaterThan">
      <formula>0</formula>
    </cfRule>
  </conditionalFormatting>
  <conditionalFormatting sqref="U198">
    <cfRule type="iconSet" priority="3039">
      <iconSet iconSet="3Symbols" showValue="0" reverse="1">
        <cfvo type="percent" val="0"/>
        <cfvo type="num" val="1"/>
        <cfvo type="num" val="1.05"/>
      </iconSet>
    </cfRule>
  </conditionalFormatting>
  <conditionalFormatting sqref="P198">
    <cfRule type="iconSet" priority="3040">
      <iconSet iconSet="3Symbols" showValue="0" reverse="1">
        <cfvo type="percent" val="0"/>
        <cfvo type="num" val="1"/>
        <cfvo type="num" val="1.05"/>
      </iconSet>
    </cfRule>
  </conditionalFormatting>
  <conditionalFormatting sqref="Q196:Q197">
    <cfRule type="iconSet" priority="3031">
      <iconSet iconSet="3Symbols" showValue="0" reverse="1">
        <cfvo type="percent" val="0"/>
        <cfvo type="num" val="1"/>
        <cfvo type="num" val="1.05"/>
      </iconSet>
    </cfRule>
  </conditionalFormatting>
  <conditionalFormatting sqref="N196:N197">
    <cfRule type="cellIs" dxfId="2531" priority="3029" operator="lessThan">
      <formula>0</formula>
    </cfRule>
    <cfRule type="cellIs" dxfId="2530" priority="3030" operator="greaterThan">
      <formula>0</formula>
    </cfRule>
  </conditionalFormatting>
  <conditionalFormatting sqref="F196:F197">
    <cfRule type="cellIs" dxfId="2529" priority="3027" operator="lessThan">
      <formula>0</formula>
    </cfRule>
    <cfRule type="cellIs" dxfId="2528" priority="3028" operator="greaterThan">
      <formula>0</formula>
    </cfRule>
  </conditionalFormatting>
  <conditionalFormatting sqref="U196:U197">
    <cfRule type="iconSet" priority="3032">
      <iconSet iconSet="3Symbols" showValue="0" reverse="1">
        <cfvo type="percent" val="0"/>
        <cfvo type="num" val="1"/>
        <cfvo type="num" val="1.05"/>
      </iconSet>
    </cfRule>
  </conditionalFormatting>
  <conditionalFormatting sqref="P196:P197">
    <cfRule type="iconSet" priority="3033">
      <iconSet iconSet="3Symbols" showValue="0" reverse="1">
        <cfvo type="percent" val="0"/>
        <cfvo type="num" val="1"/>
        <cfvo type="num" val="1.05"/>
      </iconSet>
    </cfRule>
  </conditionalFormatting>
  <conditionalFormatting sqref="Q195">
    <cfRule type="iconSet" priority="3024">
      <iconSet iconSet="3Symbols" showValue="0" reverse="1">
        <cfvo type="percent" val="0"/>
        <cfvo type="num" val="1"/>
        <cfvo type="num" val="1.05"/>
      </iconSet>
    </cfRule>
  </conditionalFormatting>
  <conditionalFormatting sqref="N195">
    <cfRule type="cellIs" dxfId="2527" priority="3022" operator="lessThan">
      <formula>0</formula>
    </cfRule>
    <cfRule type="cellIs" dxfId="2526" priority="3023" operator="greaterThan">
      <formula>0</formula>
    </cfRule>
  </conditionalFormatting>
  <conditionalFormatting sqref="F195">
    <cfRule type="cellIs" dxfId="2525" priority="3020" operator="lessThan">
      <formula>0</formula>
    </cfRule>
    <cfRule type="cellIs" dxfId="2524" priority="3021" operator="greaterThan">
      <formula>0</formula>
    </cfRule>
  </conditionalFormatting>
  <conditionalFormatting sqref="U195">
    <cfRule type="iconSet" priority="3025">
      <iconSet iconSet="3Symbols" showValue="0" reverse="1">
        <cfvo type="percent" val="0"/>
        <cfvo type="num" val="1"/>
        <cfvo type="num" val="1.05"/>
      </iconSet>
    </cfRule>
  </conditionalFormatting>
  <conditionalFormatting sqref="P195">
    <cfRule type="iconSet" priority="3026">
      <iconSet iconSet="3Symbols" showValue="0" reverse="1">
        <cfvo type="percent" val="0"/>
        <cfvo type="num" val="1"/>
        <cfvo type="num" val="1.05"/>
      </iconSet>
    </cfRule>
  </conditionalFormatting>
  <conditionalFormatting sqref="Q194">
    <cfRule type="iconSet" priority="3017">
      <iconSet iconSet="3Symbols" showValue="0" reverse="1">
        <cfvo type="percent" val="0"/>
        <cfvo type="num" val="1"/>
        <cfvo type="num" val="1.05"/>
      </iconSet>
    </cfRule>
  </conditionalFormatting>
  <conditionalFormatting sqref="N194">
    <cfRule type="cellIs" dxfId="2523" priority="3015" operator="lessThan">
      <formula>0</formula>
    </cfRule>
    <cfRule type="cellIs" dxfId="2522" priority="3016" operator="greaterThan">
      <formula>0</formula>
    </cfRule>
  </conditionalFormatting>
  <conditionalFormatting sqref="F194">
    <cfRule type="cellIs" dxfId="2521" priority="3013" operator="lessThan">
      <formula>0</formula>
    </cfRule>
    <cfRule type="cellIs" dxfId="2520" priority="3014" operator="greaterThan">
      <formula>0</formula>
    </cfRule>
  </conditionalFormatting>
  <conditionalFormatting sqref="U194">
    <cfRule type="iconSet" priority="3018">
      <iconSet iconSet="3Symbols" showValue="0" reverse="1">
        <cfvo type="percent" val="0"/>
        <cfvo type="num" val="1"/>
        <cfvo type="num" val="1.05"/>
      </iconSet>
    </cfRule>
  </conditionalFormatting>
  <conditionalFormatting sqref="P194">
    <cfRule type="iconSet" priority="3019">
      <iconSet iconSet="3Symbols" showValue="0" reverse="1">
        <cfvo type="percent" val="0"/>
        <cfvo type="num" val="1"/>
        <cfvo type="num" val="1.05"/>
      </iconSet>
    </cfRule>
  </conditionalFormatting>
  <conditionalFormatting sqref="Q193">
    <cfRule type="iconSet" priority="3010">
      <iconSet iconSet="3Symbols" showValue="0" reverse="1">
        <cfvo type="percent" val="0"/>
        <cfvo type="num" val="1"/>
        <cfvo type="num" val="1.05"/>
      </iconSet>
    </cfRule>
  </conditionalFormatting>
  <conditionalFormatting sqref="N193">
    <cfRule type="cellIs" dxfId="2519" priority="3008" operator="lessThan">
      <formula>0</formula>
    </cfRule>
    <cfRule type="cellIs" dxfId="2518" priority="3009" operator="greaterThan">
      <formula>0</formula>
    </cfRule>
  </conditionalFormatting>
  <conditionalFormatting sqref="F193">
    <cfRule type="cellIs" dxfId="2517" priority="3006" operator="lessThan">
      <formula>0</formula>
    </cfRule>
    <cfRule type="cellIs" dxfId="2516" priority="3007" operator="greaterThan">
      <formula>0</formula>
    </cfRule>
  </conditionalFormatting>
  <conditionalFormatting sqref="U193">
    <cfRule type="iconSet" priority="3011">
      <iconSet iconSet="3Symbols" showValue="0" reverse="1">
        <cfvo type="percent" val="0"/>
        <cfvo type="num" val="1"/>
        <cfvo type="num" val="1.05"/>
      </iconSet>
    </cfRule>
  </conditionalFormatting>
  <conditionalFormatting sqref="P193">
    <cfRule type="iconSet" priority="3012">
      <iconSet iconSet="3Symbols" showValue="0" reverse="1">
        <cfvo type="percent" val="0"/>
        <cfvo type="num" val="1"/>
        <cfvo type="num" val="1.05"/>
      </iconSet>
    </cfRule>
  </conditionalFormatting>
  <conditionalFormatting sqref="Q192">
    <cfRule type="iconSet" priority="3003">
      <iconSet iconSet="3Symbols" showValue="0" reverse="1">
        <cfvo type="percent" val="0"/>
        <cfvo type="num" val="1"/>
        <cfvo type="num" val="1.05"/>
      </iconSet>
    </cfRule>
  </conditionalFormatting>
  <conditionalFormatting sqref="N192">
    <cfRule type="cellIs" dxfId="2515" priority="3001" operator="lessThan">
      <formula>0</formula>
    </cfRule>
    <cfRule type="cellIs" dxfId="2514" priority="3002" operator="greaterThan">
      <formula>0</formula>
    </cfRule>
  </conditionalFormatting>
  <conditionalFormatting sqref="F192">
    <cfRule type="cellIs" dxfId="2513" priority="2999" operator="lessThan">
      <formula>0</formula>
    </cfRule>
    <cfRule type="cellIs" dxfId="2512" priority="3000" operator="greaterThan">
      <formula>0</formula>
    </cfRule>
  </conditionalFormatting>
  <conditionalFormatting sqref="U192">
    <cfRule type="iconSet" priority="3004">
      <iconSet iconSet="3Symbols" showValue="0" reverse="1">
        <cfvo type="percent" val="0"/>
        <cfvo type="num" val="1"/>
        <cfvo type="num" val="1.05"/>
      </iconSet>
    </cfRule>
  </conditionalFormatting>
  <conditionalFormatting sqref="P192">
    <cfRule type="iconSet" priority="3005">
      <iconSet iconSet="3Symbols" showValue="0" reverse="1">
        <cfvo type="percent" val="0"/>
        <cfvo type="num" val="1"/>
        <cfvo type="num" val="1.05"/>
      </iconSet>
    </cfRule>
  </conditionalFormatting>
  <conditionalFormatting sqref="Q191">
    <cfRule type="iconSet" priority="2996">
      <iconSet iconSet="3Symbols" showValue="0" reverse="1">
        <cfvo type="percent" val="0"/>
        <cfvo type="num" val="1"/>
        <cfvo type="num" val="1.05"/>
      </iconSet>
    </cfRule>
  </conditionalFormatting>
  <conditionalFormatting sqref="N191">
    <cfRule type="cellIs" dxfId="2511" priority="2994" operator="lessThan">
      <formula>0</formula>
    </cfRule>
    <cfRule type="cellIs" dxfId="2510" priority="2995" operator="greaterThan">
      <formula>0</formula>
    </cfRule>
  </conditionalFormatting>
  <conditionalFormatting sqref="F191">
    <cfRule type="cellIs" dxfId="2509" priority="2992" operator="lessThan">
      <formula>0</formula>
    </cfRule>
    <cfRule type="cellIs" dxfId="2508" priority="2993" operator="greaterThan">
      <formula>0</formula>
    </cfRule>
  </conditionalFormatting>
  <conditionalFormatting sqref="U191">
    <cfRule type="iconSet" priority="2997">
      <iconSet iconSet="3Symbols" showValue="0" reverse="1">
        <cfvo type="percent" val="0"/>
        <cfvo type="num" val="1"/>
        <cfvo type="num" val="1.05"/>
      </iconSet>
    </cfRule>
  </conditionalFormatting>
  <conditionalFormatting sqref="P191">
    <cfRule type="iconSet" priority="2998">
      <iconSet iconSet="3Symbols" showValue="0" reverse="1">
        <cfvo type="percent" val="0"/>
        <cfvo type="num" val="1"/>
        <cfvo type="num" val="1.05"/>
      </iconSet>
    </cfRule>
  </conditionalFormatting>
  <conditionalFormatting sqref="Q190">
    <cfRule type="iconSet" priority="2989">
      <iconSet iconSet="3Symbols" showValue="0" reverse="1">
        <cfvo type="percent" val="0"/>
        <cfvo type="num" val="1"/>
        <cfvo type="num" val="1.05"/>
      </iconSet>
    </cfRule>
  </conditionalFormatting>
  <conditionalFormatting sqref="N190">
    <cfRule type="cellIs" dxfId="2507" priority="2987" operator="lessThan">
      <formula>0</formula>
    </cfRule>
    <cfRule type="cellIs" dxfId="2506" priority="2988" operator="greaterThan">
      <formula>0</formula>
    </cfRule>
  </conditionalFormatting>
  <conditionalFormatting sqref="F190">
    <cfRule type="cellIs" dxfId="2505" priority="2985" operator="lessThan">
      <formula>0</formula>
    </cfRule>
    <cfRule type="cellIs" dxfId="2504" priority="2986" operator="greaterThan">
      <formula>0</formula>
    </cfRule>
  </conditionalFormatting>
  <conditionalFormatting sqref="U190">
    <cfRule type="iconSet" priority="2990">
      <iconSet iconSet="3Symbols" showValue="0" reverse="1">
        <cfvo type="percent" val="0"/>
        <cfvo type="num" val="1"/>
        <cfvo type="num" val="1.05"/>
      </iconSet>
    </cfRule>
  </conditionalFormatting>
  <conditionalFormatting sqref="P190">
    <cfRule type="iconSet" priority="2991">
      <iconSet iconSet="3Symbols" showValue="0" reverse="1">
        <cfvo type="percent" val="0"/>
        <cfvo type="num" val="1"/>
        <cfvo type="num" val="1.05"/>
      </iconSet>
    </cfRule>
  </conditionalFormatting>
  <conditionalFormatting sqref="Q189">
    <cfRule type="iconSet" priority="2982">
      <iconSet iconSet="3Symbols" showValue="0" reverse="1">
        <cfvo type="percent" val="0"/>
        <cfvo type="num" val="1"/>
        <cfvo type="num" val="1.05"/>
      </iconSet>
    </cfRule>
  </conditionalFormatting>
  <conditionalFormatting sqref="N189">
    <cfRule type="cellIs" dxfId="2503" priority="2980" operator="lessThan">
      <formula>0</formula>
    </cfRule>
    <cfRule type="cellIs" dxfId="2502" priority="2981" operator="greaterThan">
      <formula>0</formula>
    </cfRule>
  </conditionalFormatting>
  <conditionalFormatting sqref="F189">
    <cfRule type="cellIs" dxfId="2501" priority="2978" operator="lessThan">
      <formula>0</formula>
    </cfRule>
    <cfRule type="cellIs" dxfId="2500" priority="2979" operator="greaterThan">
      <formula>0</formula>
    </cfRule>
  </conditionalFormatting>
  <conditionalFormatting sqref="U189">
    <cfRule type="iconSet" priority="2983">
      <iconSet iconSet="3Symbols" showValue="0" reverse="1">
        <cfvo type="percent" val="0"/>
        <cfvo type="num" val="1"/>
        <cfvo type="num" val="1.05"/>
      </iconSet>
    </cfRule>
  </conditionalFormatting>
  <conditionalFormatting sqref="P189">
    <cfRule type="iconSet" priority="2984">
      <iconSet iconSet="3Symbols" showValue="0" reverse="1">
        <cfvo type="percent" val="0"/>
        <cfvo type="num" val="1"/>
        <cfvo type="num" val="1.05"/>
      </iconSet>
    </cfRule>
  </conditionalFormatting>
  <conditionalFormatting sqref="Q188">
    <cfRule type="iconSet" priority="2975">
      <iconSet iconSet="3Symbols" showValue="0" reverse="1">
        <cfvo type="percent" val="0"/>
        <cfvo type="num" val="1"/>
        <cfvo type="num" val="1.05"/>
      </iconSet>
    </cfRule>
  </conditionalFormatting>
  <conditionalFormatting sqref="N188">
    <cfRule type="cellIs" dxfId="2499" priority="2973" operator="lessThan">
      <formula>0</formula>
    </cfRule>
    <cfRule type="cellIs" dxfId="2498" priority="2974" operator="greaterThan">
      <formula>0</formula>
    </cfRule>
  </conditionalFormatting>
  <conditionalFormatting sqref="F188">
    <cfRule type="cellIs" dxfId="2497" priority="2971" operator="lessThan">
      <formula>0</formula>
    </cfRule>
    <cfRule type="cellIs" dxfId="2496" priority="2972" operator="greaterThan">
      <formula>0</formula>
    </cfRule>
  </conditionalFormatting>
  <conditionalFormatting sqref="U188">
    <cfRule type="iconSet" priority="2976">
      <iconSet iconSet="3Symbols" showValue="0" reverse="1">
        <cfvo type="percent" val="0"/>
        <cfvo type="num" val="1"/>
        <cfvo type="num" val="1.05"/>
      </iconSet>
    </cfRule>
  </conditionalFormatting>
  <conditionalFormatting sqref="P188">
    <cfRule type="iconSet" priority="2977">
      <iconSet iconSet="3Symbols" showValue="0" reverse="1">
        <cfvo type="percent" val="0"/>
        <cfvo type="num" val="1"/>
        <cfvo type="num" val="1.05"/>
      </iconSet>
    </cfRule>
  </conditionalFormatting>
  <conditionalFormatting sqref="Q187">
    <cfRule type="iconSet" priority="2968">
      <iconSet iconSet="3Symbols" showValue="0" reverse="1">
        <cfvo type="percent" val="0"/>
        <cfvo type="num" val="1"/>
        <cfvo type="num" val="1.05"/>
      </iconSet>
    </cfRule>
  </conditionalFormatting>
  <conditionalFormatting sqref="N187">
    <cfRule type="cellIs" dxfId="2495" priority="2966" operator="lessThan">
      <formula>0</formula>
    </cfRule>
    <cfRule type="cellIs" dxfId="2494" priority="2967" operator="greaterThan">
      <formula>0</formula>
    </cfRule>
  </conditionalFormatting>
  <conditionalFormatting sqref="F187">
    <cfRule type="cellIs" dxfId="2493" priority="2964" operator="lessThan">
      <formula>0</formula>
    </cfRule>
    <cfRule type="cellIs" dxfId="2492" priority="2965" operator="greaterThan">
      <formula>0</formula>
    </cfRule>
  </conditionalFormatting>
  <conditionalFormatting sqref="U187">
    <cfRule type="iconSet" priority="2969">
      <iconSet iconSet="3Symbols" showValue="0" reverse="1">
        <cfvo type="percent" val="0"/>
        <cfvo type="num" val="1"/>
        <cfvo type="num" val="1.05"/>
      </iconSet>
    </cfRule>
  </conditionalFormatting>
  <conditionalFormatting sqref="P187">
    <cfRule type="iconSet" priority="2970">
      <iconSet iconSet="3Symbols" showValue="0" reverse="1">
        <cfvo type="percent" val="0"/>
        <cfvo type="num" val="1"/>
        <cfvo type="num" val="1.05"/>
      </iconSet>
    </cfRule>
  </conditionalFormatting>
  <conditionalFormatting sqref="Q186">
    <cfRule type="iconSet" priority="2961">
      <iconSet iconSet="3Symbols" showValue="0" reverse="1">
        <cfvo type="percent" val="0"/>
        <cfvo type="num" val="1"/>
        <cfvo type="num" val="1.05"/>
      </iconSet>
    </cfRule>
  </conditionalFormatting>
  <conditionalFormatting sqref="N186">
    <cfRule type="cellIs" dxfId="2491" priority="2959" operator="lessThan">
      <formula>0</formula>
    </cfRule>
    <cfRule type="cellIs" dxfId="2490" priority="2960" operator="greaterThan">
      <formula>0</formula>
    </cfRule>
  </conditionalFormatting>
  <conditionalFormatting sqref="F186">
    <cfRule type="cellIs" dxfId="2489" priority="2957" operator="lessThan">
      <formula>0</formula>
    </cfRule>
    <cfRule type="cellIs" dxfId="2488" priority="2958" operator="greaterThan">
      <formula>0</formula>
    </cfRule>
  </conditionalFormatting>
  <conditionalFormatting sqref="U186">
    <cfRule type="iconSet" priority="2962">
      <iconSet iconSet="3Symbols" showValue="0" reverse="1">
        <cfvo type="percent" val="0"/>
        <cfvo type="num" val="1"/>
        <cfvo type="num" val="1.05"/>
      </iconSet>
    </cfRule>
  </conditionalFormatting>
  <conditionalFormatting sqref="P186">
    <cfRule type="iconSet" priority="2963">
      <iconSet iconSet="3Symbols" showValue="0" reverse="1">
        <cfvo type="percent" val="0"/>
        <cfvo type="num" val="1"/>
        <cfvo type="num" val="1.05"/>
      </iconSet>
    </cfRule>
  </conditionalFormatting>
  <conditionalFormatting sqref="Q185">
    <cfRule type="iconSet" priority="2954">
      <iconSet iconSet="3Symbols" showValue="0" reverse="1">
        <cfvo type="percent" val="0"/>
        <cfvo type="num" val="1"/>
        <cfvo type="num" val="1.05"/>
      </iconSet>
    </cfRule>
  </conditionalFormatting>
  <conditionalFormatting sqref="N185">
    <cfRule type="cellIs" dxfId="2487" priority="2952" operator="lessThan">
      <formula>0</formula>
    </cfRule>
    <cfRule type="cellIs" dxfId="2486" priority="2953" operator="greaterThan">
      <formula>0</formula>
    </cfRule>
  </conditionalFormatting>
  <conditionalFormatting sqref="F185">
    <cfRule type="cellIs" dxfId="2485" priority="2950" operator="lessThan">
      <formula>0</formula>
    </cfRule>
    <cfRule type="cellIs" dxfId="2484" priority="2951" operator="greaterThan">
      <formula>0</formula>
    </cfRule>
  </conditionalFormatting>
  <conditionalFormatting sqref="U185">
    <cfRule type="iconSet" priority="2955">
      <iconSet iconSet="3Symbols" showValue="0" reverse="1">
        <cfvo type="percent" val="0"/>
        <cfvo type="num" val="1"/>
        <cfvo type="num" val="1.05"/>
      </iconSet>
    </cfRule>
  </conditionalFormatting>
  <conditionalFormatting sqref="P185">
    <cfRule type="iconSet" priority="2956">
      <iconSet iconSet="3Symbols" showValue="0" reverse="1">
        <cfvo type="percent" val="0"/>
        <cfvo type="num" val="1"/>
        <cfvo type="num" val="1.05"/>
      </iconSet>
    </cfRule>
  </conditionalFormatting>
  <conditionalFormatting sqref="Q183:Q184">
    <cfRule type="iconSet" priority="2947">
      <iconSet iconSet="3Symbols" showValue="0" reverse="1">
        <cfvo type="percent" val="0"/>
        <cfvo type="num" val="1"/>
        <cfvo type="num" val="1.05"/>
      </iconSet>
    </cfRule>
  </conditionalFormatting>
  <conditionalFormatting sqref="N183:N184">
    <cfRule type="cellIs" dxfId="2483" priority="2945" operator="lessThan">
      <formula>0</formula>
    </cfRule>
    <cfRule type="cellIs" dxfId="2482" priority="2946" operator="greaterThan">
      <formula>0</formula>
    </cfRule>
  </conditionalFormatting>
  <conditionalFormatting sqref="F183:F184">
    <cfRule type="cellIs" dxfId="2481" priority="2943" operator="lessThan">
      <formula>0</formula>
    </cfRule>
    <cfRule type="cellIs" dxfId="2480" priority="2944" operator="greaterThan">
      <formula>0</formula>
    </cfRule>
  </conditionalFormatting>
  <conditionalFormatting sqref="U183:U184">
    <cfRule type="iconSet" priority="2948">
      <iconSet iconSet="3Symbols" showValue="0" reverse="1">
        <cfvo type="percent" val="0"/>
        <cfvo type="num" val="1"/>
        <cfvo type="num" val="1.05"/>
      </iconSet>
    </cfRule>
  </conditionalFormatting>
  <conditionalFormatting sqref="P183:P184">
    <cfRule type="iconSet" priority="2949">
      <iconSet iconSet="3Symbols" showValue="0" reverse="1">
        <cfvo type="percent" val="0"/>
        <cfvo type="num" val="1"/>
        <cfvo type="num" val="1.05"/>
      </iconSet>
    </cfRule>
  </conditionalFormatting>
  <conditionalFormatting sqref="Q182">
    <cfRule type="iconSet" priority="2940">
      <iconSet iconSet="3Symbols" showValue="0" reverse="1">
        <cfvo type="percent" val="0"/>
        <cfvo type="num" val="1"/>
        <cfvo type="num" val="1.05"/>
      </iconSet>
    </cfRule>
  </conditionalFormatting>
  <conditionalFormatting sqref="N182">
    <cfRule type="cellIs" dxfId="2479" priority="2938" operator="lessThan">
      <formula>0</formula>
    </cfRule>
    <cfRule type="cellIs" dxfId="2478" priority="2939" operator="greaterThan">
      <formula>0</formula>
    </cfRule>
  </conditionalFormatting>
  <conditionalFormatting sqref="F182">
    <cfRule type="cellIs" dxfId="2477" priority="2936" operator="lessThan">
      <formula>0</formula>
    </cfRule>
    <cfRule type="cellIs" dxfId="2476" priority="2937" operator="greaterThan">
      <formula>0</formula>
    </cfRule>
  </conditionalFormatting>
  <conditionalFormatting sqref="U182">
    <cfRule type="iconSet" priority="2941">
      <iconSet iconSet="3Symbols" showValue="0" reverse="1">
        <cfvo type="percent" val="0"/>
        <cfvo type="num" val="1"/>
        <cfvo type="num" val="1.05"/>
      </iconSet>
    </cfRule>
  </conditionalFormatting>
  <conditionalFormatting sqref="P182">
    <cfRule type="iconSet" priority="2942">
      <iconSet iconSet="3Symbols" showValue="0" reverse="1">
        <cfvo type="percent" val="0"/>
        <cfvo type="num" val="1"/>
        <cfvo type="num" val="1.05"/>
      </iconSet>
    </cfRule>
  </conditionalFormatting>
  <conditionalFormatting sqref="Q181">
    <cfRule type="iconSet" priority="2933">
      <iconSet iconSet="3Symbols" showValue="0" reverse="1">
        <cfvo type="percent" val="0"/>
        <cfvo type="num" val="1"/>
        <cfvo type="num" val="1.05"/>
      </iconSet>
    </cfRule>
  </conditionalFormatting>
  <conditionalFormatting sqref="N181">
    <cfRule type="cellIs" dxfId="2475" priority="2931" operator="lessThan">
      <formula>0</formula>
    </cfRule>
    <cfRule type="cellIs" dxfId="2474" priority="2932" operator="greaterThan">
      <formula>0</formula>
    </cfRule>
  </conditionalFormatting>
  <conditionalFormatting sqref="F181">
    <cfRule type="cellIs" dxfId="2473" priority="2929" operator="lessThan">
      <formula>0</formula>
    </cfRule>
    <cfRule type="cellIs" dxfId="2472" priority="2930" operator="greaterThan">
      <formula>0</formula>
    </cfRule>
  </conditionalFormatting>
  <conditionalFormatting sqref="U181">
    <cfRule type="iconSet" priority="2934">
      <iconSet iconSet="3Symbols" showValue="0" reverse="1">
        <cfvo type="percent" val="0"/>
        <cfvo type="num" val="1"/>
        <cfvo type="num" val="1.05"/>
      </iconSet>
    </cfRule>
  </conditionalFormatting>
  <conditionalFormatting sqref="P181">
    <cfRule type="iconSet" priority="2935">
      <iconSet iconSet="3Symbols" showValue="0" reverse="1">
        <cfvo type="percent" val="0"/>
        <cfvo type="num" val="1"/>
        <cfvo type="num" val="1.05"/>
      </iconSet>
    </cfRule>
  </conditionalFormatting>
  <conditionalFormatting sqref="Q180">
    <cfRule type="iconSet" priority="2926">
      <iconSet iconSet="3Symbols" showValue="0" reverse="1">
        <cfvo type="percent" val="0"/>
        <cfvo type="num" val="1"/>
        <cfvo type="num" val="1.05"/>
      </iconSet>
    </cfRule>
  </conditionalFormatting>
  <conditionalFormatting sqref="N180">
    <cfRule type="cellIs" dxfId="2471" priority="2924" operator="lessThan">
      <formula>0</formula>
    </cfRule>
    <cfRule type="cellIs" dxfId="2470" priority="2925" operator="greaterThan">
      <formula>0</formula>
    </cfRule>
  </conditionalFormatting>
  <conditionalFormatting sqref="F180">
    <cfRule type="cellIs" dxfId="2469" priority="2922" operator="lessThan">
      <formula>0</formula>
    </cfRule>
    <cfRule type="cellIs" dxfId="2468" priority="2923" operator="greaterThan">
      <formula>0</formula>
    </cfRule>
  </conditionalFormatting>
  <conditionalFormatting sqref="U180">
    <cfRule type="iconSet" priority="2927">
      <iconSet iconSet="3Symbols" showValue="0" reverse="1">
        <cfvo type="percent" val="0"/>
        <cfvo type="num" val="1"/>
        <cfvo type="num" val="1.05"/>
      </iconSet>
    </cfRule>
  </conditionalFormatting>
  <conditionalFormatting sqref="P180">
    <cfRule type="iconSet" priority="2928">
      <iconSet iconSet="3Symbols" showValue="0" reverse="1">
        <cfvo type="percent" val="0"/>
        <cfvo type="num" val="1"/>
        <cfvo type="num" val="1.05"/>
      </iconSet>
    </cfRule>
  </conditionalFormatting>
  <conditionalFormatting sqref="Q179">
    <cfRule type="iconSet" priority="2919">
      <iconSet iconSet="3Symbols" showValue="0" reverse="1">
        <cfvo type="percent" val="0"/>
        <cfvo type="num" val="1"/>
        <cfvo type="num" val="1.05"/>
      </iconSet>
    </cfRule>
  </conditionalFormatting>
  <conditionalFormatting sqref="N179">
    <cfRule type="cellIs" dxfId="2467" priority="2917" operator="lessThan">
      <formula>0</formula>
    </cfRule>
    <cfRule type="cellIs" dxfId="2466" priority="2918" operator="greaterThan">
      <formula>0</formula>
    </cfRule>
  </conditionalFormatting>
  <conditionalFormatting sqref="F179">
    <cfRule type="cellIs" dxfId="2465" priority="2915" operator="lessThan">
      <formula>0</formula>
    </cfRule>
    <cfRule type="cellIs" dxfId="2464" priority="2916" operator="greaterThan">
      <formula>0</formula>
    </cfRule>
  </conditionalFormatting>
  <conditionalFormatting sqref="U179">
    <cfRule type="iconSet" priority="2920">
      <iconSet iconSet="3Symbols" showValue="0" reverse="1">
        <cfvo type="percent" val="0"/>
        <cfvo type="num" val="1"/>
        <cfvo type="num" val="1.05"/>
      </iconSet>
    </cfRule>
  </conditionalFormatting>
  <conditionalFormatting sqref="P179">
    <cfRule type="iconSet" priority="2921">
      <iconSet iconSet="3Symbols" showValue="0" reverse="1">
        <cfvo type="percent" val="0"/>
        <cfvo type="num" val="1"/>
        <cfvo type="num" val="1.05"/>
      </iconSet>
    </cfRule>
  </conditionalFormatting>
  <conditionalFormatting sqref="Q178">
    <cfRule type="iconSet" priority="2912">
      <iconSet iconSet="3Symbols" showValue="0" reverse="1">
        <cfvo type="percent" val="0"/>
        <cfvo type="num" val="1"/>
        <cfvo type="num" val="1.05"/>
      </iconSet>
    </cfRule>
  </conditionalFormatting>
  <conditionalFormatting sqref="N178">
    <cfRule type="cellIs" dxfId="2463" priority="2910" operator="lessThan">
      <formula>0</formula>
    </cfRule>
    <cfRule type="cellIs" dxfId="2462" priority="2911" operator="greaterThan">
      <formula>0</formula>
    </cfRule>
  </conditionalFormatting>
  <conditionalFormatting sqref="F178">
    <cfRule type="cellIs" dxfId="2461" priority="2908" operator="lessThan">
      <formula>0</formula>
    </cfRule>
    <cfRule type="cellIs" dxfId="2460" priority="2909" operator="greaterThan">
      <formula>0</formula>
    </cfRule>
  </conditionalFormatting>
  <conditionalFormatting sqref="U178">
    <cfRule type="iconSet" priority="2913">
      <iconSet iconSet="3Symbols" showValue="0" reverse="1">
        <cfvo type="percent" val="0"/>
        <cfvo type="num" val="1"/>
        <cfvo type="num" val="1.05"/>
      </iconSet>
    </cfRule>
  </conditionalFormatting>
  <conditionalFormatting sqref="P178">
    <cfRule type="iconSet" priority="2914">
      <iconSet iconSet="3Symbols" showValue="0" reverse="1">
        <cfvo type="percent" val="0"/>
        <cfvo type="num" val="1"/>
        <cfvo type="num" val="1.05"/>
      </iconSet>
    </cfRule>
  </conditionalFormatting>
  <conditionalFormatting sqref="Q177">
    <cfRule type="iconSet" priority="2905">
      <iconSet iconSet="3Symbols" showValue="0" reverse="1">
        <cfvo type="percent" val="0"/>
        <cfvo type="num" val="1"/>
        <cfvo type="num" val="1.05"/>
      </iconSet>
    </cfRule>
  </conditionalFormatting>
  <conditionalFormatting sqref="N177">
    <cfRule type="cellIs" dxfId="2459" priority="2903" operator="lessThan">
      <formula>0</formula>
    </cfRule>
    <cfRule type="cellIs" dxfId="2458" priority="2904" operator="greaterThan">
      <formula>0</formula>
    </cfRule>
  </conditionalFormatting>
  <conditionalFormatting sqref="F177">
    <cfRule type="cellIs" dxfId="2457" priority="2901" operator="lessThan">
      <formula>0</formula>
    </cfRule>
    <cfRule type="cellIs" dxfId="2456" priority="2902" operator="greaterThan">
      <formula>0</formula>
    </cfRule>
  </conditionalFormatting>
  <conditionalFormatting sqref="U177">
    <cfRule type="iconSet" priority="2906">
      <iconSet iconSet="3Symbols" showValue="0" reverse="1">
        <cfvo type="percent" val="0"/>
        <cfvo type="num" val="1"/>
        <cfvo type="num" val="1.05"/>
      </iconSet>
    </cfRule>
  </conditionalFormatting>
  <conditionalFormatting sqref="P177">
    <cfRule type="iconSet" priority="2907">
      <iconSet iconSet="3Symbols" showValue="0" reverse="1">
        <cfvo type="percent" val="0"/>
        <cfvo type="num" val="1"/>
        <cfvo type="num" val="1.05"/>
      </iconSet>
    </cfRule>
  </conditionalFormatting>
  <conditionalFormatting sqref="Q176">
    <cfRule type="iconSet" priority="2898">
      <iconSet iconSet="3Symbols" showValue="0" reverse="1">
        <cfvo type="percent" val="0"/>
        <cfvo type="num" val="1"/>
        <cfvo type="num" val="1.05"/>
      </iconSet>
    </cfRule>
  </conditionalFormatting>
  <conditionalFormatting sqref="N176">
    <cfRule type="cellIs" dxfId="2455" priority="2896" operator="lessThan">
      <formula>0</formula>
    </cfRule>
    <cfRule type="cellIs" dxfId="2454" priority="2897" operator="greaterThan">
      <formula>0</formula>
    </cfRule>
  </conditionalFormatting>
  <conditionalFormatting sqref="F176">
    <cfRule type="cellIs" dxfId="2453" priority="2894" operator="lessThan">
      <formula>0</formula>
    </cfRule>
    <cfRule type="cellIs" dxfId="2452" priority="2895" operator="greaterThan">
      <formula>0</formula>
    </cfRule>
  </conditionalFormatting>
  <conditionalFormatting sqref="U176">
    <cfRule type="iconSet" priority="2899">
      <iconSet iconSet="3Symbols" showValue="0" reverse="1">
        <cfvo type="percent" val="0"/>
        <cfvo type="num" val="1"/>
        <cfvo type="num" val="1.05"/>
      </iconSet>
    </cfRule>
  </conditionalFormatting>
  <conditionalFormatting sqref="P176">
    <cfRule type="iconSet" priority="2900">
      <iconSet iconSet="3Symbols" showValue="0" reverse="1">
        <cfvo type="percent" val="0"/>
        <cfvo type="num" val="1"/>
        <cfvo type="num" val="1.05"/>
      </iconSet>
    </cfRule>
  </conditionalFormatting>
  <conditionalFormatting sqref="Q175">
    <cfRule type="iconSet" priority="2891">
      <iconSet iconSet="3Symbols" showValue="0" reverse="1">
        <cfvo type="percent" val="0"/>
        <cfvo type="num" val="1"/>
        <cfvo type="num" val="1.05"/>
      </iconSet>
    </cfRule>
  </conditionalFormatting>
  <conditionalFormatting sqref="N175">
    <cfRule type="cellIs" dxfId="2451" priority="2889" operator="lessThan">
      <formula>0</formula>
    </cfRule>
    <cfRule type="cellIs" dxfId="2450" priority="2890" operator="greaterThan">
      <formula>0</formula>
    </cfRule>
  </conditionalFormatting>
  <conditionalFormatting sqref="F175">
    <cfRule type="cellIs" dxfId="2449" priority="2887" operator="lessThan">
      <formula>0</formula>
    </cfRule>
    <cfRule type="cellIs" dxfId="2448" priority="2888" operator="greaterThan">
      <formula>0</formula>
    </cfRule>
  </conditionalFormatting>
  <conditionalFormatting sqref="U175">
    <cfRule type="iconSet" priority="2892">
      <iconSet iconSet="3Symbols" showValue="0" reverse="1">
        <cfvo type="percent" val="0"/>
        <cfvo type="num" val="1"/>
        <cfvo type="num" val="1.05"/>
      </iconSet>
    </cfRule>
  </conditionalFormatting>
  <conditionalFormatting sqref="P175">
    <cfRule type="iconSet" priority="2893">
      <iconSet iconSet="3Symbols" showValue="0" reverse="1">
        <cfvo type="percent" val="0"/>
        <cfvo type="num" val="1"/>
        <cfvo type="num" val="1.05"/>
      </iconSet>
    </cfRule>
  </conditionalFormatting>
  <conditionalFormatting sqref="Q174">
    <cfRule type="iconSet" priority="2884">
      <iconSet iconSet="3Symbols" showValue="0" reverse="1">
        <cfvo type="percent" val="0"/>
        <cfvo type="num" val="1"/>
        <cfvo type="num" val="1.05"/>
      </iconSet>
    </cfRule>
  </conditionalFormatting>
  <conditionalFormatting sqref="N174">
    <cfRule type="cellIs" dxfId="2447" priority="2882" operator="lessThan">
      <formula>0</formula>
    </cfRule>
    <cfRule type="cellIs" dxfId="2446" priority="2883" operator="greaterThan">
      <formula>0</formula>
    </cfRule>
  </conditionalFormatting>
  <conditionalFormatting sqref="F174">
    <cfRule type="cellIs" dxfId="2445" priority="2880" operator="lessThan">
      <formula>0</formula>
    </cfRule>
    <cfRule type="cellIs" dxfId="2444" priority="2881" operator="greaterThan">
      <formula>0</formula>
    </cfRule>
  </conditionalFormatting>
  <conditionalFormatting sqref="U174">
    <cfRule type="iconSet" priority="2885">
      <iconSet iconSet="3Symbols" showValue="0" reverse="1">
        <cfvo type="percent" val="0"/>
        <cfvo type="num" val="1"/>
        <cfvo type="num" val="1.05"/>
      </iconSet>
    </cfRule>
  </conditionalFormatting>
  <conditionalFormatting sqref="P174">
    <cfRule type="iconSet" priority="2886">
      <iconSet iconSet="3Symbols" showValue="0" reverse="1">
        <cfvo type="percent" val="0"/>
        <cfvo type="num" val="1"/>
        <cfvo type="num" val="1.05"/>
      </iconSet>
    </cfRule>
  </conditionalFormatting>
  <conditionalFormatting sqref="Q173">
    <cfRule type="iconSet" priority="2877">
      <iconSet iconSet="3Symbols" showValue="0" reverse="1">
        <cfvo type="percent" val="0"/>
        <cfvo type="num" val="1"/>
        <cfvo type="num" val="1.05"/>
      </iconSet>
    </cfRule>
  </conditionalFormatting>
  <conditionalFormatting sqref="N173">
    <cfRule type="cellIs" dxfId="2443" priority="2875" operator="lessThan">
      <formula>0</formula>
    </cfRule>
    <cfRule type="cellIs" dxfId="2442" priority="2876" operator="greaterThan">
      <formula>0</formula>
    </cfRule>
  </conditionalFormatting>
  <conditionalFormatting sqref="F173">
    <cfRule type="cellIs" dxfId="2441" priority="2873" operator="lessThan">
      <formula>0</formula>
    </cfRule>
    <cfRule type="cellIs" dxfId="2440" priority="2874" operator="greaterThan">
      <formula>0</formula>
    </cfRule>
  </conditionalFormatting>
  <conditionalFormatting sqref="U173">
    <cfRule type="iconSet" priority="2878">
      <iconSet iconSet="3Symbols" showValue="0" reverse="1">
        <cfvo type="percent" val="0"/>
        <cfvo type="num" val="1"/>
        <cfvo type="num" val="1.05"/>
      </iconSet>
    </cfRule>
  </conditionalFormatting>
  <conditionalFormatting sqref="P173">
    <cfRule type="iconSet" priority="2879">
      <iconSet iconSet="3Symbols" showValue="0" reverse="1">
        <cfvo type="percent" val="0"/>
        <cfvo type="num" val="1"/>
        <cfvo type="num" val="1.05"/>
      </iconSet>
    </cfRule>
  </conditionalFormatting>
  <conditionalFormatting sqref="Q172">
    <cfRule type="iconSet" priority="2870">
      <iconSet iconSet="3Symbols" showValue="0" reverse="1">
        <cfvo type="percent" val="0"/>
        <cfvo type="num" val="1"/>
        <cfvo type="num" val="1.05"/>
      </iconSet>
    </cfRule>
  </conditionalFormatting>
  <conditionalFormatting sqref="N172">
    <cfRule type="cellIs" dxfId="2439" priority="2868" operator="lessThan">
      <formula>0</formula>
    </cfRule>
    <cfRule type="cellIs" dxfId="2438" priority="2869" operator="greaterThan">
      <formula>0</formula>
    </cfRule>
  </conditionalFormatting>
  <conditionalFormatting sqref="F172">
    <cfRule type="cellIs" dxfId="2437" priority="2866" operator="lessThan">
      <formula>0</formula>
    </cfRule>
    <cfRule type="cellIs" dxfId="2436" priority="2867" operator="greaterThan">
      <formula>0</formula>
    </cfRule>
  </conditionalFormatting>
  <conditionalFormatting sqref="U172">
    <cfRule type="iconSet" priority="2871">
      <iconSet iconSet="3Symbols" showValue="0" reverse="1">
        <cfvo type="percent" val="0"/>
        <cfvo type="num" val="1"/>
        <cfvo type="num" val="1.05"/>
      </iconSet>
    </cfRule>
  </conditionalFormatting>
  <conditionalFormatting sqref="P172">
    <cfRule type="iconSet" priority="2872">
      <iconSet iconSet="3Symbols" showValue="0" reverse="1">
        <cfvo type="percent" val="0"/>
        <cfvo type="num" val="1"/>
        <cfvo type="num" val="1.05"/>
      </iconSet>
    </cfRule>
  </conditionalFormatting>
  <conditionalFormatting sqref="Q170:Q171">
    <cfRule type="iconSet" priority="2863">
      <iconSet iconSet="3Symbols" showValue="0" reverse="1">
        <cfvo type="percent" val="0"/>
        <cfvo type="num" val="1"/>
        <cfvo type="num" val="1.05"/>
      </iconSet>
    </cfRule>
  </conditionalFormatting>
  <conditionalFormatting sqref="N170:N171">
    <cfRule type="cellIs" dxfId="2435" priority="2861" operator="lessThan">
      <formula>0</formula>
    </cfRule>
    <cfRule type="cellIs" dxfId="2434" priority="2862" operator="greaterThan">
      <formula>0</formula>
    </cfRule>
  </conditionalFormatting>
  <conditionalFormatting sqref="F170:F171">
    <cfRule type="cellIs" dxfId="2433" priority="2859" operator="lessThan">
      <formula>0</formula>
    </cfRule>
    <cfRule type="cellIs" dxfId="2432" priority="2860" operator="greaterThan">
      <formula>0</formula>
    </cfRule>
  </conditionalFormatting>
  <conditionalFormatting sqref="U170:U171">
    <cfRule type="iconSet" priority="2864">
      <iconSet iconSet="3Symbols" showValue="0" reverse="1">
        <cfvo type="percent" val="0"/>
        <cfvo type="num" val="1"/>
        <cfvo type="num" val="1.05"/>
      </iconSet>
    </cfRule>
  </conditionalFormatting>
  <conditionalFormatting sqref="P170:P171">
    <cfRule type="iconSet" priority="2865">
      <iconSet iconSet="3Symbols" showValue="0" reverse="1">
        <cfvo type="percent" val="0"/>
        <cfvo type="num" val="1"/>
        <cfvo type="num" val="1.05"/>
      </iconSet>
    </cfRule>
  </conditionalFormatting>
  <conditionalFormatting sqref="Q169">
    <cfRule type="iconSet" priority="2856">
      <iconSet iconSet="3Symbols" showValue="0" reverse="1">
        <cfvo type="percent" val="0"/>
        <cfvo type="num" val="1"/>
        <cfvo type="num" val="1.05"/>
      </iconSet>
    </cfRule>
  </conditionalFormatting>
  <conditionalFormatting sqref="N169">
    <cfRule type="cellIs" dxfId="2431" priority="2854" operator="lessThan">
      <formula>0</formula>
    </cfRule>
    <cfRule type="cellIs" dxfId="2430" priority="2855" operator="greaterThan">
      <formula>0</formula>
    </cfRule>
  </conditionalFormatting>
  <conditionalFormatting sqref="F169">
    <cfRule type="cellIs" dxfId="2429" priority="2852" operator="lessThan">
      <formula>0</formula>
    </cfRule>
    <cfRule type="cellIs" dxfId="2428" priority="2853" operator="greaterThan">
      <formula>0</formula>
    </cfRule>
  </conditionalFormatting>
  <conditionalFormatting sqref="U169">
    <cfRule type="iconSet" priority="2857">
      <iconSet iconSet="3Symbols" showValue="0" reverse="1">
        <cfvo type="percent" val="0"/>
        <cfvo type="num" val="1"/>
        <cfvo type="num" val="1.05"/>
      </iconSet>
    </cfRule>
  </conditionalFormatting>
  <conditionalFormatting sqref="P169">
    <cfRule type="iconSet" priority="2858">
      <iconSet iconSet="3Symbols" showValue="0" reverse="1">
        <cfvo type="percent" val="0"/>
        <cfvo type="num" val="1"/>
        <cfvo type="num" val="1.05"/>
      </iconSet>
    </cfRule>
  </conditionalFormatting>
  <conditionalFormatting sqref="Q168">
    <cfRule type="iconSet" priority="2849">
      <iconSet iconSet="3Symbols" showValue="0" reverse="1">
        <cfvo type="percent" val="0"/>
        <cfvo type="num" val="1"/>
        <cfvo type="num" val="1.05"/>
      </iconSet>
    </cfRule>
  </conditionalFormatting>
  <conditionalFormatting sqref="N168">
    <cfRule type="cellIs" dxfId="2427" priority="2847" operator="lessThan">
      <formula>0</formula>
    </cfRule>
    <cfRule type="cellIs" dxfId="2426" priority="2848" operator="greaterThan">
      <formula>0</formula>
    </cfRule>
  </conditionalFormatting>
  <conditionalFormatting sqref="F168">
    <cfRule type="cellIs" dxfId="2425" priority="2845" operator="lessThan">
      <formula>0</formula>
    </cfRule>
    <cfRule type="cellIs" dxfId="2424" priority="2846" operator="greaterThan">
      <formula>0</formula>
    </cfRule>
  </conditionalFormatting>
  <conditionalFormatting sqref="U168">
    <cfRule type="iconSet" priority="2850">
      <iconSet iconSet="3Symbols" showValue="0" reverse="1">
        <cfvo type="percent" val="0"/>
        <cfvo type="num" val="1"/>
        <cfvo type="num" val="1.05"/>
      </iconSet>
    </cfRule>
  </conditionalFormatting>
  <conditionalFormatting sqref="P168">
    <cfRule type="iconSet" priority="2851">
      <iconSet iconSet="3Symbols" showValue="0" reverse="1">
        <cfvo type="percent" val="0"/>
        <cfvo type="num" val="1"/>
        <cfvo type="num" val="1.05"/>
      </iconSet>
    </cfRule>
  </conditionalFormatting>
  <conditionalFormatting sqref="Q167">
    <cfRule type="iconSet" priority="2842">
      <iconSet iconSet="3Symbols" showValue="0" reverse="1">
        <cfvo type="percent" val="0"/>
        <cfvo type="num" val="1"/>
        <cfvo type="num" val="1.05"/>
      </iconSet>
    </cfRule>
  </conditionalFormatting>
  <conditionalFormatting sqref="N167">
    <cfRule type="cellIs" dxfId="2423" priority="2840" operator="lessThan">
      <formula>0</formula>
    </cfRule>
    <cfRule type="cellIs" dxfId="2422" priority="2841" operator="greaterThan">
      <formula>0</formula>
    </cfRule>
  </conditionalFormatting>
  <conditionalFormatting sqref="F167">
    <cfRule type="cellIs" dxfId="2421" priority="2838" operator="lessThan">
      <formula>0</formula>
    </cfRule>
    <cfRule type="cellIs" dxfId="2420" priority="2839" operator="greaterThan">
      <formula>0</formula>
    </cfRule>
  </conditionalFormatting>
  <conditionalFormatting sqref="U167">
    <cfRule type="iconSet" priority="2843">
      <iconSet iconSet="3Symbols" showValue="0" reverse="1">
        <cfvo type="percent" val="0"/>
        <cfvo type="num" val="1"/>
        <cfvo type="num" val="1.05"/>
      </iconSet>
    </cfRule>
  </conditionalFormatting>
  <conditionalFormatting sqref="P167">
    <cfRule type="iconSet" priority="2844">
      <iconSet iconSet="3Symbols" showValue="0" reverse="1">
        <cfvo type="percent" val="0"/>
        <cfvo type="num" val="1"/>
        <cfvo type="num" val="1.05"/>
      </iconSet>
    </cfRule>
  </conditionalFormatting>
  <conditionalFormatting sqref="Q166">
    <cfRule type="iconSet" priority="2835">
      <iconSet iconSet="3Symbols" showValue="0" reverse="1">
        <cfvo type="percent" val="0"/>
        <cfvo type="num" val="1"/>
        <cfvo type="num" val="1.05"/>
      </iconSet>
    </cfRule>
  </conditionalFormatting>
  <conditionalFormatting sqref="N166">
    <cfRule type="cellIs" dxfId="2419" priority="2833" operator="lessThan">
      <formula>0</formula>
    </cfRule>
    <cfRule type="cellIs" dxfId="2418" priority="2834" operator="greaterThan">
      <formula>0</formula>
    </cfRule>
  </conditionalFormatting>
  <conditionalFormatting sqref="F166">
    <cfRule type="cellIs" dxfId="2417" priority="2831" operator="lessThan">
      <formula>0</formula>
    </cfRule>
    <cfRule type="cellIs" dxfId="2416" priority="2832" operator="greaterThan">
      <formula>0</formula>
    </cfRule>
  </conditionalFormatting>
  <conditionalFormatting sqref="U166">
    <cfRule type="iconSet" priority="2836">
      <iconSet iconSet="3Symbols" showValue="0" reverse="1">
        <cfvo type="percent" val="0"/>
        <cfvo type="num" val="1"/>
        <cfvo type="num" val="1.05"/>
      </iconSet>
    </cfRule>
  </conditionalFormatting>
  <conditionalFormatting sqref="P166">
    <cfRule type="iconSet" priority="2837">
      <iconSet iconSet="3Symbols" showValue="0" reverse="1">
        <cfvo type="percent" val="0"/>
        <cfvo type="num" val="1"/>
        <cfvo type="num" val="1.05"/>
      </iconSet>
    </cfRule>
  </conditionalFormatting>
  <conditionalFormatting sqref="Q165">
    <cfRule type="iconSet" priority="2828">
      <iconSet iconSet="3Symbols" showValue="0" reverse="1">
        <cfvo type="percent" val="0"/>
        <cfvo type="num" val="1"/>
        <cfvo type="num" val="1.05"/>
      </iconSet>
    </cfRule>
  </conditionalFormatting>
  <conditionalFormatting sqref="N165">
    <cfRule type="cellIs" dxfId="2415" priority="2826" operator="lessThan">
      <formula>0</formula>
    </cfRule>
    <cfRule type="cellIs" dxfId="2414" priority="2827" operator="greaterThan">
      <formula>0</formula>
    </cfRule>
  </conditionalFormatting>
  <conditionalFormatting sqref="F165">
    <cfRule type="cellIs" dxfId="2413" priority="2824" operator="lessThan">
      <formula>0</formula>
    </cfRule>
    <cfRule type="cellIs" dxfId="2412" priority="2825" operator="greaterThan">
      <formula>0</formula>
    </cfRule>
  </conditionalFormatting>
  <conditionalFormatting sqref="U165">
    <cfRule type="iconSet" priority="2829">
      <iconSet iconSet="3Symbols" showValue="0" reverse="1">
        <cfvo type="percent" val="0"/>
        <cfvo type="num" val="1"/>
        <cfvo type="num" val="1.05"/>
      </iconSet>
    </cfRule>
  </conditionalFormatting>
  <conditionalFormatting sqref="P165">
    <cfRule type="iconSet" priority="2830">
      <iconSet iconSet="3Symbols" showValue="0" reverse="1">
        <cfvo type="percent" val="0"/>
        <cfvo type="num" val="1"/>
        <cfvo type="num" val="1.05"/>
      </iconSet>
    </cfRule>
  </conditionalFormatting>
  <conditionalFormatting sqref="Q164">
    <cfRule type="iconSet" priority="2821">
      <iconSet iconSet="3Symbols" showValue="0" reverse="1">
        <cfvo type="percent" val="0"/>
        <cfvo type="num" val="1"/>
        <cfvo type="num" val="1.05"/>
      </iconSet>
    </cfRule>
  </conditionalFormatting>
  <conditionalFormatting sqref="N164">
    <cfRule type="cellIs" dxfId="2411" priority="2819" operator="lessThan">
      <formula>0</formula>
    </cfRule>
    <cfRule type="cellIs" dxfId="2410" priority="2820" operator="greaterThan">
      <formula>0</formula>
    </cfRule>
  </conditionalFormatting>
  <conditionalFormatting sqref="F164">
    <cfRule type="cellIs" dxfId="2409" priority="2817" operator="lessThan">
      <formula>0</formula>
    </cfRule>
    <cfRule type="cellIs" dxfId="2408" priority="2818" operator="greaterThan">
      <formula>0</formula>
    </cfRule>
  </conditionalFormatting>
  <conditionalFormatting sqref="U164">
    <cfRule type="iconSet" priority="2822">
      <iconSet iconSet="3Symbols" showValue="0" reverse="1">
        <cfvo type="percent" val="0"/>
        <cfvo type="num" val="1"/>
        <cfvo type="num" val="1.05"/>
      </iconSet>
    </cfRule>
  </conditionalFormatting>
  <conditionalFormatting sqref="P164">
    <cfRule type="iconSet" priority="2823">
      <iconSet iconSet="3Symbols" showValue="0" reverse="1">
        <cfvo type="percent" val="0"/>
        <cfvo type="num" val="1"/>
        <cfvo type="num" val="1.05"/>
      </iconSet>
    </cfRule>
  </conditionalFormatting>
  <conditionalFormatting sqref="Q163">
    <cfRule type="iconSet" priority="2814">
      <iconSet iconSet="3Symbols" showValue="0" reverse="1">
        <cfvo type="percent" val="0"/>
        <cfvo type="num" val="1"/>
        <cfvo type="num" val="1.05"/>
      </iconSet>
    </cfRule>
  </conditionalFormatting>
  <conditionalFormatting sqref="N163">
    <cfRule type="cellIs" dxfId="2407" priority="2812" operator="lessThan">
      <formula>0</formula>
    </cfRule>
    <cfRule type="cellIs" dxfId="2406" priority="2813" operator="greaterThan">
      <formula>0</formula>
    </cfRule>
  </conditionalFormatting>
  <conditionalFormatting sqref="F163">
    <cfRule type="cellIs" dxfId="2405" priority="2810" operator="lessThan">
      <formula>0</formula>
    </cfRule>
    <cfRule type="cellIs" dxfId="2404" priority="2811" operator="greaterThan">
      <formula>0</formula>
    </cfRule>
  </conditionalFormatting>
  <conditionalFormatting sqref="U163">
    <cfRule type="iconSet" priority="2815">
      <iconSet iconSet="3Symbols" showValue="0" reverse="1">
        <cfvo type="percent" val="0"/>
        <cfvo type="num" val="1"/>
        <cfvo type="num" val="1.05"/>
      </iconSet>
    </cfRule>
  </conditionalFormatting>
  <conditionalFormatting sqref="P163">
    <cfRule type="iconSet" priority="2816">
      <iconSet iconSet="3Symbols" showValue="0" reverse="1">
        <cfvo type="percent" val="0"/>
        <cfvo type="num" val="1"/>
        <cfvo type="num" val="1.05"/>
      </iconSet>
    </cfRule>
  </conditionalFormatting>
  <conditionalFormatting sqref="Q162">
    <cfRule type="iconSet" priority="2807">
      <iconSet iconSet="3Symbols" showValue="0" reverse="1">
        <cfvo type="percent" val="0"/>
        <cfvo type="num" val="1"/>
        <cfvo type="num" val="1.05"/>
      </iconSet>
    </cfRule>
  </conditionalFormatting>
  <conditionalFormatting sqref="N162">
    <cfRule type="cellIs" dxfId="2403" priority="2805" operator="lessThan">
      <formula>0</formula>
    </cfRule>
    <cfRule type="cellIs" dxfId="2402" priority="2806" operator="greaterThan">
      <formula>0</formula>
    </cfRule>
  </conditionalFormatting>
  <conditionalFormatting sqref="F162">
    <cfRule type="cellIs" dxfId="2401" priority="2803" operator="lessThan">
      <formula>0</formula>
    </cfRule>
    <cfRule type="cellIs" dxfId="2400" priority="2804" operator="greaterThan">
      <formula>0</formula>
    </cfRule>
  </conditionalFormatting>
  <conditionalFormatting sqref="U162">
    <cfRule type="iconSet" priority="2808">
      <iconSet iconSet="3Symbols" showValue="0" reverse="1">
        <cfvo type="percent" val="0"/>
        <cfvo type="num" val="1"/>
        <cfvo type="num" val="1.05"/>
      </iconSet>
    </cfRule>
  </conditionalFormatting>
  <conditionalFormatting sqref="P162">
    <cfRule type="iconSet" priority="2809">
      <iconSet iconSet="3Symbols" showValue="0" reverse="1">
        <cfvo type="percent" val="0"/>
        <cfvo type="num" val="1"/>
        <cfvo type="num" val="1.05"/>
      </iconSet>
    </cfRule>
  </conditionalFormatting>
  <conditionalFormatting sqref="Q161">
    <cfRule type="iconSet" priority="2800">
      <iconSet iconSet="3Symbols" showValue="0" reverse="1">
        <cfvo type="percent" val="0"/>
        <cfvo type="num" val="1"/>
        <cfvo type="num" val="1.05"/>
      </iconSet>
    </cfRule>
  </conditionalFormatting>
  <conditionalFormatting sqref="N161">
    <cfRule type="cellIs" dxfId="2399" priority="2798" operator="lessThan">
      <formula>0</formula>
    </cfRule>
    <cfRule type="cellIs" dxfId="2398" priority="2799" operator="greaterThan">
      <formula>0</formula>
    </cfRule>
  </conditionalFormatting>
  <conditionalFormatting sqref="F161">
    <cfRule type="cellIs" dxfId="2397" priority="2796" operator="lessThan">
      <formula>0</formula>
    </cfRule>
    <cfRule type="cellIs" dxfId="2396" priority="2797" operator="greaterThan">
      <formula>0</formula>
    </cfRule>
  </conditionalFormatting>
  <conditionalFormatting sqref="U161">
    <cfRule type="iconSet" priority="2801">
      <iconSet iconSet="3Symbols" showValue="0" reverse="1">
        <cfvo type="percent" val="0"/>
        <cfvo type="num" val="1"/>
        <cfvo type="num" val="1.05"/>
      </iconSet>
    </cfRule>
  </conditionalFormatting>
  <conditionalFormatting sqref="P161">
    <cfRule type="iconSet" priority="2802">
      <iconSet iconSet="3Symbols" showValue="0" reverse="1">
        <cfvo type="percent" val="0"/>
        <cfvo type="num" val="1"/>
        <cfvo type="num" val="1.05"/>
      </iconSet>
    </cfRule>
  </conditionalFormatting>
  <conditionalFormatting sqref="Q160">
    <cfRule type="iconSet" priority="2793">
      <iconSet iconSet="3Symbols" showValue="0" reverse="1">
        <cfvo type="percent" val="0"/>
        <cfvo type="num" val="1"/>
        <cfvo type="num" val="1.05"/>
      </iconSet>
    </cfRule>
  </conditionalFormatting>
  <conditionalFormatting sqref="N160">
    <cfRule type="cellIs" dxfId="2395" priority="2791" operator="lessThan">
      <formula>0</formula>
    </cfRule>
    <cfRule type="cellIs" dxfId="2394" priority="2792" operator="greaterThan">
      <formula>0</formula>
    </cfRule>
  </conditionalFormatting>
  <conditionalFormatting sqref="F160">
    <cfRule type="cellIs" dxfId="2393" priority="2789" operator="lessThan">
      <formula>0</formula>
    </cfRule>
    <cfRule type="cellIs" dxfId="2392" priority="2790" operator="greaterThan">
      <formula>0</formula>
    </cfRule>
  </conditionalFormatting>
  <conditionalFormatting sqref="U160">
    <cfRule type="iconSet" priority="2794">
      <iconSet iconSet="3Symbols" showValue="0" reverse="1">
        <cfvo type="percent" val="0"/>
        <cfvo type="num" val="1"/>
        <cfvo type="num" val="1.05"/>
      </iconSet>
    </cfRule>
  </conditionalFormatting>
  <conditionalFormatting sqref="P160">
    <cfRule type="iconSet" priority="2795">
      <iconSet iconSet="3Symbols" showValue="0" reverse="1">
        <cfvo type="percent" val="0"/>
        <cfvo type="num" val="1"/>
        <cfvo type="num" val="1.05"/>
      </iconSet>
    </cfRule>
  </conditionalFormatting>
  <conditionalFormatting sqref="Q159">
    <cfRule type="iconSet" priority="2786">
      <iconSet iconSet="3Symbols" showValue="0" reverse="1">
        <cfvo type="percent" val="0"/>
        <cfvo type="num" val="1"/>
        <cfvo type="num" val="1.05"/>
      </iconSet>
    </cfRule>
  </conditionalFormatting>
  <conditionalFormatting sqref="N159">
    <cfRule type="cellIs" dxfId="2391" priority="2784" operator="lessThan">
      <formula>0</formula>
    </cfRule>
    <cfRule type="cellIs" dxfId="2390" priority="2785" operator="greaterThan">
      <formula>0</formula>
    </cfRule>
  </conditionalFormatting>
  <conditionalFormatting sqref="F159">
    <cfRule type="cellIs" dxfId="2389" priority="2782" operator="lessThan">
      <formula>0</formula>
    </cfRule>
    <cfRule type="cellIs" dxfId="2388" priority="2783" operator="greaterThan">
      <formula>0</formula>
    </cfRule>
  </conditionalFormatting>
  <conditionalFormatting sqref="U159">
    <cfRule type="iconSet" priority="2787">
      <iconSet iconSet="3Symbols" showValue="0" reverse="1">
        <cfvo type="percent" val="0"/>
        <cfvo type="num" val="1"/>
        <cfvo type="num" val="1.05"/>
      </iconSet>
    </cfRule>
  </conditionalFormatting>
  <conditionalFormatting sqref="P159">
    <cfRule type="iconSet" priority="2788">
      <iconSet iconSet="3Symbols" showValue="0" reverse="1">
        <cfvo type="percent" val="0"/>
        <cfvo type="num" val="1"/>
        <cfvo type="num" val="1.05"/>
      </iconSet>
    </cfRule>
  </conditionalFormatting>
  <conditionalFormatting sqref="Q157:Q158">
    <cfRule type="iconSet" priority="2779">
      <iconSet iconSet="3Symbols" showValue="0" reverse="1">
        <cfvo type="percent" val="0"/>
        <cfvo type="num" val="1"/>
        <cfvo type="num" val="1.05"/>
      </iconSet>
    </cfRule>
  </conditionalFormatting>
  <conditionalFormatting sqref="N157:N158">
    <cfRule type="cellIs" dxfId="2387" priority="2777" operator="lessThan">
      <formula>0</formula>
    </cfRule>
    <cfRule type="cellIs" dxfId="2386" priority="2778" operator="greaterThan">
      <formula>0</formula>
    </cfRule>
  </conditionalFormatting>
  <conditionalFormatting sqref="F157:F158">
    <cfRule type="cellIs" dxfId="2385" priority="2775" operator="lessThan">
      <formula>0</formula>
    </cfRule>
    <cfRule type="cellIs" dxfId="2384" priority="2776" operator="greaterThan">
      <formula>0</formula>
    </cfRule>
  </conditionalFormatting>
  <conditionalFormatting sqref="U157:U158">
    <cfRule type="iconSet" priority="2780">
      <iconSet iconSet="3Symbols" showValue="0" reverse="1">
        <cfvo type="percent" val="0"/>
        <cfvo type="num" val="1"/>
        <cfvo type="num" val="1.05"/>
      </iconSet>
    </cfRule>
  </conditionalFormatting>
  <conditionalFormatting sqref="P157:P158">
    <cfRule type="iconSet" priority="2781">
      <iconSet iconSet="3Symbols" showValue="0" reverse="1">
        <cfvo type="percent" val="0"/>
        <cfvo type="num" val="1"/>
        <cfvo type="num" val="1.05"/>
      </iconSet>
    </cfRule>
  </conditionalFormatting>
  <conditionalFormatting sqref="Q156">
    <cfRule type="iconSet" priority="2772">
      <iconSet iconSet="3Symbols" showValue="0" reverse="1">
        <cfvo type="percent" val="0"/>
        <cfvo type="num" val="1"/>
        <cfvo type="num" val="1.05"/>
      </iconSet>
    </cfRule>
  </conditionalFormatting>
  <conditionalFormatting sqref="N156">
    <cfRule type="cellIs" dxfId="2383" priority="2770" operator="lessThan">
      <formula>0</formula>
    </cfRule>
    <cfRule type="cellIs" dxfId="2382" priority="2771" operator="greaterThan">
      <formula>0</formula>
    </cfRule>
  </conditionalFormatting>
  <conditionalFormatting sqref="F156">
    <cfRule type="cellIs" dxfId="2381" priority="2768" operator="lessThan">
      <formula>0</formula>
    </cfRule>
    <cfRule type="cellIs" dxfId="2380" priority="2769" operator="greaterThan">
      <formula>0</formula>
    </cfRule>
  </conditionalFormatting>
  <conditionalFormatting sqref="U156">
    <cfRule type="iconSet" priority="2773">
      <iconSet iconSet="3Symbols" showValue="0" reverse="1">
        <cfvo type="percent" val="0"/>
        <cfvo type="num" val="1"/>
        <cfvo type="num" val="1.05"/>
      </iconSet>
    </cfRule>
  </conditionalFormatting>
  <conditionalFormatting sqref="P156">
    <cfRule type="iconSet" priority="2774">
      <iconSet iconSet="3Symbols" showValue="0" reverse="1">
        <cfvo type="percent" val="0"/>
        <cfvo type="num" val="1"/>
        <cfvo type="num" val="1.05"/>
      </iconSet>
    </cfRule>
  </conditionalFormatting>
  <conditionalFormatting sqref="Q155">
    <cfRule type="iconSet" priority="2765">
      <iconSet iconSet="3Symbols" showValue="0" reverse="1">
        <cfvo type="percent" val="0"/>
        <cfvo type="num" val="1"/>
        <cfvo type="num" val="1.05"/>
      </iconSet>
    </cfRule>
  </conditionalFormatting>
  <conditionalFormatting sqref="N155">
    <cfRule type="cellIs" dxfId="2379" priority="2763" operator="lessThan">
      <formula>0</formula>
    </cfRule>
    <cfRule type="cellIs" dxfId="2378" priority="2764" operator="greaterThan">
      <formula>0</formula>
    </cfRule>
  </conditionalFormatting>
  <conditionalFormatting sqref="F155">
    <cfRule type="cellIs" dxfId="2377" priority="2761" operator="lessThan">
      <formula>0</formula>
    </cfRule>
    <cfRule type="cellIs" dxfId="2376" priority="2762" operator="greaterThan">
      <formula>0</formula>
    </cfRule>
  </conditionalFormatting>
  <conditionalFormatting sqref="U155">
    <cfRule type="iconSet" priority="2766">
      <iconSet iconSet="3Symbols" showValue="0" reverse="1">
        <cfvo type="percent" val="0"/>
        <cfvo type="num" val="1"/>
        <cfvo type="num" val="1.05"/>
      </iconSet>
    </cfRule>
  </conditionalFormatting>
  <conditionalFormatting sqref="P155">
    <cfRule type="iconSet" priority="2767">
      <iconSet iconSet="3Symbols" showValue="0" reverse="1">
        <cfvo type="percent" val="0"/>
        <cfvo type="num" val="1"/>
        <cfvo type="num" val="1.05"/>
      </iconSet>
    </cfRule>
  </conditionalFormatting>
  <conditionalFormatting sqref="Q154">
    <cfRule type="iconSet" priority="2758">
      <iconSet iconSet="3Symbols" showValue="0" reverse="1">
        <cfvo type="percent" val="0"/>
        <cfvo type="num" val="1"/>
        <cfvo type="num" val="1.05"/>
      </iconSet>
    </cfRule>
  </conditionalFormatting>
  <conditionalFormatting sqref="N154">
    <cfRule type="cellIs" dxfId="2375" priority="2756" operator="lessThan">
      <formula>0</formula>
    </cfRule>
    <cfRule type="cellIs" dxfId="2374" priority="2757" operator="greaterThan">
      <formula>0</formula>
    </cfRule>
  </conditionalFormatting>
  <conditionalFormatting sqref="F154">
    <cfRule type="cellIs" dxfId="2373" priority="2754" operator="lessThan">
      <formula>0</formula>
    </cfRule>
    <cfRule type="cellIs" dxfId="2372" priority="2755" operator="greaterThan">
      <formula>0</formula>
    </cfRule>
  </conditionalFormatting>
  <conditionalFormatting sqref="U154">
    <cfRule type="iconSet" priority="2759">
      <iconSet iconSet="3Symbols" showValue="0" reverse="1">
        <cfvo type="percent" val="0"/>
        <cfvo type="num" val="1"/>
        <cfvo type="num" val="1.05"/>
      </iconSet>
    </cfRule>
  </conditionalFormatting>
  <conditionalFormatting sqref="P154">
    <cfRule type="iconSet" priority="2760">
      <iconSet iconSet="3Symbols" showValue="0" reverse="1">
        <cfvo type="percent" val="0"/>
        <cfvo type="num" val="1"/>
        <cfvo type="num" val="1.05"/>
      </iconSet>
    </cfRule>
  </conditionalFormatting>
  <conditionalFormatting sqref="Q153">
    <cfRule type="iconSet" priority="2751">
      <iconSet iconSet="3Symbols" showValue="0" reverse="1">
        <cfvo type="percent" val="0"/>
        <cfvo type="num" val="1"/>
        <cfvo type="num" val="1.05"/>
      </iconSet>
    </cfRule>
  </conditionalFormatting>
  <conditionalFormatting sqref="N153">
    <cfRule type="cellIs" dxfId="2371" priority="2749" operator="lessThan">
      <formula>0</formula>
    </cfRule>
    <cfRule type="cellIs" dxfId="2370" priority="2750" operator="greaterThan">
      <formula>0</formula>
    </cfRule>
  </conditionalFormatting>
  <conditionalFormatting sqref="F153">
    <cfRule type="cellIs" dxfId="2369" priority="2747" operator="lessThan">
      <formula>0</formula>
    </cfRule>
    <cfRule type="cellIs" dxfId="2368" priority="2748" operator="greaterThan">
      <formula>0</formula>
    </cfRule>
  </conditionalFormatting>
  <conditionalFormatting sqref="U153">
    <cfRule type="iconSet" priority="2752">
      <iconSet iconSet="3Symbols" showValue="0" reverse="1">
        <cfvo type="percent" val="0"/>
        <cfvo type="num" val="1"/>
        <cfvo type="num" val="1.05"/>
      </iconSet>
    </cfRule>
  </conditionalFormatting>
  <conditionalFormatting sqref="P153">
    <cfRule type="iconSet" priority="2753">
      <iconSet iconSet="3Symbols" showValue="0" reverse="1">
        <cfvo type="percent" val="0"/>
        <cfvo type="num" val="1"/>
        <cfvo type="num" val="1.05"/>
      </iconSet>
    </cfRule>
  </conditionalFormatting>
  <conditionalFormatting sqref="Q152">
    <cfRule type="iconSet" priority="2744">
      <iconSet iconSet="3Symbols" showValue="0" reverse="1">
        <cfvo type="percent" val="0"/>
        <cfvo type="num" val="1"/>
        <cfvo type="num" val="1.05"/>
      </iconSet>
    </cfRule>
  </conditionalFormatting>
  <conditionalFormatting sqref="N152">
    <cfRule type="cellIs" dxfId="2367" priority="2742" operator="lessThan">
      <formula>0</formula>
    </cfRule>
    <cfRule type="cellIs" dxfId="2366" priority="2743" operator="greaterThan">
      <formula>0</formula>
    </cfRule>
  </conditionalFormatting>
  <conditionalFormatting sqref="F152">
    <cfRule type="cellIs" dxfId="2365" priority="2740" operator="lessThan">
      <formula>0</formula>
    </cfRule>
    <cfRule type="cellIs" dxfId="2364" priority="2741" operator="greaterThan">
      <formula>0</formula>
    </cfRule>
  </conditionalFormatting>
  <conditionalFormatting sqref="U152">
    <cfRule type="iconSet" priority="2745">
      <iconSet iconSet="3Symbols" showValue="0" reverse="1">
        <cfvo type="percent" val="0"/>
        <cfvo type="num" val="1"/>
        <cfvo type="num" val="1.05"/>
      </iconSet>
    </cfRule>
  </conditionalFormatting>
  <conditionalFormatting sqref="P152">
    <cfRule type="iconSet" priority="2746">
      <iconSet iconSet="3Symbols" showValue="0" reverse="1">
        <cfvo type="percent" val="0"/>
        <cfvo type="num" val="1"/>
        <cfvo type="num" val="1.05"/>
      </iconSet>
    </cfRule>
  </conditionalFormatting>
  <conditionalFormatting sqref="Q151">
    <cfRule type="iconSet" priority="2737">
      <iconSet iconSet="3Symbols" showValue="0" reverse="1">
        <cfvo type="percent" val="0"/>
        <cfvo type="num" val="1"/>
        <cfvo type="num" val="1.05"/>
      </iconSet>
    </cfRule>
  </conditionalFormatting>
  <conditionalFormatting sqref="N151">
    <cfRule type="cellIs" dxfId="2363" priority="2735" operator="lessThan">
      <formula>0</formula>
    </cfRule>
    <cfRule type="cellIs" dxfId="2362" priority="2736" operator="greaterThan">
      <formula>0</formula>
    </cfRule>
  </conditionalFormatting>
  <conditionalFormatting sqref="F151">
    <cfRule type="cellIs" dxfId="2361" priority="2733" operator="lessThan">
      <formula>0</formula>
    </cfRule>
    <cfRule type="cellIs" dxfId="2360" priority="2734" operator="greaterThan">
      <formula>0</formula>
    </cfRule>
  </conditionalFormatting>
  <conditionalFormatting sqref="U151">
    <cfRule type="iconSet" priority="2738">
      <iconSet iconSet="3Symbols" showValue="0" reverse="1">
        <cfvo type="percent" val="0"/>
        <cfvo type="num" val="1"/>
        <cfvo type="num" val="1.05"/>
      </iconSet>
    </cfRule>
  </conditionalFormatting>
  <conditionalFormatting sqref="P151">
    <cfRule type="iconSet" priority="2739">
      <iconSet iconSet="3Symbols" showValue="0" reverse="1">
        <cfvo type="percent" val="0"/>
        <cfvo type="num" val="1"/>
        <cfvo type="num" val="1.05"/>
      </iconSet>
    </cfRule>
  </conditionalFormatting>
  <conditionalFormatting sqref="Q150">
    <cfRule type="iconSet" priority="2730">
      <iconSet iconSet="3Symbols" showValue="0" reverse="1">
        <cfvo type="percent" val="0"/>
        <cfvo type="num" val="1"/>
        <cfvo type="num" val="1.05"/>
      </iconSet>
    </cfRule>
  </conditionalFormatting>
  <conditionalFormatting sqref="N150">
    <cfRule type="cellIs" dxfId="2359" priority="2728" operator="lessThan">
      <formula>0</formula>
    </cfRule>
    <cfRule type="cellIs" dxfId="2358" priority="2729" operator="greaterThan">
      <formula>0</formula>
    </cfRule>
  </conditionalFormatting>
  <conditionalFormatting sqref="F150">
    <cfRule type="cellIs" dxfId="2357" priority="2726" operator="lessThan">
      <formula>0</formula>
    </cfRule>
    <cfRule type="cellIs" dxfId="2356" priority="2727" operator="greaterThan">
      <formula>0</formula>
    </cfRule>
  </conditionalFormatting>
  <conditionalFormatting sqref="U150">
    <cfRule type="iconSet" priority="2731">
      <iconSet iconSet="3Symbols" showValue="0" reverse="1">
        <cfvo type="percent" val="0"/>
        <cfvo type="num" val="1"/>
        <cfvo type="num" val="1.05"/>
      </iconSet>
    </cfRule>
  </conditionalFormatting>
  <conditionalFormatting sqref="P150">
    <cfRule type="iconSet" priority="2732">
      <iconSet iconSet="3Symbols" showValue="0" reverse="1">
        <cfvo type="percent" val="0"/>
        <cfvo type="num" val="1"/>
        <cfvo type="num" val="1.05"/>
      </iconSet>
    </cfRule>
  </conditionalFormatting>
  <conditionalFormatting sqref="Q149">
    <cfRule type="iconSet" priority="2723">
      <iconSet iconSet="3Symbols" showValue="0" reverse="1">
        <cfvo type="percent" val="0"/>
        <cfvo type="num" val="1"/>
        <cfvo type="num" val="1.05"/>
      </iconSet>
    </cfRule>
  </conditionalFormatting>
  <conditionalFormatting sqref="N149">
    <cfRule type="cellIs" dxfId="2355" priority="2721" operator="lessThan">
      <formula>0</formula>
    </cfRule>
    <cfRule type="cellIs" dxfId="2354" priority="2722" operator="greaterThan">
      <formula>0</formula>
    </cfRule>
  </conditionalFormatting>
  <conditionalFormatting sqref="F149">
    <cfRule type="cellIs" dxfId="2353" priority="2719" operator="lessThan">
      <formula>0</formula>
    </cfRule>
    <cfRule type="cellIs" dxfId="2352" priority="2720" operator="greaterThan">
      <formula>0</formula>
    </cfRule>
  </conditionalFormatting>
  <conditionalFormatting sqref="U149">
    <cfRule type="iconSet" priority="2724">
      <iconSet iconSet="3Symbols" showValue="0" reverse="1">
        <cfvo type="percent" val="0"/>
        <cfvo type="num" val="1"/>
        <cfvo type="num" val="1.05"/>
      </iconSet>
    </cfRule>
  </conditionalFormatting>
  <conditionalFormatting sqref="P149">
    <cfRule type="iconSet" priority="2725">
      <iconSet iconSet="3Symbols" showValue="0" reverse="1">
        <cfvo type="percent" val="0"/>
        <cfvo type="num" val="1"/>
        <cfvo type="num" val="1.05"/>
      </iconSet>
    </cfRule>
  </conditionalFormatting>
  <conditionalFormatting sqref="Q148">
    <cfRule type="iconSet" priority="2716">
      <iconSet iconSet="3Symbols" showValue="0" reverse="1">
        <cfvo type="percent" val="0"/>
        <cfvo type="num" val="1"/>
        <cfvo type="num" val="1.05"/>
      </iconSet>
    </cfRule>
  </conditionalFormatting>
  <conditionalFormatting sqref="N148">
    <cfRule type="cellIs" dxfId="2351" priority="2714" operator="lessThan">
      <formula>0</formula>
    </cfRule>
    <cfRule type="cellIs" dxfId="2350" priority="2715" operator="greaterThan">
      <formula>0</formula>
    </cfRule>
  </conditionalFormatting>
  <conditionalFormatting sqref="F148">
    <cfRule type="cellIs" dxfId="2349" priority="2712" operator="lessThan">
      <formula>0</formula>
    </cfRule>
    <cfRule type="cellIs" dxfId="2348" priority="2713" operator="greaterThan">
      <formula>0</formula>
    </cfRule>
  </conditionalFormatting>
  <conditionalFormatting sqref="U148">
    <cfRule type="iconSet" priority="2717">
      <iconSet iconSet="3Symbols" showValue="0" reverse="1">
        <cfvo type="percent" val="0"/>
        <cfvo type="num" val="1"/>
        <cfvo type="num" val="1.05"/>
      </iconSet>
    </cfRule>
  </conditionalFormatting>
  <conditionalFormatting sqref="P148">
    <cfRule type="iconSet" priority="2718">
      <iconSet iconSet="3Symbols" showValue="0" reverse="1">
        <cfvo type="percent" val="0"/>
        <cfvo type="num" val="1"/>
        <cfvo type="num" val="1.05"/>
      </iconSet>
    </cfRule>
  </conditionalFormatting>
  <conditionalFormatting sqref="Q147">
    <cfRule type="iconSet" priority="2709">
      <iconSet iconSet="3Symbols" showValue="0" reverse="1">
        <cfvo type="percent" val="0"/>
        <cfvo type="num" val="1"/>
        <cfvo type="num" val="1.05"/>
      </iconSet>
    </cfRule>
  </conditionalFormatting>
  <conditionalFormatting sqref="N147">
    <cfRule type="cellIs" dxfId="2347" priority="2707" operator="lessThan">
      <formula>0</formula>
    </cfRule>
    <cfRule type="cellIs" dxfId="2346" priority="2708" operator="greaterThan">
      <formula>0</formula>
    </cfRule>
  </conditionalFormatting>
  <conditionalFormatting sqref="F147">
    <cfRule type="cellIs" dxfId="2345" priority="2705" operator="lessThan">
      <formula>0</formula>
    </cfRule>
    <cfRule type="cellIs" dxfId="2344" priority="2706" operator="greaterThan">
      <formula>0</formula>
    </cfRule>
  </conditionalFormatting>
  <conditionalFormatting sqref="U147">
    <cfRule type="iconSet" priority="2710">
      <iconSet iconSet="3Symbols" showValue="0" reverse="1">
        <cfvo type="percent" val="0"/>
        <cfvo type="num" val="1"/>
        <cfvo type="num" val="1.05"/>
      </iconSet>
    </cfRule>
  </conditionalFormatting>
  <conditionalFormatting sqref="P147">
    <cfRule type="iconSet" priority="2711">
      <iconSet iconSet="3Symbols" showValue="0" reverse="1">
        <cfvo type="percent" val="0"/>
        <cfvo type="num" val="1"/>
        <cfvo type="num" val="1.05"/>
      </iconSet>
    </cfRule>
  </conditionalFormatting>
  <conditionalFormatting sqref="Q146">
    <cfRule type="iconSet" priority="2702">
      <iconSet iconSet="3Symbols" showValue="0" reverse="1">
        <cfvo type="percent" val="0"/>
        <cfvo type="num" val="1"/>
        <cfvo type="num" val="1.05"/>
      </iconSet>
    </cfRule>
  </conditionalFormatting>
  <conditionalFormatting sqref="N146">
    <cfRule type="cellIs" dxfId="2343" priority="2700" operator="lessThan">
      <formula>0</formula>
    </cfRule>
    <cfRule type="cellIs" dxfId="2342" priority="2701" operator="greaterThan">
      <formula>0</formula>
    </cfRule>
  </conditionalFormatting>
  <conditionalFormatting sqref="F146">
    <cfRule type="cellIs" dxfId="2341" priority="2698" operator="lessThan">
      <formula>0</formula>
    </cfRule>
    <cfRule type="cellIs" dxfId="2340" priority="2699" operator="greaterThan">
      <formula>0</formula>
    </cfRule>
  </conditionalFormatting>
  <conditionalFormatting sqref="U146">
    <cfRule type="iconSet" priority="2703">
      <iconSet iconSet="3Symbols" showValue="0" reverse="1">
        <cfvo type="percent" val="0"/>
        <cfvo type="num" val="1"/>
        <cfvo type="num" val="1.05"/>
      </iconSet>
    </cfRule>
  </conditionalFormatting>
  <conditionalFormatting sqref="P146">
    <cfRule type="iconSet" priority="2704">
      <iconSet iconSet="3Symbols" showValue="0" reverse="1">
        <cfvo type="percent" val="0"/>
        <cfvo type="num" val="1"/>
        <cfvo type="num" val="1.05"/>
      </iconSet>
    </cfRule>
  </conditionalFormatting>
  <conditionalFormatting sqref="Q144:Q145">
    <cfRule type="iconSet" priority="2695">
      <iconSet iconSet="3Symbols" showValue="0" reverse="1">
        <cfvo type="percent" val="0"/>
        <cfvo type="num" val="1"/>
        <cfvo type="num" val="1.05"/>
      </iconSet>
    </cfRule>
  </conditionalFormatting>
  <conditionalFormatting sqref="N144:N145">
    <cfRule type="cellIs" dxfId="2339" priority="2693" operator="lessThan">
      <formula>0</formula>
    </cfRule>
    <cfRule type="cellIs" dxfId="2338" priority="2694" operator="greaterThan">
      <formula>0</formula>
    </cfRule>
  </conditionalFormatting>
  <conditionalFormatting sqref="F144:F145">
    <cfRule type="cellIs" dxfId="2337" priority="2691" operator="lessThan">
      <formula>0</formula>
    </cfRule>
    <cfRule type="cellIs" dxfId="2336" priority="2692" operator="greaterThan">
      <formula>0</formula>
    </cfRule>
  </conditionalFormatting>
  <conditionalFormatting sqref="U144:U145">
    <cfRule type="iconSet" priority="2696">
      <iconSet iconSet="3Symbols" showValue="0" reverse="1">
        <cfvo type="percent" val="0"/>
        <cfvo type="num" val="1"/>
        <cfvo type="num" val="1.05"/>
      </iconSet>
    </cfRule>
  </conditionalFormatting>
  <conditionalFormatting sqref="P144:P145">
    <cfRule type="iconSet" priority="2697">
      <iconSet iconSet="3Symbols" showValue="0" reverse="1">
        <cfvo type="percent" val="0"/>
        <cfvo type="num" val="1"/>
        <cfvo type="num" val="1.05"/>
      </iconSet>
    </cfRule>
  </conditionalFormatting>
  <conditionalFormatting sqref="Q143">
    <cfRule type="iconSet" priority="2688">
      <iconSet iconSet="3Symbols" showValue="0" reverse="1">
        <cfvo type="percent" val="0"/>
        <cfvo type="num" val="1"/>
        <cfvo type="num" val="1.05"/>
      </iconSet>
    </cfRule>
  </conditionalFormatting>
  <conditionalFormatting sqref="N143">
    <cfRule type="cellIs" dxfId="2335" priority="2686" operator="lessThan">
      <formula>0</formula>
    </cfRule>
    <cfRule type="cellIs" dxfId="2334" priority="2687" operator="greaterThan">
      <formula>0</formula>
    </cfRule>
  </conditionalFormatting>
  <conditionalFormatting sqref="F143">
    <cfRule type="cellIs" dxfId="2333" priority="2684" operator="lessThan">
      <formula>0</formula>
    </cfRule>
    <cfRule type="cellIs" dxfId="2332" priority="2685" operator="greaterThan">
      <formula>0</formula>
    </cfRule>
  </conditionalFormatting>
  <conditionalFormatting sqref="U143">
    <cfRule type="iconSet" priority="2689">
      <iconSet iconSet="3Symbols" showValue="0" reverse="1">
        <cfvo type="percent" val="0"/>
        <cfvo type="num" val="1"/>
        <cfvo type="num" val="1.05"/>
      </iconSet>
    </cfRule>
  </conditionalFormatting>
  <conditionalFormatting sqref="P143">
    <cfRule type="iconSet" priority="2690">
      <iconSet iconSet="3Symbols" showValue="0" reverse="1">
        <cfvo type="percent" val="0"/>
        <cfvo type="num" val="1"/>
        <cfvo type="num" val="1.05"/>
      </iconSet>
    </cfRule>
  </conditionalFormatting>
  <conditionalFormatting sqref="Q142">
    <cfRule type="iconSet" priority="2681">
      <iconSet iconSet="3Symbols" showValue="0" reverse="1">
        <cfvo type="percent" val="0"/>
        <cfvo type="num" val="1"/>
        <cfvo type="num" val="1.05"/>
      </iconSet>
    </cfRule>
  </conditionalFormatting>
  <conditionalFormatting sqref="N142">
    <cfRule type="cellIs" dxfId="2331" priority="2679" operator="lessThan">
      <formula>0</formula>
    </cfRule>
    <cfRule type="cellIs" dxfId="2330" priority="2680" operator="greaterThan">
      <formula>0</formula>
    </cfRule>
  </conditionalFormatting>
  <conditionalFormatting sqref="F142">
    <cfRule type="cellIs" dxfId="2329" priority="2677" operator="lessThan">
      <formula>0</formula>
    </cfRule>
    <cfRule type="cellIs" dxfId="2328" priority="2678" operator="greaterThan">
      <formula>0</formula>
    </cfRule>
  </conditionalFormatting>
  <conditionalFormatting sqref="U142">
    <cfRule type="iconSet" priority="2682">
      <iconSet iconSet="3Symbols" showValue="0" reverse="1">
        <cfvo type="percent" val="0"/>
        <cfvo type="num" val="1"/>
        <cfvo type="num" val="1.05"/>
      </iconSet>
    </cfRule>
  </conditionalFormatting>
  <conditionalFormatting sqref="P142">
    <cfRule type="iconSet" priority="2683">
      <iconSet iconSet="3Symbols" showValue="0" reverse="1">
        <cfvo type="percent" val="0"/>
        <cfvo type="num" val="1"/>
        <cfvo type="num" val="1.05"/>
      </iconSet>
    </cfRule>
  </conditionalFormatting>
  <conditionalFormatting sqref="Q141">
    <cfRule type="iconSet" priority="2674">
      <iconSet iconSet="3Symbols" showValue="0" reverse="1">
        <cfvo type="percent" val="0"/>
        <cfvo type="num" val="1"/>
        <cfvo type="num" val="1.05"/>
      </iconSet>
    </cfRule>
  </conditionalFormatting>
  <conditionalFormatting sqref="N141">
    <cfRule type="cellIs" dxfId="2327" priority="2672" operator="lessThan">
      <formula>0</formula>
    </cfRule>
    <cfRule type="cellIs" dxfId="2326" priority="2673" operator="greaterThan">
      <formula>0</formula>
    </cfRule>
  </conditionalFormatting>
  <conditionalFormatting sqref="F141">
    <cfRule type="cellIs" dxfId="2325" priority="2670" operator="lessThan">
      <formula>0</formula>
    </cfRule>
    <cfRule type="cellIs" dxfId="2324" priority="2671" operator="greaterThan">
      <formula>0</formula>
    </cfRule>
  </conditionalFormatting>
  <conditionalFormatting sqref="U141">
    <cfRule type="iconSet" priority="2675">
      <iconSet iconSet="3Symbols" showValue="0" reverse="1">
        <cfvo type="percent" val="0"/>
        <cfvo type="num" val="1"/>
        <cfvo type="num" val="1.05"/>
      </iconSet>
    </cfRule>
  </conditionalFormatting>
  <conditionalFormatting sqref="P141">
    <cfRule type="iconSet" priority="2676">
      <iconSet iconSet="3Symbols" showValue="0" reverse="1">
        <cfvo type="percent" val="0"/>
        <cfvo type="num" val="1"/>
        <cfvo type="num" val="1.05"/>
      </iconSet>
    </cfRule>
  </conditionalFormatting>
  <conditionalFormatting sqref="Q140">
    <cfRule type="iconSet" priority="2667">
      <iconSet iconSet="3Symbols" showValue="0" reverse="1">
        <cfvo type="percent" val="0"/>
        <cfvo type="num" val="1"/>
        <cfvo type="num" val="1.05"/>
      </iconSet>
    </cfRule>
  </conditionalFormatting>
  <conditionalFormatting sqref="N140">
    <cfRule type="cellIs" dxfId="2323" priority="2665" operator="lessThan">
      <formula>0</formula>
    </cfRule>
    <cfRule type="cellIs" dxfId="2322" priority="2666" operator="greaterThan">
      <formula>0</formula>
    </cfRule>
  </conditionalFormatting>
  <conditionalFormatting sqref="F140">
    <cfRule type="cellIs" dxfId="2321" priority="2663" operator="lessThan">
      <formula>0</formula>
    </cfRule>
    <cfRule type="cellIs" dxfId="2320" priority="2664" operator="greaterThan">
      <formula>0</formula>
    </cfRule>
  </conditionalFormatting>
  <conditionalFormatting sqref="U140">
    <cfRule type="iconSet" priority="2668">
      <iconSet iconSet="3Symbols" showValue="0" reverse="1">
        <cfvo type="percent" val="0"/>
        <cfvo type="num" val="1"/>
        <cfvo type="num" val="1.05"/>
      </iconSet>
    </cfRule>
  </conditionalFormatting>
  <conditionalFormatting sqref="P140">
    <cfRule type="iconSet" priority="2669">
      <iconSet iconSet="3Symbols" showValue="0" reverse="1">
        <cfvo type="percent" val="0"/>
        <cfvo type="num" val="1"/>
        <cfvo type="num" val="1.05"/>
      </iconSet>
    </cfRule>
  </conditionalFormatting>
  <conditionalFormatting sqref="Q139">
    <cfRule type="iconSet" priority="2660">
      <iconSet iconSet="3Symbols" showValue="0" reverse="1">
        <cfvo type="percent" val="0"/>
        <cfvo type="num" val="1"/>
        <cfvo type="num" val="1.05"/>
      </iconSet>
    </cfRule>
  </conditionalFormatting>
  <conditionalFormatting sqref="N139">
    <cfRule type="cellIs" dxfId="2319" priority="2658" operator="lessThan">
      <formula>0</formula>
    </cfRule>
    <cfRule type="cellIs" dxfId="2318" priority="2659" operator="greaterThan">
      <formula>0</formula>
    </cfRule>
  </conditionalFormatting>
  <conditionalFormatting sqref="F139">
    <cfRule type="cellIs" dxfId="2317" priority="2656" operator="lessThan">
      <formula>0</formula>
    </cfRule>
    <cfRule type="cellIs" dxfId="2316" priority="2657" operator="greaterThan">
      <formula>0</formula>
    </cfRule>
  </conditionalFormatting>
  <conditionalFormatting sqref="U139">
    <cfRule type="iconSet" priority="2661">
      <iconSet iconSet="3Symbols" showValue="0" reverse="1">
        <cfvo type="percent" val="0"/>
        <cfvo type="num" val="1"/>
        <cfvo type="num" val="1.05"/>
      </iconSet>
    </cfRule>
  </conditionalFormatting>
  <conditionalFormatting sqref="P139">
    <cfRule type="iconSet" priority="2662">
      <iconSet iconSet="3Symbols" showValue="0" reverse="1">
        <cfvo type="percent" val="0"/>
        <cfvo type="num" val="1"/>
        <cfvo type="num" val="1.05"/>
      </iconSet>
    </cfRule>
  </conditionalFormatting>
  <conditionalFormatting sqref="Q138">
    <cfRule type="iconSet" priority="2653">
      <iconSet iconSet="3Symbols" showValue="0" reverse="1">
        <cfvo type="percent" val="0"/>
        <cfvo type="num" val="1"/>
        <cfvo type="num" val="1.05"/>
      </iconSet>
    </cfRule>
  </conditionalFormatting>
  <conditionalFormatting sqref="N138">
    <cfRule type="cellIs" dxfId="2315" priority="2651" operator="lessThan">
      <formula>0</formula>
    </cfRule>
    <cfRule type="cellIs" dxfId="2314" priority="2652" operator="greaterThan">
      <formula>0</formula>
    </cfRule>
  </conditionalFormatting>
  <conditionalFormatting sqref="F138">
    <cfRule type="cellIs" dxfId="2313" priority="2649" operator="lessThan">
      <formula>0</formula>
    </cfRule>
    <cfRule type="cellIs" dxfId="2312" priority="2650" operator="greaterThan">
      <formula>0</formula>
    </cfRule>
  </conditionalFormatting>
  <conditionalFormatting sqref="U138">
    <cfRule type="iconSet" priority="2654">
      <iconSet iconSet="3Symbols" showValue="0" reverse="1">
        <cfvo type="percent" val="0"/>
        <cfvo type="num" val="1"/>
        <cfvo type="num" val="1.05"/>
      </iconSet>
    </cfRule>
  </conditionalFormatting>
  <conditionalFormatting sqref="P138">
    <cfRule type="iconSet" priority="2655">
      <iconSet iconSet="3Symbols" showValue="0" reverse="1">
        <cfvo type="percent" val="0"/>
        <cfvo type="num" val="1"/>
        <cfvo type="num" val="1.05"/>
      </iconSet>
    </cfRule>
  </conditionalFormatting>
  <conditionalFormatting sqref="Q137">
    <cfRule type="iconSet" priority="2646">
      <iconSet iconSet="3Symbols" showValue="0" reverse="1">
        <cfvo type="percent" val="0"/>
        <cfvo type="num" val="1"/>
        <cfvo type="num" val="1.05"/>
      </iconSet>
    </cfRule>
  </conditionalFormatting>
  <conditionalFormatting sqref="N137">
    <cfRule type="cellIs" dxfId="2311" priority="2644" operator="lessThan">
      <formula>0</formula>
    </cfRule>
    <cfRule type="cellIs" dxfId="2310" priority="2645" operator="greaterThan">
      <formula>0</formula>
    </cfRule>
  </conditionalFormatting>
  <conditionalFormatting sqref="F137">
    <cfRule type="cellIs" dxfId="2309" priority="2642" operator="lessThan">
      <formula>0</formula>
    </cfRule>
    <cfRule type="cellIs" dxfId="2308" priority="2643" operator="greaterThan">
      <formula>0</formula>
    </cfRule>
  </conditionalFormatting>
  <conditionalFormatting sqref="U137">
    <cfRule type="iconSet" priority="2647">
      <iconSet iconSet="3Symbols" showValue="0" reverse="1">
        <cfvo type="percent" val="0"/>
        <cfvo type="num" val="1"/>
        <cfvo type="num" val="1.05"/>
      </iconSet>
    </cfRule>
  </conditionalFormatting>
  <conditionalFormatting sqref="P137">
    <cfRule type="iconSet" priority="2648">
      <iconSet iconSet="3Symbols" showValue="0" reverse="1">
        <cfvo type="percent" val="0"/>
        <cfvo type="num" val="1"/>
        <cfvo type="num" val="1.05"/>
      </iconSet>
    </cfRule>
  </conditionalFormatting>
  <conditionalFormatting sqref="Q136">
    <cfRule type="iconSet" priority="2639">
      <iconSet iconSet="3Symbols" showValue="0" reverse="1">
        <cfvo type="percent" val="0"/>
        <cfvo type="num" val="1"/>
        <cfvo type="num" val="1.05"/>
      </iconSet>
    </cfRule>
  </conditionalFormatting>
  <conditionalFormatting sqref="N136">
    <cfRule type="cellIs" dxfId="2307" priority="2637" operator="lessThan">
      <formula>0</formula>
    </cfRule>
    <cfRule type="cellIs" dxfId="2306" priority="2638" operator="greaterThan">
      <formula>0</formula>
    </cfRule>
  </conditionalFormatting>
  <conditionalFormatting sqref="F136">
    <cfRule type="cellIs" dxfId="2305" priority="2635" operator="lessThan">
      <formula>0</formula>
    </cfRule>
    <cfRule type="cellIs" dxfId="2304" priority="2636" operator="greaterThan">
      <formula>0</formula>
    </cfRule>
  </conditionalFormatting>
  <conditionalFormatting sqref="U136">
    <cfRule type="iconSet" priority="2640">
      <iconSet iconSet="3Symbols" showValue="0" reverse="1">
        <cfvo type="percent" val="0"/>
        <cfvo type="num" val="1"/>
        <cfvo type="num" val="1.05"/>
      </iconSet>
    </cfRule>
  </conditionalFormatting>
  <conditionalFormatting sqref="P136">
    <cfRule type="iconSet" priority="2641">
      <iconSet iconSet="3Symbols" showValue="0" reverse="1">
        <cfvo type="percent" val="0"/>
        <cfvo type="num" val="1"/>
        <cfvo type="num" val="1.05"/>
      </iconSet>
    </cfRule>
  </conditionalFormatting>
  <conditionalFormatting sqref="Q135">
    <cfRule type="iconSet" priority="2632">
      <iconSet iconSet="3Symbols" showValue="0" reverse="1">
        <cfvo type="percent" val="0"/>
        <cfvo type="num" val="1"/>
        <cfvo type="num" val="1.05"/>
      </iconSet>
    </cfRule>
  </conditionalFormatting>
  <conditionalFormatting sqref="N135">
    <cfRule type="cellIs" dxfId="2303" priority="2630" operator="lessThan">
      <formula>0</formula>
    </cfRule>
    <cfRule type="cellIs" dxfId="2302" priority="2631" operator="greaterThan">
      <formula>0</formula>
    </cfRule>
  </conditionalFormatting>
  <conditionalFormatting sqref="F135">
    <cfRule type="cellIs" dxfId="2301" priority="2628" operator="lessThan">
      <formula>0</formula>
    </cfRule>
    <cfRule type="cellIs" dxfId="2300" priority="2629" operator="greaterThan">
      <formula>0</formula>
    </cfRule>
  </conditionalFormatting>
  <conditionalFormatting sqref="U135">
    <cfRule type="iconSet" priority="2633">
      <iconSet iconSet="3Symbols" showValue="0" reverse="1">
        <cfvo type="percent" val="0"/>
        <cfvo type="num" val="1"/>
        <cfvo type="num" val="1.05"/>
      </iconSet>
    </cfRule>
  </conditionalFormatting>
  <conditionalFormatting sqref="P135">
    <cfRule type="iconSet" priority="2634">
      <iconSet iconSet="3Symbols" showValue="0" reverse="1">
        <cfvo type="percent" val="0"/>
        <cfvo type="num" val="1"/>
        <cfvo type="num" val="1.05"/>
      </iconSet>
    </cfRule>
  </conditionalFormatting>
  <conditionalFormatting sqref="Q134">
    <cfRule type="iconSet" priority="2625">
      <iconSet iconSet="3Symbols" showValue="0" reverse="1">
        <cfvo type="percent" val="0"/>
        <cfvo type="num" val="1"/>
        <cfvo type="num" val="1.05"/>
      </iconSet>
    </cfRule>
  </conditionalFormatting>
  <conditionalFormatting sqref="N134">
    <cfRule type="cellIs" dxfId="2299" priority="2623" operator="lessThan">
      <formula>0</formula>
    </cfRule>
    <cfRule type="cellIs" dxfId="2298" priority="2624" operator="greaterThan">
      <formula>0</formula>
    </cfRule>
  </conditionalFormatting>
  <conditionalFormatting sqref="F134">
    <cfRule type="cellIs" dxfId="2297" priority="2621" operator="lessThan">
      <formula>0</formula>
    </cfRule>
    <cfRule type="cellIs" dxfId="2296" priority="2622" operator="greaterThan">
      <formula>0</formula>
    </cfRule>
  </conditionalFormatting>
  <conditionalFormatting sqref="U134">
    <cfRule type="iconSet" priority="2626">
      <iconSet iconSet="3Symbols" showValue="0" reverse="1">
        <cfvo type="percent" val="0"/>
        <cfvo type="num" val="1"/>
        <cfvo type="num" val="1.05"/>
      </iconSet>
    </cfRule>
  </conditionalFormatting>
  <conditionalFormatting sqref="P134">
    <cfRule type="iconSet" priority="2627">
      <iconSet iconSet="3Symbols" showValue="0" reverse="1">
        <cfvo type="percent" val="0"/>
        <cfvo type="num" val="1"/>
        <cfvo type="num" val="1.05"/>
      </iconSet>
    </cfRule>
  </conditionalFormatting>
  <conditionalFormatting sqref="Q133">
    <cfRule type="iconSet" priority="2618">
      <iconSet iconSet="3Symbols" showValue="0" reverse="1">
        <cfvo type="percent" val="0"/>
        <cfvo type="num" val="1"/>
        <cfvo type="num" val="1.05"/>
      </iconSet>
    </cfRule>
  </conditionalFormatting>
  <conditionalFormatting sqref="N133">
    <cfRule type="cellIs" dxfId="2295" priority="2616" operator="lessThan">
      <formula>0</formula>
    </cfRule>
    <cfRule type="cellIs" dxfId="2294" priority="2617" operator="greaterThan">
      <formula>0</formula>
    </cfRule>
  </conditionalFormatting>
  <conditionalFormatting sqref="F133">
    <cfRule type="cellIs" dxfId="2293" priority="2614" operator="lessThan">
      <formula>0</formula>
    </cfRule>
    <cfRule type="cellIs" dxfId="2292" priority="2615" operator="greaterThan">
      <formula>0</formula>
    </cfRule>
  </conditionalFormatting>
  <conditionalFormatting sqref="U133">
    <cfRule type="iconSet" priority="2619">
      <iconSet iconSet="3Symbols" showValue="0" reverse="1">
        <cfvo type="percent" val="0"/>
        <cfvo type="num" val="1"/>
        <cfvo type="num" val="1.05"/>
      </iconSet>
    </cfRule>
  </conditionalFormatting>
  <conditionalFormatting sqref="P133">
    <cfRule type="iconSet" priority="2620">
      <iconSet iconSet="3Symbols" showValue="0" reverse="1">
        <cfvo type="percent" val="0"/>
        <cfvo type="num" val="1"/>
        <cfvo type="num" val="1.05"/>
      </iconSet>
    </cfRule>
  </conditionalFormatting>
  <conditionalFormatting sqref="Q131:Q132">
    <cfRule type="iconSet" priority="2611">
      <iconSet iconSet="3Symbols" showValue="0" reverse="1">
        <cfvo type="percent" val="0"/>
        <cfvo type="num" val="1"/>
        <cfvo type="num" val="1.05"/>
      </iconSet>
    </cfRule>
  </conditionalFormatting>
  <conditionalFormatting sqref="N131:N132">
    <cfRule type="cellIs" dxfId="2291" priority="2609" operator="lessThan">
      <formula>0</formula>
    </cfRule>
    <cfRule type="cellIs" dxfId="2290" priority="2610" operator="greaterThan">
      <formula>0</formula>
    </cfRule>
  </conditionalFormatting>
  <conditionalFormatting sqref="F131:F132">
    <cfRule type="cellIs" dxfId="2289" priority="2607" operator="lessThan">
      <formula>0</formula>
    </cfRule>
    <cfRule type="cellIs" dxfId="2288" priority="2608" operator="greaterThan">
      <formula>0</formula>
    </cfRule>
  </conditionalFormatting>
  <conditionalFormatting sqref="U131:U132">
    <cfRule type="iconSet" priority="2612">
      <iconSet iconSet="3Symbols" showValue="0" reverse="1">
        <cfvo type="percent" val="0"/>
        <cfvo type="num" val="1"/>
        <cfvo type="num" val="1.05"/>
      </iconSet>
    </cfRule>
  </conditionalFormatting>
  <conditionalFormatting sqref="P131:P132">
    <cfRule type="iconSet" priority="2613">
      <iconSet iconSet="3Symbols" showValue="0" reverse="1">
        <cfvo type="percent" val="0"/>
        <cfvo type="num" val="1"/>
        <cfvo type="num" val="1.05"/>
      </iconSet>
    </cfRule>
  </conditionalFormatting>
  <conditionalFormatting sqref="Q130">
    <cfRule type="iconSet" priority="2604">
      <iconSet iconSet="3Symbols" showValue="0" reverse="1">
        <cfvo type="percent" val="0"/>
        <cfvo type="num" val="1"/>
        <cfvo type="num" val="1.05"/>
      </iconSet>
    </cfRule>
  </conditionalFormatting>
  <conditionalFormatting sqref="N130">
    <cfRule type="cellIs" dxfId="2287" priority="2602" operator="lessThan">
      <formula>0</formula>
    </cfRule>
    <cfRule type="cellIs" dxfId="2286" priority="2603" operator="greaterThan">
      <formula>0</formula>
    </cfRule>
  </conditionalFormatting>
  <conditionalFormatting sqref="F130">
    <cfRule type="cellIs" dxfId="2285" priority="2600" operator="lessThan">
      <formula>0</formula>
    </cfRule>
    <cfRule type="cellIs" dxfId="2284" priority="2601" operator="greaterThan">
      <formula>0</formula>
    </cfRule>
  </conditionalFormatting>
  <conditionalFormatting sqref="U130">
    <cfRule type="iconSet" priority="2605">
      <iconSet iconSet="3Symbols" showValue="0" reverse="1">
        <cfvo type="percent" val="0"/>
        <cfvo type="num" val="1"/>
        <cfvo type="num" val="1.05"/>
      </iconSet>
    </cfRule>
  </conditionalFormatting>
  <conditionalFormatting sqref="P130">
    <cfRule type="iconSet" priority="2606">
      <iconSet iconSet="3Symbols" showValue="0" reverse="1">
        <cfvo type="percent" val="0"/>
        <cfvo type="num" val="1"/>
        <cfvo type="num" val="1.05"/>
      </iconSet>
    </cfRule>
  </conditionalFormatting>
  <conditionalFormatting sqref="Q129">
    <cfRule type="iconSet" priority="2597">
      <iconSet iconSet="3Symbols" showValue="0" reverse="1">
        <cfvo type="percent" val="0"/>
        <cfvo type="num" val="1"/>
        <cfvo type="num" val="1.05"/>
      </iconSet>
    </cfRule>
  </conditionalFormatting>
  <conditionalFormatting sqref="N129">
    <cfRule type="cellIs" dxfId="2283" priority="2595" operator="lessThan">
      <formula>0</formula>
    </cfRule>
    <cfRule type="cellIs" dxfId="2282" priority="2596" operator="greaterThan">
      <formula>0</formula>
    </cfRule>
  </conditionalFormatting>
  <conditionalFormatting sqref="F129">
    <cfRule type="cellIs" dxfId="2281" priority="2593" operator="lessThan">
      <formula>0</formula>
    </cfRule>
    <cfRule type="cellIs" dxfId="2280" priority="2594" operator="greaterThan">
      <formula>0</formula>
    </cfRule>
  </conditionalFormatting>
  <conditionalFormatting sqref="U129">
    <cfRule type="iconSet" priority="2598">
      <iconSet iconSet="3Symbols" showValue="0" reverse="1">
        <cfvo type="percent" val="0"/>
        <cfvo type="num" val="1"/>
        <cfvo type="num" val="1.05"/>
      </iconSet>
    </cfRule>
  </conditionalFormatting>
  <conditionalFormatting sqref="P129">
    <cfRule type="iconSet" priority="2599">
      <iconSet iconSet="3Symbols" showValue="0" reverse="1">
        <cfvo type="percent" val="0"/>
        <cfvo type="num" val="1"/>
        <cfvo type="num" val="1.05"/>
      </iconSet>
    </cfRule>
  </conditionalFormatting>
  <conditionalFormatting sqref="Q128">
    <cfRule type="iconSet" priority="2590">
      <iconSet iconSet="3Symbols" showValue="0" reverse="1">
        <cfvo type="percent" val="0"/>
        <cfvo type="num" val="1"/>
        <cfvo type="num" val="1.05"/>
      </iconSet>
    </cfRule>
  </conditionalFormatting>
  <conditionalFormatting sqref="N128">
    <cfRule type="cellIs" dxfId="2279" priority="2588" operator="lessThan">
      <formula>0</formula>
    </cfRule>
    <cfRule type="cellIs" dxfId="2278" priority="2589" operator="greaterThan">
      <formula>0</formula>
    </cfRule>
  </conditionalFormatting>
  <conditionalFormatting sqref="F128">
    <cfRule type="cellIs" dxfId="2277" priority="2586" operator="lessThan">
      <formula>0</formula>
    </cfRule>
    <cfRule type="cellIs" dxfId="2276" priority="2587" operator="greaterThan">
      <formula>0</formula>
    </cfRule>
  </conditionalFormatting>
  <conditionalFormatting sqref="U128">
    <cfRule type="iconSet" priority="2591">
      <iconSet iconSet="3Symbols" showValue="0" reverse="1">
        <cfvo type="percent" val="0"/>
        <cfvo type="num" val="1"/>
        <cfvo type="num" val="1.05"/>
      </iconSet>
    </cfRule>
  </conditionalFormatting>
  <conditionalFormatting sqref="P128">
    <cfRule type="iconSet" priority="2592">
      <iconSet iconSet="3Symbols" showValue="0" reverse="1">
        <cfvo type="percent" val="0"/>
        <cfvo type="num" val="1"/>
        <cfvo type="num" val="1.05"/>
      </iconSet>
    </cfRule>
  </conditionalFormatting>
  <conditionalFormatting sqref="Q127">
    <cfRule type="iconSet" priority="2583">
      <iconSet iconSet="3Symbols" showValue="0" reverse="1">
        <cfvo type="percent" val="0"/>
        <cfvo type="num" val="1"/>
        <cfvo type="num" val="1.05"/>
      </iconSet>
    </cfRule>
  </conditionalFormatting>
  <conditionalFormatting sqref="N127">
    <cfRule type="cellIs" dxfId="2275" priority="2581" operator="lessThan">
      <formula>0</formula>
    </cfRule>
    <cfRule type="cellIs" dxfId="2274" priority="2582" operator="greaterThan">
      <formula>0</formula>
    </cfRule>
  </conditionalFormatting>
  <conditionalFormatting sqref="F127">
    <cfRule type="cellIs" dxfId="2273" priority="2579" operator="lessThan">
      <formula>0</formula>
    </cfRule>
    <cfRule type="cellIs" dxfId="2272" priority="2580" operator="greaterThan">
      <formula>0</formula>
    </cfRule>
  </conditionalFormatting>
  <conditionalFormatting sqref="U127">
    <cfRule type="iconSet" priority="2584">
      <iconSet iconSet="3Symbols" showValue="0" reverse="1">
        <cfvo type="percent" val="0"/>
        <cfvo type="num" val="1"/>
        <cfvo type="num" val="1.05"/>
      </iconSet>
    </cfRule>
  </conditionalFormatting>
  <conditionalFormatting sqref="P127">
    <cfRule type="iconSet" priority="2585">
      <iconSet iconSet="3Symbols" showValue="0" reverse="1">
        <cfvo type="percent" val="0"/>
        <cfvo type="num" val="1"/>
        <cfvo type="num" val="1.05"/>
      </iconSet>
    </cfRule>
  </conditionalFormatting>
  <conditionalFormatting sqref="Q126">
    <cfRule type="iconSet" priority="2576">
      <iconSet iconSet="3Symbols" showValue="0" reverse="1">
        <cfvo type="percent" val="0"/>
        <cfvo type="num" val="1"/>
        <cfvo type="num" val="1.05"/>
      </iconSet>
    </cfRule>
  </conditionalFormatting>
  <conditionalFormatting sqref="N126">
    <cfRule type="cellIs" dxfId="2271" priority="2574" operator="lessThan">
      <formula>0</formula>
    </cfRule>
    <cfRule type="cellIs" dxfId="2270" priority="2575" operator="greaterThan">
      <formula>0</formula>
    </cfRule>
  </conditionalFormatting>
  <conditionalFormatting sqref="F126">
    <cfRule type="cellIs" dxfId="2269" priority="2572" operator="lessThan">
      <formula>0</formula>
    </cfRule>
    <cfRule type="cellIs" dxfId="2268" priority="2573" operator="greaterThan">
      <formula>0</formula>
    </cfRule>
  </conditionalFormatting>
  <conditionalFormatting sqref="U126">
    <cfRule type="iconSet" priority="2577">
      <iconSet iconSet="3Symbols" showValue="0" reverse="1">
        <cfvo type="percent" val="0"/>
        <cfvo type="num" val="1"/>
        <cfvo type="num" val="1.05"/>
      </iconSet>
    </cfRule>
  </conditionalFormatting>
  <conditionalFormatting sqref="P126">
    <cfRule type="iconSet" priority="2578">
      <iconSet iconSet="3Symbols" showValue="0" reverse="1">
        <cfvo type="percent" val="0"/>
        <cfvo type="num" val="1"/>
        <cfvo type="num" val="1.05"/>
      </iconSet>
    </cfRule>
  </conditionalFormatting>
  <conditionalFormatting sqref="Q125">
    <cfRule type="iconSet" priority="2569">
      <iconSet iconSet="3Symbols" showValue="0" reverse="1">
        <cfvo type="percent" val="0"/>
        <cfvo type="num" val="1"/>
        <cfvo type="num" val="1.05"/>
      </iconSet>
    </cfRule>
  </conditionalFormatting>
  <conditionalFormatting sqref="N125">
    <cfRule type="cellIs" dxfId="2267" priority="2567" operator="lessThan">
      <formula>0</formula>
    </cfRule>
    <cfRule type="cellIs" dxfId="2266" priority="2568" operator="greaterThan">
      <formula>0</formula>
    </cfRule>
  </conditionalFormatting>
  <conditionalFormatting sqref="F125">
    <cfRule type="cellIs" dxfId="2265" priority="2565" operator="lessThan">
      <formula>0</formula>
    </cfRule>
    <cfRule type="cellIs" dxfId="2264" priority="2566" operator="greaterThan">
      <formula>0</formula>
    </cfRule>
  </conditionalFormatting>
  <conditionalFormatting sqref="U125">
    <cfRule type="iconSet" priority="2570">
      <iconSet iconSet="3Symbols" showValue="0" reverse="1">
        <cfvo type="percent" val="0"/>
        <cfvo type="num" val="1"/>
        <cfvo type="num" val="1.05"/>
      </iconSet>
    </cfRule>
  </conditionalFormatting>
  <conditionalFormatting sqref="P125">
    <cfRule type="iconSet" priority="2571">
      <iconSet iconSet="3Symbols" showValue="0" reverse="1">
        <cfvo type="percent" val="0"/>
        <cfvo type="num" val="1"/>
        <cfvo type="num" val="1.05"/>
      </iconSet>
    </cfRule>
  </conditionalFormatting>
  <conditionalFormatting sqref="Q124">
    <cfRule type="iconSet" priority="2562">
      <iconSet iconSet="3Symbols" showValue="0" reverse="1">
        <cfvo type="percent" val="0"/>
        <cfvo type="num" val="1"/>
        <cfvo type="num" val="1.05"/>
      </iconSet>
    </cfRule>
  </conditionalFormatting>
  <conditionalFormatting sqref="N124">
    <cfRule type="cellIs" dxfId="2263" priority="2560" operator="lessThan">
      <formula>0</formula>
    </cfRule>
    <cfRule type="cellIs" dxfId="2262" priority="2561" operator="greaterThan">
      <formula>0</formula>
    </cfRule>
  </conditionalFormatting>
  <conditionalFormatting sqref="F124">
    <cfRule type="cellIs" dxfId="2261" priority="2558" operator="lessThan">
      <formula>0</formula>
    </cfRule>
    <cfRule type="cellIs" dxfId="2260" priority="2559" operator="greaterThan">
      <formula>0</formula>
    </cfRule>
  </conditionalFormatting>
  <conditionalFormatting sqref="U124">
    <cfRule type="iconSet" priority="2563">
      <iconSet iconSet="3Symbols" showValue="0" reverse="1">
        <cfvo type="percent" val="0"/>
        <cfvo type="num" val="1"/>
        <cfvo type="num" val="1.05"/>
      </iconSet>
    </cfRule>
  </conditionalFormatting>
  <conditionalFormatting sqref="P124">
    <cfRule type="iconSet" priority="2564">
      <iconSet iconSet="3Symbols" showValue="0" reverse="1">
        <cfvo type="percent" val="0"/>
        <cfvo type="num" val="1"/>
        <cfvo type="num" val="1.05"/>
      </iconSet>
    </cfRule>
  </conditionalFormatting>
  <conditionalFormatting sqref="Q123">
    <cfRule type="iconSet" priority="2555">
      <iconSet iconSet="3Symbols" showValue="0" reverse="1">
        <cfvo type="percent" val="0"/>
        <cfvo type="num" val="1"/>
        <cfvo type="num" val="1.05"/>
      </iconSet>
    </cfRule>
  </conditionalFormatting>
  <conditionalFormatting sqref="N123">
    <cfRule type="cellIs" dxfId="2259" priority="2553" operator="lessThan">
      <formula>0</formula>
    </cfRule>
    <cfRule type="cellIs" dxfId="2258" priority="2554" operator="greaterThan">
      <formula>0</formula>
    </cfRule>
  </conditionalFormatting>
  <conditionalFormatting sqref="F123">
    <cfRule type="cellIs" dxfId="2257" priority="2551" operator="lessThan">
      <formula>0</formula>
    </cfRule>
    <cfRule type="cellIs" dxfId="2256" priority="2552" operator="greaterThan">
      <formula>0</formula>
    </cfRule>
  </conditionalFormatting>
  <conditionalFormatting sqref="U123">
    <cfRule type="iconSet" priority="2556">
      <iconSet iconSet="3Symbols" showValue="0" reverse="1">
        <cfvo type="percent" val="0"/>
        <cfvo type="num" val="1"/>
        <cfvo type="num" val="1.05"/>
      </iconSet>
    </cfRule>
  </conditionalFormatting>
  <conditionalFormatting sqref="P123">
    <cfRule type="iconSet" priority="2557">
      <iconSet iconSet="3Symbols" showValue="0" reverse="1">
        <cfvo type="percent" val="0"/>
        <cfvo type="num" val="1"/>
        <cfvo type="num" val="1.05"/>
      </iconSet>
    </cfRule>
  </conditionalFormatting>
  <conditionalFormatting sqref="Q122">
    <cfRule type="iconSet" priority="2548">
      <iconSet iconSet="3Symbols" showValue="0" reverse="1">
        <cfvo type="percent" val="0"/>
        <cfvo type="num" val="1"/>
        <cfvo type="num" val="1.05"/>
      </iconSet>
    </cfRule>
  </conditionalFormatting>
  <conditionalFormatting sqref="N122">
    <cfRule type="cellIs" dxfId="2255" priority="2546" operator="lessThan">
      <formula>0</formula>
    </cfRule>
    <cfRule type="cellIs" dxfId="2254" priority="2547" operator="greaterThan">
      <formula>0</formula>
    </cfRule>
  </conditionalFormatting>
  <conditionalFormatting sqref="F122">
    <cfRule type="cellIs" dxfId="2253" priority="2544" operator="lessThan">
      <formula>0</formula>
    </cfRule>
    <cfRule type="cellIs" dxfId="2252" priority="2545" operator="greaterThan">
      <formula>0</formula>
    </cfRule>
  </conditionalFormatting>
  <conditionalFormatting sqref="U122">
    <cfRule type="iconSet" priority="2549">
      <iconSet iconSet="3Symbols" showValue="0" reverse="1">
        <cfvo type="percent" val="0"/>
        <cfvo type="num" val="1"/>
        <cfvo type="num" val="1.05"/>
      </iconSet>
    </cfRule>
  </conditionalFormatting>
  <conditionalFormatting sqref="P122">
    <cfRule type="iconSet" priority="2550">
      <iconSet iconSet="3Symbols" showValue="0" reverse="1">
        <cfvo type="percent" val="0"/>
        <cfvo type="num" val="1"/>
        <cfvo type="num" val="1.05"/>
      </iconSet>
    </cfRule>
  </conditionalFormatting>
  <conditionalFormatting sqref="Q121">
    <cfRule type="iconSet" priority="2541">
      <iconSet iconSet="3Symbols" showValue="0" reverse="1">
        <cfvo type="percent" val="0"/>
        <cfvo type="num" val="1"/>
        <cfvo type="num" val="1.05"/>
      </iconSet>
    </cfRule>
  </conditionalFormatting>
  <conditionalFormatting sqref="N121">
    <cfRule type="cellIs" dxfId="2251" priority="2539" operator="lessThan">
      <formula>0</formula>
    </cfRule>
    <cfRule type="cellIs" dxfId="2250" priority="2540" operator="greaterThan">
      <formula>0</formula>
    </cfRule>
  </conditionalFormatting>
  <conditionalFormatting sqref="F121">
    <cfRule type="cellIs" dxfId="2249" priority="2537" operator="lessThan">
      <formula>0</formula>
    </cfRule>
    <cfRule type="cellIs" dxfId="2248" priority="2538" operator="greaterThan">
      <formula>0</formula>
    </cfRule>
  </conditionalFormatting>
  <conditionalFormatting sqref="U121">
    <cfRule type="iconSet" priority="2542">
      <iconSet iconSet="3Symbols" showValue="0" reverse="1">
        <cfvo type="percent" val="0"/>
        <cfvo type="num" val="1"/>
        <cfvo type="num" val="1.05"/>
      </iconSet>
    </cfRule>
  </conditionalFormatting>
  <conditionalFormatting sqref="P121">
    <cfRule type="iconSet" priority="2543">
      <iconSet iconSet="3Symbols" showValue="0" reverse="1">
        <cfvo type="percent" val="0"/>
        <cfvo type="num" val="1"/>
        <cfvo type="num" val="1.05"/>
      </iconSet>
    </cfRule>
  </conditionalFormatting>
  <conditionalFormatting sqref="Q120">
    <cfRule type="iconSet" priority="2534">
      <iconSet iconSet="3Symbols" showValue="0" reverse="1">
        <cfvo type="percent" val="0"/>
        <cfvo type="num" val="1"/>
        <cfvo type="num" val="1.05"/>
      </iconSet>
    </cfRule>
  </conditionalFormatting>
  <conditionalFormatting sqref="N120">
    <cfRule type="cellIs" dxfId="2247" priority="2532" operator="lessThan">
      <formula>0</formula>
    </cfRule>
    <cfRule type="cellIs" dxfId="2246" priority="2533" operator="greaterThan">
      <formula>0</formula>
    </cfRule>
  </conditionalFormatting>
  <conditionalFormatting sqref="F120">
    <cfRule type="cellIs" dxfId="2245" priority="2530" operator="lessThan">
      <formula>0</formula>
    </cfRule>
    <cfRule type="cellIs" dxfId="2244" priority="2531" operator="greaterThan">
      <formula>0</formula>
    </cfRule>
  </conditionalFormatting>
  <conditionalFormatting sqref="U120">
    <cfRule type="iconSet" priority="2535">
      <iconSet iconSet="3Symbols" showValue="0" reverse="1">
        <cfvo type="percent" val="0"/>
        <cfvo type="num" val="1"/>
        <cfvo type="num" val="1.05"/>
      </iconSet>
    </cfRule>
  </conditionalFormatting>
  <conditionalFormatting sqref="P120">
    <cfRule type="iconSet" priority="2536">
      <iconSet iconSet="3Symbols" showValue="0" reverse="1">
        <cfvo type="percent" val="0"/>
        <cfvo type="num" val="1"/>
        <cfvo type="num" val="1.05"/>
      </iconSet>
    </cfRule>
  </conditionalFormatting>
  <conditionalFormatting sqref="Q118:Q119">
    <cfRule type="iconSet" priority="2527">
      <iconSet iconSet="3Symbols" showValue="0" reverse="1">
        <cfvo type="percent" val="0"/>
        <cfvo type="num" val="1"/>
        <cfvo type="num" val="1.05"/>
      </iconSet>
    </cfRule>
  </conditionalFormatting>
  <conditionalFormatting sqref="N118:N119">
    <cfRule type="cellIs" dxfId="2243" priority="2525" operator="lessThan">
      <formula>0</formula>
    </cfRule>
    <cfRule type="cellIs" dxfId="2242" priority="2526" operator="greaterThan">
      <formula>0</formula>
    </cfRule>
  </conditionalFormatting>
  <conditionalFormatting sqref="F118:F119">
    <cfRule type="cellIs" dxfId="2241" priority="2523" operator="lessThan">
      <formula>0</formula>
    </cfRule>
    <cfRule type="cellIs" dxfId="2240" priority="2524" operator="greaterThan">
      <formula>0</formula>
    </cfRule>
  </conditionalFormatting>
  <conditionalFormatting sqref="U118:U119">
    <cfRule type="iconSet" priority="2528">
      <iconSet iconSet="3Symbols" showValue="0" reverse="1">
        <cfvo type="percent" val="0"/>
        <cfvo type="num" val="1"/>
        <cfvo type="num" val="1.05"/>
      </iconSet>
    </cfRule>
  </conditionalFormatting>
  <conditionalFormatting sqref="P118:P119">
    <cfRule type="iconSet" priority="2529">
      <iconSet iconSet="3Symbols" showValue="0" reverse="1">
        <cfvo type="percent" val="0"/>
        <cfvo type="num" val="1"/>
        <cfvo type="num" val="1.05"/>
      </iconSet>
    </cfRule>
  </conditionalFormatting>
  <conditionalFormatting sqref="Q117">
    <cfRule type="iconSet" priority="2520">
      <iconSet iconSet="3Symbols" showValue="0" reverse="1">
        <cfvo type="percent" val="0"/>
        <cfvo type="num" val="1"/>
        <cfvo type="num" val="1.05"/>
      </iconSet>
    </cfRule>
  </conditionalFormatting>
  <conditionalFormatting sqref="N117">
    <cfRule type="cellIs" dxfId="2239" priority="2518" operator="lessThan">
      <formula>0</formula>
    </cfRule>
    <cfRule type="cellIs" dxfId="2238" priority="2519" operator="greaterThan">
      <formula>0</formula>
    </cfRule>
  </conditionalFormatting>
  <conditionalFormatting sqref="F117">
    <cfRule type="cellIs" dxfId="2237" priority="2516" operator="lessThan">
      <formula>0</formula>
    </cfRule>
    <cfRule type="cellIs" dxfId="2236" priority="2517" operator="greaterThan">
      <formula>0</formula>
    </cfRule>
  </conditionalFormatting>
  <conditionalFormatting sqref="U117">
    <cfRule type="iconSet" priority="2521">
      <iconSet iconSet="3Symbols" showValue="0" reverse="1">
        <cfvo type="percent" val="0"/>
        <cfvo type="num" val="1"/>
        <cfvo type="num" val="1.05"/>
      </iconSet>
    </cfRule>
  </conditionalFormatting>
  <conditionalFormatting sqref="P117">
    <cfRule type="iconSet" priority="2522">
      <iconSet iconSet="3Symbols" showValue="0" reverse="1">
        <cfvo type="percent" val="0"/>
        <cfvo type="num" val="1"/>
        <cfvo type="num" val="1.05"/>
      </iconSet>
    </cfRule>
  </conditionalFormatting>
  <conditionalFormatting sqref="Q116">
    <cfRule type="iconSet" priority="2513">
      <iconSet iconSet="3Symbols" showValue="0" reverse="1">
        <cfvo type="percent" val="0"/>
        <cfvo type="num" val="1"/>
        <cfvo type="num" val="1.05"/>
      </iconSet>
    </cfRule>
  </conditionalFormatting>
  <conditionalFormatting sqref="N116">
    <cfRule type="cellIs" dxfId="2235" priority="2511" operator="lessThan">
      <formula>0</formula>
    </cfRule>
    <cfRule type="cellIs" dxfId="2234" priority="2512" operator="greaterThan">
      <formula>0</formula>
    </cfRule>
  </conditionalFormatting>
  <conditionalFormatting sqref="F116">
    <cfRule type="cellIs" dxfId="2233" priority="2509" operator="lessThan">
      <formula>0</formula>
    </cfRule>
    <cfRule type="cellIs" dxfId="2232" priority="2510" operator="greaterThan">
      <formula>0</formula>
    </cfRule>
  </conditionalFormatting>
  <conditionalFormatting sqref="U116">
    <cfRule type="iconSet" priority="2514">
      <iconSet iconSet="3Symbols" showValue="0" reverse="1">
        <cfvo type="percent" val="0"/>
        <cfvo type="num" val="1"/>
        <cfvo type="num" val="1.05"/>
      </iconSet>
    </cfRule>
  </conditionalFormatting>
  <conditionalFormatting sqref="P116">
    <cfRule type="iconSet" priority="2515">
      <iconSet iconSet="3Symbols" showValue="0" reverse="1">
        <cfvo type="percent" val="0"/>
        <cfvo type="num" val="1"/>
        <cfvo type="num" val="1.05"/>
      </iconSet>
    </cfRule>
  </conditionalFormatting>
  <conditionalFormatting sqref="Q115">
    <cfRule type="iconSet" priority="2506">
      <iconSet iconSet="3Symbols" showValue="0" reverse="1">
        <cfvo type="percent" val="0"/>
        <cfvo type="num" val="1"/>
        <cfvo type="num" val="1.05"/>
      </iconSet>
    </cfRule>
  </conditionalFormatting>
  <conditionalFormatting sqref="N115">
    <cfRule type="cellIs" dxfId="2231" priority="2504" operator="lessThan">
      <formula>0</formula>
    </cfRule>
    <cfRule type="cellIs" dxfId="2230" priority="2505" operator="greaterThan">
      <formula>0</formula>
    </cfRule>
  </conditionalFormatting>
  <conditionalFormatting sqref="F115">
    <cfRule type="cellIs" dxfId="2229" priority="2502" operator="lessThan">
      <formula>0</formula>
    </cfRule>
    <cfRule type="cellIs" dxfId="2228" priority="2503" operator="greaterThan">
      <formula>0</formula>
    </cfRule>
  </conditionalFormatting>
  <conditionalFormatting sqref="U115">
    <cfRule type="iconSet" priority="2507">
      <iconSet iconSet="3Symbols" showValue="0" reverse="1">
        <cfvo type="percent" val="0"/>
        <cfvo type="num" val="1"/>
        <cfvo type="num" val="1.05"/>
      </iconSet>
    </cfRule>
  </conditionalFormatting>
  <conditionalFormatting sqref="P115">
    <cfRule type="iconSet" priority="2508">
      <iconSet iconSet="3Symbols" showValue="0" reverse="1">
        <cfvo type="percent" val="0"/>
        <cfvo type="num" val="1"/>
        <cfvo type="num" val="1.05"/>
      </iconSet>
    </cfRule>
  </conditionalFormatting>
  <conditionalFormatting sqref="Q114">
    <cfRule type="iconSet" priority="2499">
      <iconSet iconSet="3Symbols" showValue="0" reverse="1">
        <cfvo type="percent" val="0"/>
        <cfvo type="num" val="1"/>
        <cfvo type="num" val="1.05"/>
      </iconSet>
    </cfRule>
  </conditionalFormatting>
  <conditionalFormatting sqref="N114">
    <cfRule type="cellIs" dxfId="2227" priority="2497" operator="lessThan">
      <formula>0</formula>
    </cfRule>
    <cfRule type="cellIs" dxfId="2226" priority="2498" operator="greaterThan">
      <formula>0</formula>
    </cfRule>
  </conditionalFormatting>
  <conditionalFormatting sqref="F114">
    <cfRule type="cellIs" dxfId="2225" priority="2495" operator="lessThan">
      <formula>0</formula>
    </cfRule>
    <cfRule type="cellIs" dxfId="2224" priority="2496" operator="greaterThan">
      <formula>0</formula>
    </cfRule>
  </conditionalFormatting>
  <conditionalFormatting sqref="U114">
    <cfRule type="iconSet" priority="2500">
      <iconSet iconSet="3Symbols" showValue="0" reverse="1">
        <cfvo type="percent" val="0"/>
        <cfvo type="num" val="1"/>
        <cfvo type="num" val="1.05"/>
      </iconSet>
    </cfRule>
  </conditionalFormatting>
  <conditionalFormatting sqref="P114">
    <cfRule type="iconSet" priority="2501">
      <iconSet iconSet="3Symbols" showValue="0" reverse="1">
        <cfvo type="percent" val="0"/>
        <cfvo type="num" val="1"/>
        <cfvo type="num" val="1.05"/>
      </iconSet>
    </cfRule>
  </conditionalFormatting>
  <conditionalFormatting sqref="Q113">
    <cfRule type="iconSet" priority="2492">
      <iconSet iconSet="3Symbols" showValue="0" reverse="1">
        <cfvo type="percent" val="0"/>
        <cfvo type="num" val="1"/>
        <cfvo type="num" val="1.05"/>
      </iconSet>
    </cfRule>
  </conditionalFormatting>
  <conditionalFormatting sqref="N113">
    <cfRule type="cellIs" dxfId="2223" priority="2490" operator="lessThan">
      <formula>0</formula>
    </cfRule>
    <cfRule type="cellIs" dxfId="2222" priority="2491" operator="greaterThan">
      <formula>0</formula>
    </cfRule>
  </conditionalFormatting>
  <conditionalFormatting sqref="F113">
    <cfRule type="cellIs" dxfId="2221" priority="2488" operator="lessThan">
      <formula>0</formula>
    </cfRule>
    <cfRule type="cellIs" dxfId="2220" priority="2489" operator="greaterThan">
      <formula>0</formula>
    </cfRule>
  </conditionalFormatting>
  <conditionalFormatting sqref="U113">
    <cfRule type="iconSet" priority="2493">
      <iconSet iconSet="3Symbols" showValue="0" reverse="1">
        <cfvo type="percent" val="0"/>
        <cfvo type="num" val="1"/>
        <cfvo type="num" val="1.05"/>
      </iconSet>
    </cfRule>
  </conditionalFormatting>
  <conditionalFormatting sqref="P113">
    <cfRule type="iconSet" priority="2494">
      <iconSet iconSet="3Symbols" showValue="0" reverse="1">
        <cfvo type="percent" val="0"/>
        <cfvo type="num" val="1"/>
        <cfvo type="num" val="1.05"/>
      </iconSet>
    </cfRule>
  </conditionalFormatting>
  <conditionalFormatting sqref="Q112">
    <cfRule type="iconSet" priority="2485">
      <iconSet iconSet="3Symbols" showValue="0" reverse="1">
        <cfvo type="percent" val="0"/>
        <cfvo type="num" val="1"/>
        <cfvo type="num" val="1.05"/>
      </iconSet>
    </cfRule>
  </conditionalFormatting>
  <conditionalFormatting sqref="N112">
    <cfRule type="cellIs" dxfId="2219" priority="2483" operator="lessThan">
      <formula>0</formula>
    </cfRule>
    <cfRule type="cellIs" dxfId="2218" priority="2484" operator="greaterThan">
      <formula>0</formula>
    </cfRule>
  </conditionalFormatting>
  <conditionalFormatting sqref="F112">
    <cfRule type="cellIs" dxfId="2217" priority="2481" operator="lessThan">
      <formula>0</formula>
    </cfRule>
    <cfRule type="cellIs" dxfId="2216" priority="2482" operator="greaterThan">
      <formula>0</formula>
    </cfRule>
  </conditionalFormatting>
  <conditionalFormatting sqref="U112">
    <cfRule type="iconSet" priority="2486">
      <iconSet iconSet="3Symbols" showValue="0" reverse="1">
        <cfvo type="percent" val="0"/>
        <cfvo type="num" val="1"/>
        <cfvo type="num" val="1.05"/>
      </iconSet>
    </cfRule>
  </conditionalFormatting>
  <conditionalFormatting sqref="P112">
    <cfRule type="iconSet" priority="2487">
      <iconSet iconSet="3Symbols" showValue="0" reverse="1">
        <cfvo type="percent" val="0"/>
        <cfvo type="num" val="1"/>
        <cfvo type="num" val="1.05"/>
      </iconSet>
    </cfRule>
  </conditionalFormatting>
  <conditionalFormatting sqref="Q111">
    <cfRule type="iconSet" priority="2478">
      <iconSet iconSet="3Symbols" showValue="0" reverse="1">
        <cfvo type="percent" val="0"/>
        <cfvo type="num" val="1"/>
        <cfvo type="num" val="1.05"/>
      </iconSet>
    </cfRule>
  </conditionalFormatting>
  <conditionalFormatting sqref="N111">
    <cfRule type="cellIs" dxfId="2215" priority="2476" operator="lessThan">
      <formula>0</formula>
    </cfRule>
    <cfRule type="cellIs" dxfId="2214" priority="2477" operator="greaterThan">
      <formula>0</formula>
    </cfRule>
  </conditionalFormatting>
  <conditionalFormatting sqref="F111">
    <cfRule type="cellIs" dxfId="2213" priority="2474" operator="lessThan">
      <formula>0</formula>
    </cfRule>
    <cfRule type="cellIs" dxfId="2212" priority="2475" operator="greaterThan">
      <formula>0</formula>
    </cfRule>
  </conditionalFormatting>
  <conditionalFormatting sqref="U111">
    <cfRule type="iconSet" priority="2479">
      <iconSet iconSet="3Symbols" showValue="0" reverse="1">
        <cfvo type="percent" val="0"/>
        <cfvo type="num" val="1"/>
        <cfvo type="num" val="1.05"/>
      </iconSet>
    </cfRule>
  </conditionalFormatting>
  <conditionalFormatting sqref="P111">
    <cfRule type="iconSet" priority="2480">
      <iconSet iconSet="3Symbols" showValue="0" reverse="1">
        <cfvo type="percent" val="0"/>
        <cfvo type="num" val="1"/>
        <cfvo type="num" val="1.05"/>
      </iconSet>
    </cfRule>
  </conditionalFormatting>
  <conditionalFormatting sqref="Q110">
    <cfRule type="iconSet" priority="2471">
      <iconSet iconSet="3Symbols" showValue="0" reverse="1">
        <cfvo type="percent" val="0"/>
        <cfvo type="num" val="1"/>
        <cfvo type="num" val="1.05"/>
      </iconSet>
    </cfRule>
  </conditionalFormatting>
  <conditionalFormatting sqref="N110">
    <cfRule type="cellIs" dxfId="2211" priority="2469" operator="lessThan">
      <formula>0</formula>
    </cfRule>
    <cfRule type="cellIs" dxfId="2210" priority="2470" operator="greaterThan">
      <formula>0</formula>
    </cfRule>
  </conditionalFormatting>
  <conditionalFormatting sqref="F110">
    <cfRule type="cellIs" dxfId="2209" priority="2467" operator="lessThan">
      <formula>0</formula>
    </cfRule>
    <cfRule type="cellIs" dxfId="2208" priority="2468" operator="greaterThan">
      <formula>0</formula>
    </cfRule>
  </conditionalFormatting>
  <conditionalFormatting sqref="U110">
    <cfRule type="iconSet" priority="2472">
      <iconSet iconSet="3Symbols" showValue="0" reverse="1">
        <cfvo type="percent" val="0"/>
        <cfvo type="num" val="1"/>
        <cfvo type="num" val="1.05"/>
      </iconSet>
    </cfRule>
  </conditionalFormatting>
  <conditionalFormatting sqref="P110">
    <cfRule type="iconSet" priority="2473">
      <iconSet iconSet="3Symbols" showValue="0" reverse="1">
        <cfvo type="percent" val="0"/>
        <cfvo type="num" val="1"/>
        <cfvo type="num" val="1.05"/>
      </iconSet>
    </cfRule>
  </conditionalFormatting>
  <conditionalFormatting sqref="Q109">
    <cfRule type="iconSet" priority="2464">
      <iconSet iconSet="3Symbols" showValue="0" reverse="1">
        <cfvo type="percent" val="0"/>
        <cfvo type="num" val="1"/>
        <cfvo type="num" val="1.05"/>
      </iconSet>
    </cfRule>
  </conditionalFormatting>
  <conditionalFormatting sqref="N109">
    <cfRule type="cellIs" dxfId="2207" priority="2462" operator="lessThan">
      <formula>0</formula>
    </cfRule>
    <cfRule type="cellIs" dxfId="2206" priority="2463" operator="greaterThan">
      <formula>0</formula>
    </cfRule>
  </conditionalFormatting>
  <conditionalFormatting sqref="F109">
    <cfRule type="cellIs" dxfId="2205" priority="2460" operator="lessThan">
      <formula>0</formula>
    </cfRule>
    <cfRule type="cellIs" dxfId="2204" priority="2461" operator="greaterThan">
      <formula>0</formula>
    </cfRule>
  </conditionalFormatting>
  <conditionalFormatting sqref="U109">
    <cfRule type="iconSet" priority="2465">
      <iconSet iconSet="3Symbols" showValue="0" reverse="1">
        <cfvo type="percent" val="0"/>
        <cfvo type="num" val="1"/>
        <cfvo type="num" val="1.05"/>
      </iconSet>
    </cfRule>
  </conditionalFormatting>
  <conditionalFormatting sqref="P109">
    <cfRule type="iconSet" priority="2466">
      <iconSet iconSet="3Symbols" showValue="0" reverse="1">
        <cfvo type="percent" val="0"/>
        <cfvo type="num" val="1"/>
        <cfvo type="num" val="1.05"/>
      </iconSet>
    </cfRule>
  </conditionalFormatting>
  <conditionalFormatting sqref="Q108">
    <cfRule type="iconSet" priority="2457">
      <iconSet iconSet="3Symbols" showValue="0" reverse="1">
        <cfvo type="percent" val="0"/>
        <cfvo type="num" val="1"/>
        <cfvo type="num" val="1.05"/>
      </iconSet>
    </cfRule>
  </conditionalFormatting>
  <conditionalFormatting sqref="N108">
    <cfRule type="cellIs" dxfId="2203" priority="2455" operator="lessThan">
      <formula>0</formula>
    </cfRule>
    <cfRule type="cellIs" dxfId="2202" priority="2456" operator="greaterThan">
      <formula>0</formula>
    </cfRule>
  </conditionalFormatting>
  <conditionalFormatting sqref="F108">
    <cfRule type="cellIs" dxfId="2201" priority="2453" operator="lessThan">
      <formula>0</formula>
    </cfRule>
    <cfRule type="cellIs" dxfId="2200" priority="2454" operator="greaterThan">
      <formula>0</formula>
    </cfRule>
  </conditionalFormatting>
  <conditionalFormatting sqref="U108">
    <cfRule type="iconSet" priority="2458">
      <iconSet iconSet="3Symbols" showValue="0" reverse="1">
        <cfvo type="percent" val="0"/>
        <cfvo type="num" val="1"/>
        <cfvo type="num" val="1.05"/>
      </iconSet>
    </cfRule>
  </conditionalFormatting>
  <conditionalFormatting sqref="P108">
    <cfRule type="iconSet" priority="2459">
      <iconSet iconSet="3Symbols" showValue="0" reverse="1">
        <cfvo type="percent" val="0"/>
        <cfvo type="num" val="1"/>
        <cfvo type="num" val="1.05"/>
      </iconSet>
    </cfRule>
  </conditionalFormatting>
  <conditionalFormatting sqref="Q107">
    <cfRule type="iconSet" priority="2450">
      <iconSet iconSet="3Symbols" showValue="0" reverse="1">
        <cfvo type="percent" val="0"/>
        <cfvo type="num" val="1"/>
        <cfvo type="num" val="1.05"/>
      </iconSet>
    </cfRule>
  </conditionalFormatting>
  <conditionalFormatting sqref="N107">
    <cfRule type="cellIs" dxfId="2199" priority="2448" operator="lessThan">
      <formula>0</formula>
    </cfRule>
    <cfRule type="cellIs" dxfId="2198" priority="2449" operator="greaterThan">
      <formula>0</formula>
    </cfRule>
  </conditionalFormatting>
  <conditionalFormatting sqref="F107">
    <cfRule type="cellIs" dxfId="2197" priority="2446" operator="lessThan">
      <formula>0</formula>
    </cfRule>
    <cfRule type="cellIs" dxfId="2196" priority="2447" operator="greaterThan">
      <formula>0</formula>
    </cfRule>
  </conditionalFormatting>
  <conditionalFormatting sqref="U107">
    <cfRule type="iconSet" priority="2451">
      <iconSet iconSet="3Symbols" showValue="0" reverse="1">
        <cfvo type="percent" val="0"/>
        <cfvo type="num" val="1"/>
        <cfvo type="num" val="1.05"/>
      </iconSet>
    </cfRule>
  </conditionalFormatting>
  <conditionalFormatting sqref="P107">
    <cfRule type="iconSet" priority="2452">
      <iconSet iconSet="3Symbols" showValue="0" reverse="1">
        <cfvo type="percent" val="0"/>
        <cfvo type="num" val="1"/>
        <cfvo type="num" val="1.05"/>
      </iconSet>
    </cfRule>
  </conditionalFormatting>
  <conditionalFormatting sqref="Q105:Q106">
    <cfRule type="iconSet" priority="2443">
      <iconSet iconSet="3Symbols" showValue="0" reverse="1">
        <cfvo type="percent" val="0"/>
        <cfvo type="num" val="1"/>
        <cfvo type="num" val="1.05"/>
      </iconSet>
    </cfRule>
  </conditionalFormatting>
  <conditionalFormatting sqref="N105:N106">
    <cfRule type="cellIs" dxfId="2195" priority="2441" operator="lessThan">
      <formula>0</formula>
    </cfRule>
    <cfRule type="cellIs" dxfId="2194" priority="2442" operator="greaterThan">
      <formula>0</formula>
    </cfRule>
  </conditionalFormatting>
  <conditionalFormatting sqref="F105:F106">
    <cfRule type="cellIs" dxfId="2193" priority="2439" operator="lessThan">
      <formula>0</formula>
    </cfRule>
    <cfRule type="cellIs" dxfId="2192" priority="2440" operator="greaterThan">
      <formula>0</formula>
    </cfRule>
  </conditionalFormatting>
  <conditionalFormatting sqref="U105:U106">
    <cfRule type="iconSet" priority="2444">
      <iconSet iconSet="3Symbols" showValue="0" reverse="1">
        <cfvo type="percent" val="0"/>
        <cfvo type="num" val="1"/>
        <cfvo type="num" val="1.05"/>
      </iconSet>
    </cfRule>
  </conditionalFormatting>
  <conditionalFormatting sqref="P105:P106">
    <cfRule type="iconSet" priority="2445">
      <iconSet iconSet="3Symbols" showValue="0" reverse="1">
        <cfvo type="percent" val="0"/>
        <cfvo type="num" val="1"/>
        <cfvo type="num" val="1.05"/>
      </iconSet>
    </cfRule>
  </conditionalFormatting>
  <conditionalFormatting sqref="Q104">
    <cfRule type="iconSet" priority="2436">
      <iconSet iconSet="3Symbols" showValue="0" reverse="1">
        <cfvo type="percent" val="0"/>
        <cfvo type="num" val="1"/>
        <cfvo type="num" val="1.05"/>
      </iconSet>
    </cfRule>
  </conditionalFormatting>
  <conditionalFormatting sqref="N104">
    <cfRule type="cellIs" dxfId="2191" priority="2434" operator="lessThan">
      <formula>0</formula>
    </cfRule>
    <cfRule type="cellIs" dxfId="2190" priority="2435" operator="greaterThan">
      <formula>0</formula>
    </cfRule>
  </conditionalFormatting>
  <conditionalFormatting sqref="F104">
    <cfRule type="cellIs" dxfId="2189" priority="2432" operator="lessThan">
      <formula>0</formula>
    </cfRule>
    <cfRule type="cellIs" dxfId="2188" priority="2433" operator="greaterThan">
      <formula>0</formula>
    </cfRule>
  </conditionalFormatting>
  <conditionalFormatting sqref="U104">
    <cfRule type="iconSet" priority="2437">
      <iconSet iconSet="3Symbols" showValue="0" reverse="1">
        <cfvo type="percent" val="0"/>
        <cfvo type="num" val="1"/>
        <cfvo type="num" val="1.05"/>
      </iconSet>
    </cfRule>
  </conditionalFormatting>
  <conditionalFormatting sqref="P104">
    <cfRule type="iconSet" priority="2438">
      <iconSet iconSet="3Symbols" showValue="0" reverse="1">
        <cfvo type="percent" val="0"/>
        <cfvo type="num" val="1"/>
        <cfvo type="num" val="1.05"/>
      </iconSet>
    </cfRule>
  </conditionalFormatting>
  <conditionalFormatting sqref="Q103">
    <cfRule type="iconSet" priority="2429">
      <iconSet iconSet="3Symbols" showValue="0" reverse="1">
        <cfvo type="percent" val="0"/>
        <cfvo type="num" val="1"/>
        <cfvo type="num" val="1.05"/>
      </iconSet>
    </cfRule>
  </conditionalFormatting>
  <conditionalFormatting sqref="N103">
    <cfRule type="cellIs" dxfId="2187" priority="2427" operator="lessThan">
      <formula>0</formula>
    </cfRule>
    <cfRule type="cellIs" dxfId="2186" priority="2428" operator="greaterThan">
      <formula>0</formula>
    </cfRule>
  </conditionalFormatting>
  <conditionalFormatting sqref="F103">
    <cfRule type="cellIs" dxfId="2185" priority="2425" operator="lessThan">
      <formula>0</formula>
    </cfRule>
    <cfRule type="cellIs" dxfId="2184" priority="2426" operator="greaterThan">
      <formula>0</formula>
    </cfRule>
  </conditionalFormatting>
  <conditionalFormatting sqref="U103">
    <cfRule type="iconSet" priority="2430">
      <iconSet iconSet="3Symbols" showValue="0" reverse="1">
        <cfvo type="percent" val="0"/>
        <cfvo type="num" val="1"/>
        <cfvo type="num" val="1.05"/>
      </iconSet>
    </cfRule>
  </conditionalFormatting>
  <conditionalFormatting sqref="P103">
    <cfRule type="iconSet" priority="2431">
      <iconSet iconSet="3Symbols" showValue="0" reverse="1">
        <cfvo type="percent" val="0"/>
        <cfvo type="num" val="1"/>
        <cfvo type="num" val="1.05"/>
      </iconSet>
    </cfRule>
  </conditionalFormatting>
  <conditionalFormatting sqref="Q102">
    <cfRule type="iconSet" priority="2422">
      <iconSet iconSet="3Symbols" showValue="0" reverse="1">
        <cfvo type="percent" val="0"/>
        <cfvo type="num" val="1"/>
        <cfvo type="num" val="1.05"/>
      </iconSet>
    </cfRule>
  </conditionalFormatting>
  <conditionalFormatting sqref="N102">
    <cfRule type="cellIs" dxfId="2183" priority="2420" operator="lessThan">
      <formula>0</formula>
    </cfRule>
    <cfRule type="cellIs" dxfId="2182" priority="2421" operator="greaterThan">
      <formula>0</formula>
    </cfRule>
  </conditionalFormatting>
  <conditionalFormatting sqref="F102">
    <cfRule type="cellIs" dxfId="2181" priority="2418" operator="lessThan">
      <formula>0</formula>
    </cfRule>
    <cfRule type="cellIs" dxfId="2180" priority="2419" operator="greaterThan">
      <formula>0</formula>
    </cfRule>
  </conditionalFormatting>
  <conditionalFormatting sqref="U102">
    <cfRule type="iconSet" priority="2423">
      <iconSet iconSet="3Symbols" showValue="0" reverse="1">
        <cfvo type="percent" val="0"/>
        <cfvo type="num" val="1"/>
        <cfvo type="num" val="1.05"/>
      </iconSet>
    </cfRule>
  </conditionalFormatting>
  <conditionalFormatting sqref="P102">
    <cfRule type="iconSet" priority="2424">
      <iconSet iconSet="3Symbols" showValue="0" reverse="1">
        <cfvo type="percent" val="0"/>
        <cfvo type="num" val="1"/>
        <cfvo type="num" val="1.05"/>
      </iconSet>
    </cfRule>
  </conditionalFormatting>
  <conditionalFormatting sqref="Q101">
    <cfRule type="iconSet" priority="2415">
      <iconSet iconSet="3Symbols" showValue="0" reverse="1">
        <cfvo type="percent" val="0"/>
        <cfvo type="num" val="1"/>
        <cfvo type="num" val="1.05"/>
      </iconSet>
    </cfRule>
  </conditionalFormatting>
  <conditionalFormatting sqref="N101">
    <cfRule type="cellIs" dxfId="2179" priority="2413" operator="lessThan">
      <formula>0</formula>
    </cfRule>
    <cfRule type="cellIs" dxfId="2178" priority="2414" operator="greaterThan">
      <formula>0</formula>
    </cfRule>
  </conditionalFormatting>
  <conditionalFormatting sqref="F101">
    <cfRule type="cellIs" dxfId="2177" priority="2411" operator="lessThan">
      <formula>0</formula>
    </cfRule>
    <cfRule type="cellIs" dxfId="2176" priority="2412" operator="greaterThan">
      <formula>0</formula>
    </cfRule>
  </conditionalFormatting>
  <conditionalFormatting sqref="U101">
    <cfRule type="iconSet" priority="2416">
      <iconSet iconSet="3Symbols" showValue="0" reverse="1">
        <cfvo type="percent" val="0"/>
        <cfvo type="num" val="1"/>
        <cfvo type="num" val="1.05"/>
      </iconSet>
    </cfRule>
  </conditionalFormatting>
  <conditionalFormatting sqref="P101">
    <cfRule type="iconSet" priority="2417">
      <iconSet iconSet="3Symbols" showValue="0" reverse="1">
        <cfvo type="percent" val="0"/>
        <cfvo type="num" val="1"/>
        <cfvo type="num" val="1.05"/>
      </iconSet>
    </cfRule>
  </conditionalFormatting>
  <conditionalFormatting sqref="Q100">
    <cfRule type="iconSet" priority="2408">
      <iconSet iconSet="3Symbols" showValue="0" reverse="1">
        <cfvo type="percent" val="0"/>
        <cfvo type="num" val="1"/>
        <cfvo type="num" val="1.05"/>
      </iconSet>
    </cfRule>
  </conditionalFormatting>
  <conditionalFormatting sqref="N100">
    <cfRule type="cellIs" dxfId="2175" priority="2406" operator="lessThan">
      <formula>0</formula>
    </cfRule>
    <cfRule type="cellIs" dxfId="2174" priority="2407" operator="greaterThan">
      <formula>0</formula>
    </cfRule>
  </conditionalFormatting>
  <conditionalFormatting sqref="F100">
    <cfRule type="cellIs" dxfId="2173" priority="2404" operator="lessThan">
      <formula>0</formula>
    </cfRule>
    <cfRule type="cellIs" dxfId="2172" priority="2405" operator="greaterThan">
      <formula>0</formula>
    </cfRule>
  </conditionalFormatting>
  <conditionalFormatting sqref="U100">
    <cfRule type="iconSet" priority="2409">
      <iconSet iconSet="3Symbols" showValue="0" reverse="1">
        <cfvo type="percent" val="0"/>
        <cfvo type="num" val="1"/>
        <cfvo type="num" val="1.05"/>
      </iconSet>
    </cfRule>
  </conditionalFormatting>
  <conditionalFormatting sqref="P100">
    <cfRule type="iconSet" priority="2410">
      <iconSet iconSet="3Symbols" showValue="0" reverse="1">
        <cfvo type="percent" val="0"/>
        <cfvo type="num" val="1"/>
        <cfvo type="num" val="1.05"/>
      </iconSet>
    </cfRule>
  </conditionalFormatting>
  <conditionalFormatting sqref="Q99">
    <cfRule type="iconSet" priority="2401">
      <iconSet iconSet="3Symbols" showValue="0" reverse="1">
        <cfvo type="percent" val="0"/>
        <cfvo type="num" val="1"/>
        <cfvo type="num" val="1.05"/>
      </iconSet>
    </cfRule>
  </conditionalFormatting>
  <conditionalFormatting sqref="N99">
    <cfRule type="cellIs" dxfId="2171" priority="2399" operator="lessThan">
      <formula>0</formula>
    </cfRule>
    <cfRule type="cellIs" dxfId="2170" priority="2400" operator="greaterThan">
      <formula>0</formula>
    </cfRule>
  </conditionalFormatting>
  <conditionalFormatting sqref="F99">
    <cfRule type="cellIs" dxfId="2169" priority="2397" operator="lessThan">
      <formula>0</formula>
    </cfRule>
    <cfRule type="cellIs" dxfId="2168" priority="2398" operator="greaterThan">
      <formula>0</formula>
    </cfRule>
  </conditionalFormatting>
  <conditionalFormatting sqref="U99">
    <cfRule type="iconSet" priority="2402">
      <iconSet iconSet="3Symbols" showValue="0" reverse="1">
        <cfvo type="percent" val="0"/>
        <cfvo type="num" val="1"/>
        <cfvo type="num" val="1.05"/>
      </iconSet>
    </cfRule>
  </conditionalFormatting>
  <conditionalFormatting sqref="P99">
    <cfRule type="iconSet" priority="2403">
      <iconSet iconSet="3Symbols" showValue="0" reverse="1">
        <cfvo type="percent" val="0"/>
        <cfvo type="num" val="1"/>
        <cfvo type="num" val="1.05"/>
      </iconSet>
    </cfRule>
  </conditionalFormatting>
  <conditionalFormatting sqref="Q98">
    <cfRule type="iconSet" priority="2394">
      <iconSet iconSet="3Symbols" showValue="0" reverse="1">
        <cfvo type="percent" val="0"/>
        <cfvo type="num" val="1"/>
        <cfvo type="num" val="1.05"/>
      </iconSet>
    </cfRule>
  </conditionalFormatting>
  <conditionalFormatting sqref="N98">
    <cfRule type="cellIs" dxfId="2167" priority="2392" operator="lessThan">
      <formula>0</formula>
    </cfRule>
    <cfRule type="cellIs" dxfId="2166" priority="2393" operator="greaterThan">
      <formula>0</formula>
    </cfRule>
  </conditionalFormatting>
  <conditionalFormatting sqref="F98">
    <cfRule type="cellIs" dxfId="2165" priority="2390" operator="lessThan">
      <formula>0</formula>
    </cfRule>
    <cfRule type="cellIs" dxfId="2164" priority="2391" operator="greaterThan">
      <formula>0</formula>
    </cfRule>
  </conditionalFormatting>
  <conditionalFormatting sqref="U98">
    <cfRule type="iconSet" priority="2395">
      <iconSet iconSet="3Symbols" showValue="0" reverse="1">
        <cfvo type="percent" val="0"/>
        <cfvo type="num" val="1"/>
        <cfvo type="num" val="1.05"/>
      </iconSet>
    </cfRule>
  </conditionalFormatting>
  <conditionalFormatting sqref="P98">
    <cfRule type="iconSet" priority="2396">
      <iconSet iconSet="3Symbols" showValue="0" reverse="1">
        <cfvo type="percent" val="0"/>
        <cfvo type="num" val="1"/>
        <cfvo type="num" val="1.05"/>
      </iconSet>
    </cfRule>
  </conditionalFormatting>
  <conditionalFormatting sqref="Q97">
    <cfRule type="iconSet" priority="2387">
      <iconSet iconSet="3Symbols" showValue="0" reverse="1">
        <cfvo type="percent" val="0"/>
        <cfvo type="num" val="1"/>
        <cfvo type="num" val="1.05"/>
      </iconSet>
    </cfRule>
  </conditionalFormatting>
  <conditionalFormatting sqref="N97">
    <cfRule type="cellIs" dxfId="2163" priority="2385" operator="lessThan">
      <formula>0</formula>
    </cfRule>
    <cfRule type="cellIs" dxfId="2162" priority="2386" operator="greaterThan">
      <formula>0</formula>
    </cfRule>
  </conditionalFormatting>
  <conditionalFormatting sqref="F97">
    <cfRule type="cellIs" dxfId="2161" priority="2383" operator="lessThan">
      <formula>0</formula>
    </cfRule>
    <cfRule type="cellIs" dxfId="2160" priority="2384" operator="greaterThan">
      <formula>0</formula>
    </cfRule>
  </conditionalFormatting>
  <conditionalFormatting sqref="U97">
    <cfRule type="iconSet" priority="2388">
      <iconSet iconSet="3Symbols" showValue="0" reverse="1">
        <cfvo type="percent" val="0"/>
        <cfvo type="num" val="1"/>
        <cfvo type="num" val="1.05"/>
      </iconSet>
    </cfRule>
  </conditionalFormatting>
  <conditionalFormatting sqref="P97">
    <cfRule type="iconSet" priority="2389">
      <iconSet iconSet="3Symbols" showValue="0" reverse="1">
        <cfvo type="percent" val="0"/>
        <cfvo type="num" val="1"/>
        <cfvo type="num" val="1.05"/>
      </iconSet>
    </cfRule>
  </conditionalFormatting>
  <conditionalFormatting sqref="Q96">
    <cfRule type="iconSet" priority="2380">
      <iconSet iconSet="3Symbols" showValue="0" reverse="1">
        <cfvo type="percent" val="0"/>
        <cfvo type="num" val="1"/>
        <cfvo type="num" val="1.05"/>
      </iconSet>
    </cfRule>
  </conditionalFormatting>
  <conditionalFormatting sqref="N96">
    <cfRule type="cellIs" dxfId="2159" priority="2378" operator="lessThan">
      <formula>0</formula>
    </cfRule>
    <cfRule type="cellIs" dxfId="2158" priority="2379" operator="greaterThan">
      <formula>0</formula>
    </cfRule>
  </conditionalFormatting>
  <conditionalFormatting sqref="F96">
    <cfRule type="cellIs" dxfId="2157" priority="2376" operator="lessThan">
      <formula>0</formula>
    </cfRule>
    <cfRule type="cellIs" dxfId="2156" priority="2377" operator="greaterThan">
      <formula>0</formula>
    </cfRule>
  </conditionalFormatting>
  <conditionalFormatting sqref="U96">
    <cfRule type="iconSet" priority="2381">
      <iconSet iconSet="3Symbols" showValue="0" reverse="1">
        <cfvo type="percent" val="0"/>
        <cfvo type="num" val="1"/>
        <cfvo type="num" val="1.05"/>
      </iconSet>
    </cfRule>
  </conditionalFormatting>
  <conditionalFormatting sqref="P96">
    <cfRule type="iconSet" priority="2382">
      <iconSet iconSet="3Symbols" showValue="0" reverse="1">
        <cfvo type="percent" val="0"/>
        <cfvo type="num" val="1"/>
        <cfvo type="num" val="1.05"/>
      </iconSet>
    </cfRule>
  </conditionalFormatting>
  <conditionalFormatting sqref="Q95">
    <cfRule type="iconSet" priority="2373">
      <iconSet iconSet="3Symbols" showValue="0" reverse="1">
        <cfvo type="percent" val="0"/>
        <cfvo type="num" val="1"/>
        <cfvo type="num" val="1.05"/>
      </iconSet>
    </cfRule>
  </conditionalFormatting>
  <conditionalFormatting sqref="N95">
    <cfRule type="cellIs" dxfId="2155" priority="2371" operator="lessThan">
      <formula>0</formula>
    </cfRule>
    <cfRule type="cellIs" dxfId="2154" priority="2372" operator="greaterThan">
      <formula>0</formula>
    </cfRule>
  </conditionalFormatting>
  <conditionalFormatting sqref="F95">
    <cfRule type="cellIs" dxfId="2153" priority="2369" operator="lessThan">
      <formula>0</formula>
    </cfRule>
    <cfRule type="cellIs" dxfId="2152" priority="2370" operator="greaterThan">
      <formula>0</formula>
    </cfRule>
  </conditionalFormatting>
  <conditionalFormatting sqref="U95">
    <cfRule type="iconSet" priority="2374">
      <iconSet iconSet="3Symbols" showValue="0" reverse="1">
        <cfvo type="percent" val="0"/>
        <cfvo type="num" val="1"/>
        <cfvo type="num" val="1.05"/>
      </iconSet>
    </cfRule>
  </conditionalFormatting>
  <conditionalFormatting sqref="P95">
    <cfRule type="iconSet" priority="2375">
      <iconSet iconSet="3Symbols" showValue="0" reverse="1">
        <cfvo type="percent" val="0"/>
        <cfvo type="num" val="1"/>
        <cfvo type="num" val="1.05"/>
      </iconSet>
    </cfRule>
  </conditionalFormatting>
  <conditionalFormatting sqref="Q94">
    <cfRule type="iconSet" priority="2366">
      <iconSet iconSet="3Symbols" showValue="0" reverse="1">
        <cfvo type="percent" val="0"/>
        <cfvo type="num" val="1"/>
        <cfvo type="num" val="1.05"/>
      </iconSet>
    </cfRule>
  </conditionalFormatting>
  <conditionalFormatting sqref="N94">
    <cfRule type="cellIs" dxfId="2151" priority="2364" operator="lessThan">
      <formula>0</formula>
    </cfRule>
    <cfRule type="cellIs" dxfId="2150" priority="2365" operator="greaterThan">
      <formula>0</formula>
    </cfRule>
  </conditionalFormatting>
  <conditionalFormatting sqref="F94">
    <cfRule type="cellIs" dxfId="2149" priority="2362" operator="lessThan">
      <formula>0</formula>
    </cfRule>
    <cfRule type="cellIs" dxfId="2148" priority="2363" operator="greaterThan">
      <formula>0</formula>
    </cfRule>
  </conditionalFormatting>
  <conditionalFormatting sqref="U94">
    <cfRule type="iconSet" priority="2367">
      <iconSet iconSet="3Symbols" showValue="0" reverse="1">
        <cfvo type="percent" val="0"/>
        <cfvo type="num" val="1"/>
        <cfvo type="num" val="1.05"/>
      </iconSet>
    </cfRule>
  </conditionalFormatting>
  <conditionalFormatting sqref="P94">
    <cfRule type="iconSet" priority="2368">
      <iconSet iconSet="3Symbols" showValue="0" reverse="1">
        <cfvo type="percent" val="0"/>
        <cfvo type="num" val="1"/>
        <cfvo type="num" val="1.05"/>
      </iconSet>
    </cfRule>
  </conditionalFormatting>
  <conditionalFormatting sqref="Q92:Q93">
    <cfRule type="iconSet" priority="2359">
      <iconSet iconSet="3Symbols" showValue="0" reverse="1">
        <cfvo type="percent" val="0"/>
        <cfvo type="num" val="1"/>
        <cfvo type="num" val="1.05"/>
      </iconSet>
    </cfRule>
  </conditionalFormatting>
  <conditionalFormatting sqref="N92:N93">
    <cfRule type="cellIs" dxfId="2147" priority="2357" operator="lessThan">
      <formula>0</formula>
    </cfRule>
    <cfRule type="cellIs" dxfId="2146" priority="2358" operator="greaterThan">
      <formula>0</formula>
    </cfRule>
  </conditionalFormatting>
  <conditionalFormatting sqref="F92:F93">
    <cfRule type="cellIs" dxfId="2145" priority="2355" operator="lessThan">
      <formula>0</formula>
    </cfRule>
    <cfRule type="cellIs" dxfId="2144" priority="2356" operator="greaterThan">
      <formula>0</formula>
    </cfRule>
  </conditionalFormatting>
  <conditionalFormatting sqref="U92:U93">
    <cfRule type="iconSet" priority="2360">
      <iconSet iconSet="3Symbols" showValue="0" reverse="1">
        <cfvo type="percent" val="0"/>
        <cfvo type="num" val="1"/>
        <cfvo type="num" val="1.05"/>
      </iconSet>
    </cfRule>
  </conditionalFormatting>
  <conditionalFormatting sqref="P92:P93">
    <cfRule type="iconSet" priority="2361">
      <iconSet iconSet="3Symbols" showValue="0" reverse="1">
        <cfvo type="percent" val="0"/>
        <cfvo type="num" val="1"/>
        <cfvo type="num" val="1.05"/>
      </iconSet>
    </cfRule>
  </conditionalFormatting>
  <conditionalFormatting sqref="Q91">
    <cfRule type="iconSet" priority="2352">
      <iconSet iconSet="3Symbols" showValue="0" reverse="1">
        <cfvo type="percent" val="0"/>
        <cfvo type="num" val="1"/>
        <cfvo type="num" val="1.05"/>
      </iconSet>
    </cfRule>
  </conditionalFormatting>
  <conditionalFormatting sqref="N91">
    <cfRule type="cellIs" dxfId="2143" priority="2350" operator="lessThan">
      <formula>0</formula>
    </cfRule>
    <cfRule type="cellIs" dxfId="2142" priority="2351" operator="greaterThan">
      <formula>0</formula>
    </cfRule>
  </conditionalFormatting>
  <conditionalFormatting sqref="F91">
    <cfRule type="cellIs" dxfId="2141" priority="2348" operator="lessThan">
      <formula>0</formula>
    </cfRule>
    <cfRule type="cellIs" dxfId="2140" priority="2349" operator="greaterThan">
      <formula>0</formula>
    </cfRule>
  </conditionalFormatting>
  <conditionalFormatting sqref="U91">
    <cfRule type="iconSet" priority="2353">
      <iconSet iconSet="3Symbols" showValue="0" reverse="1">
        <cfvo type="percent" val="0"/>
        <cfvo type="num" val="1"/>
        <cfvo type="num" val="1.05"/>
      </iconSet>
    </cfRule>
  </conditionalFormatting>
  <conditionalFormatting sqref="P91">
    <cfRule type="iconSet" priority="2354">
      <iconSet iconSet="3Symbols" showValue="0" reverse="1">
        <cfvo type="percent" val="0"/>
        <cfvo type="num" val="1"/>
        <cfvo type="num" val="1.05"/>
      </iconSet>
    </cfRule>
  </conditionalFormatting>
  <conditionalFormatting sqref="Q90">
    <cfRule type="iconSet" priority="2345">
      <iconSet iconSet="3Symbols" showValue="0" reverse="1">
        <cfvo type="percent" val="0"/>
        <cfvo type="num" val="1"/>
        <cfvo type="num" val="1.05"/>
      </iconSet>
    </cfRule>
  </conditionalFormatting>
  <conditionalFormatting sqref="N90">
    <cfRule type="cellIs" dxfId="2139" priority="2343" operator="lessThan">
      <formula>0</formula>
    </cfRule>
    <cfRule type="cellIs" dxfId="2138" priority="2344" operator="greaterThan">
      <formula>0</formula>
    </cfRule>
  </conditionalFormatting>
  <conditionalFormatting sqref="F90">
    <cfRule type="cellIs" dxfId="2137" priority="2341" operator="lessThan">
      <formula>0</formula>
    </cfRule>
    <cfRule type="cellIs" dxfId="2136" priority="2342" operator="greaterThan">
      <formula>0</formula>
    </cfRule>
  </conditionalFormatting>
  <conditionalFormatting sqref="U90">
    <cfRule type="iconSet" priority="2346">
      <iconSet iconSet="3Symbols" showValue="0" reverse="1">
        <cfvo type="percent" val="0"/>
        <cfvo type="num" val="1"/>
        <cfvo type="num" val="1.05"/>
      </iconSet>
    </cfRule>
  </conditionalFormatting>
  <conditionalFormatting sqref="P90">
    <cfRule type="iconSet" priority="2347">
      <iconSet iconSet="3Symbols" showValue="0" reverse="1">
        <cfvo type="percent" val="0"/>
        <cfvo type="num" val="1"/>
        <cfvo type="num" val="1.05"/>
      </iconSet>
    </cfRule>
  </conditionalFormatting>
  <conditionalFormatting sqref="Q89">
    <cfRule type="iconSet" priority="2338">
      <iconSet iconSet="3Symbols" showValue="0" reverse="1">
        <cfvo type="percent" val="0"/>
        <cfvo type="num" val="1"/>
        <cfvo type="num" val="1.05"/>
      </iconSet>
    </cfRule>
  </conditionalFormatting>
  <conditionalFormatting sqref="N89">
    <cfRule type="cellIs" dxfId="2135" priority="2336" operator="lessThan">
      <formula>0</formula>
    </cfRule>
    <cfRule type="cellIs" dxfId="2134" priority="2337" operator="greaterThan">
      <formula>0</formula>
    </cfRule>
  </conditionalFormatting>
  <conditionalFormatting sqref="F89">
    <cfRule type="cellIs" dxfId="2133" priority="2334" operator="lessThan">
      <formula>0</formula>
    </cfRule>
    <cfRule type="cellIs" dxfId="2132" priority="2335" operator="greaterThan">
      <formula>0</formula>
    </cfRule>
  </conditionalFormatting>
  <conditionalFormatting sqref="U89">
    <cfRule type="iconSet" priority="2339">
      <iconSet iconSet="3Symbols" showValue="0" reverse="1">
        <cfvo type="percent" val="0"/>
        <cfvo type="num" val="1"/>
        <cfvo type="num" val="1.05"/>
      </iconSet>
    </cfRule>
  </conditionalFormatting>
  <conditionalFormatting sqref="P89">
    <cfRule type="iconSet" priority="2340">
      <iconSet iconSet="3Symbols" showValue="0" reverse="1">
        <cfvo type="percent" val="0"/>
        <cfvo type="num" val="1"/>
        <cfvo type="num" val="1.05"/>
      </iconSet>
    </cfRule>
  </conditionalFormatting>
  <conditionalFormatting sqref="Q88">
    <cfRule type="iconSet" priority="2331">
      <iconSet iconSet="3Symbols" showValue="0" reverse="1">
        <cfvo type="percent" val="0"/>
        <cfvo type="num" val="1"/>
        <cfvo type="num" val="1.05"/>
      </iconSet>
    </cfRule>
  </conditionalFormatting>
  <conditionalFormatting sqref="N88">
    <cfRule type="cellIs" dxfId="2131" priority="2329" operator="lessThan">
      <formula>0</formula>
    </cfRule>
    <cfRule type="cellIs" dxfId="2130" priority="2330" operator="greaterThan">
      <formula>0</formula>
    </cfRule>
  </conditionalFormatting>
  <conditionalFormatting sqref="F88">
    <cfRule type="cellIs" dxfId="2129" priority="2327" operator="lessThan">
      <formula>0</formula>
    </cfRule>
    <cfRule type="cellIs" dxfId="2128" priority="2328" operator="greaterThan">
      <formula>0</formula>
    </cfRule>
  </conditionalFormatting>
  <conditionalFormatting sqref="U88">
    <cfRule type="iconSet" priority="2332">
      <iconSet iconSet="3Symbols" showValue="0" reverse="1">
        <cfvo type="percent" val="0"/>
        <cfvo type="num" val="1"/>
        <cfvo type="num" val="1.05"/>
      </iconSet>
    </cfRule>
  </conditionalFormatting>
  <conditionalFormatting sqref="P88">
    <cfRule type="iconSet" priority="2333">
      <iconSet iconSet="3Symbols" showValue="0" reverse="1">
        <cfvo type="percent" val="0"/>
        <cfvo type="num" val="1"/>
        <cfvo type="num" val="1.05"/>
      </iconSet>
    </cfRule>
  </conditionalFormatting>
  <conditionalFormatting sqref="Q87">
    <cfRule type="iconSet" priority="2324">
      <iconSet iconSet="3Symbols" showValue="0" reverse="1">
        <cfvo type="percent" val="0"/>
        <cfvo type="num" val="1"/>
        <cfvo type="num" val="1.05"/>
      </iconSet>
    </cfRule>
  </conditionalFormatting>
  <conditionalFormatting sqref="N87">
    <cfRule type="cellIs" dxfId="2127" priority="2322" operator="lessThan">
      <formula>0</formula>
    </cfRule>
    <cfRule type="cellIs" dxfId="2126" priority="2323" operator="greaterThan">
      <formula>0</formula>
    </cfRule>
  </conditionalFormatting>
  <conditionalFormatting sqref="F87">
    <cfRule type="cellIs" dxfId="2125" priority="2320" operator="lessThan">
      <formula>0</formula>
    </cfRule>
    <cfRule type="cellIs" dxfId="2124" priority="2321" operator="greaterThan">
      <formula>0</formula>
    </cfRule>
  </conditionalFormatting>
  <conditionalFormatting sqref="U87">
    <cfRule type="iconSet" priority="2325">
      <iconSet iconSet="3Symbols" showValue="0" reverse="1">
        <cfvo type="percent" val="0"/>
        <cfvo type="num" val="1"/>
        <cfvo type="num" val="1.05"/>
      </iconSet>
    </cfRule>
  </conditionalFormatting>
  <conditionalFormatting sqref="P87">
    <cfRule type="iconSet" priority="2326">
      <iconSet iconSet="3Symbols" showValue="0" reverse="1">
        <cfvo type="percent" val="0"/>
        <cfvo type="num" val="1"/>
        <cfvo type="num" val="1.05"/>
      </iconSet>
    </cfRule>
  </conditionalFormatting>
  <conditionalFormatting sqref="Q86">
    <cfRule type="iconSet" priority="2317">
      <iconSet iconSet="3Symbols" showValue="0" reverse="1">
        <cfvo type="percent" val="0"/>
        <cfvo type="num" val="1"/>
        <cfvo type="num" val="1.05"/>
      </iconSet>
    </cfRule>
  </conditionalFormatting>
  <conditionalFormatting sqref="N86">
    <cfRule type="cellIs" dxfId="2123" priority="2315" operator="lessThan">
      <formula>0</formula>
    </cfRule>
    <cfRule type="cellIs" dxfId="2122" priority="2316" operator="greaterThan">
      <formula>0</formula>
    </cfRule>
  </conditionalFormatting>
  <conditionalFormatting sqref="F86">
    <cfRule type="cellIs" dxfId="2121" priority="2313" operator="lessThan">
      <formula>0</formula>
    </cfRule>
    <cfRule type="cellIs" dxfId="2120" priority="2314" operator="greaterThan">
      <formula>0</formula>
    </cfRule>
  </conditionalFormatting>
  <conditionalFormatting sqref="U86">
    <cfRule type="iconSet" priority="2318">
      <iconSet iconSet="3Symbols" showValue="0" reverse="1">
        <cfvo type="percent" val="0"/>
        <cfvo type="num" val="1"/>
        <cfvo type="num" val="1.05"/>
      </iconSet>
    </cfRule>
  </conditionalFormatting>
  <conditionalFormatting sqref="P86">
    <cfRule type="iconSet" priority="2319">
      <iconSet iconSet="3Symbols" showValue="0" reverse="1">
        <cfvo type="percent" val="0"/>
        <cfvo type="num" val="1"/>
        <cfvo type="num" val="1.05"/>
      </iconSet>
    </cfRule>
  </conditionalFormatting>
  <conditionalFormatting sqref="Q85">
    <cfRule type="iconSet" priority="2310">
      <iconSet iconSet="3Symbols" showValue="0" reverse="1">
        <cfvo type="percent" val="0"/>
        <cfvo type="num" val="1"/>
        <cfvo type="num" val="1.05"/>
      </iconSet>
    </cfRule>
  </conditionalFormatting>
  <conditionalFormatting sqref="N85">
    <cfRule type="cellIs" dxfId="2119" priority="2308" operator="lessThan">
      <formula>0</formula>
    </cfRule>
    <cfRule type="cellIs" dxfId="2118" priority="2309" operator="greaterThan">
      <formula>0</formula>
    </cfRule>
  </conditionalFormatting>
  <conditionalFormatting sqref="F85">
    <cfRule type="cellIs" dxfId="2117" priority="2306" operator="lessThan">
      <formula>0</formula>
    </cfRule>
    <cfRule type="cellIs" dxfId="2116" priority="2307" operator="greaterThan">
      <formula>0</formula>
    </cfRule>
  </conditionalFormatting>
  <conditionalFormatting sqref="U85">
    <cfRule type="iconSet" priority="2311">
      <iconSet iconSet="3Symbols" showValue="0" reverse="1">
        <cfvo type="percent" val="0"/>
        <cfvo type="num" val="1"/>
        <cfvo type="num" val="1.05"/>
      </iconSet>
    </cfRule>
  </conditionalFormatting>
  <conditionalFormatting sqref="P85">
    <cfRule type="iconSet" priority="2312">
      <iconSet iconSet="3Symbols" showValue="0" reverse="1">
        <cfvo type="percent" val="0"/>
        <cfvo type="num" val="1"/>
        <cfvo type="num" val="1.05"/>
      </iconSet>
    </cfRule>
  </conditionalFormatting>
  <conditionalFormatting sqref="Q84">
    <cfRule type="iconSet" priority="2303">
      <iconSet iconSet="3Symbols" showValue="0" reverse="1">
        <cfvo type="percent" val="0"/>
        <cfvo type="num" val="1"/>
        <cfvo type="num" val="1.05"/>
      </iconSet>
    </cfRule>
  </conditionalFormatting>
  <conditionalFormatting sqref="N84">
    <cfRule type="cellIs" dxfId="2115" priority="2301" operator="lessThan">
      <formula>0</formula>
    </cfRule>
    <cfRule type="cellIs" dxfId="2114" priority="2302" operator="greaterThan">
      <formula>0</formula>
    </cfRule>
  </conditionalFormatting>
  <conditionalFormatting sqref="F84">
    <cfRule type="cellIs" dxfId="2113" priority="2299" operator="lessThan">
      <formula>0</formula>
    </cfRule>
    <cfRule type="cellIs" dxfId="2112" priority="2300" operator="greaterThan">
      <formula>0</formula>
    </cfRule>
  </conditionalFormatting>
  <conditionalFormatting sqref="U84">
    <cfRule type="iconSet" priority="2304">
      <iconSet iconSet="3Symbols" showValue="0" reverse="1">
        <cfvo type="percent" val="0"/>
        <cfvo type="num" val="1"/>
        <cfvo type="num" val="1.05"/>
      </iconSet>
    </cfRule>
  </conditionalFormatting>
  <conditionalFormatting sqref="P84">
    <cfRule type="iconSet" priority="2305">
      <iconSet iconSet="3Symbols" showValue="0" reverse="1">
        <cfvo type="percent" val="0"/>
        <cfvo type="num" val="1"/>
        <cfvo type="num" val="1.05"/>
      </iconSet>
    </cfRule>
  </conditionalFormatting>
  <conditionalFormatting sqref="Q83">
    <cfRule type="iconSet" priority="2296">
      <iconSet iconSet="3Symbols" showValue="0" reverse="1">
        <cfvo type="percent" val="0"/>
        <cfvo type="num" val="1"/>
        <cfvo type="num" val="1.05"/>
      </iconSet>
    </cfRule>
  </conditionalFormatting>
  <conditionalFormatting sqref="N83">
    <cfRule type="cellIs" dxfId="2111" priority="2294" operator="lessThan">
      <formula>0</formula>
    </cfRule>
    <cfRule type="cellIs" dxfId="2110" priority="2295" operator="greaterThan">
      <formula>0</formula>
    </cfRule>
  </conditionalFormatting>
  <conditionalFormatting sqref="F83">
    <cfRule type="cellIs" dxfId="2109" priority="2292" operator="lessThan">
      <formula>0</formula>
    </cfRule>
    <cfRule type="cellIs" dxfId="2108" priority="2293" operator="greaterThan">
      <formula>0</formula>
    </cfRule>
  </conditionalFormatting>
  <conditionalFormatting sqref="U83">
    <cfRule type="iconSet" priority="2297">
      <iconSet iconSet="3Symbols" showValue="0" reverse="1">
        <cfvo type="percent" val="0"/>
        <cfvo type="num" val="1"/>
        <cfvo type="num" val="1.05"/>
      </iconSet>
    </cfRule>
  </conditionalFormatting>
  <conditionalFormatting sqref="P83">
    <cfRule type="iconSet" priority="2298">
      <iconSet iconSet="3Symbols" showValue="0" reverse="1">
        <cfvo type="percent" val="0"/>
        <cfvo type="num" val="1"/>
        <cfvo type="num" val="1.05"/>
      </iconSet>
    </cfRule>
  </conditionalFormatting>
  <conditionalFormatting sqref="Q82">
    <cfRule type="iconSet" priority="2289">
      <iconSet iconSet="3Symbols" showValue="0" reverse="1">
        <cfvo type="percent" val="0"/>
        <cfvo type="num" val="1"/>
        <cfvo type="num" val="1.05"/>
      </iconSet>
    </cfRule>
  </conditionalFormatting>
  <conditionalFormatting sqref="N82">
    <cfRule type="cellIs" dxfId="2107" priority="2287" operator="lessThan">
      <formula>0</formula>
    </cfRule>
    <cfRule type="cellIs" dxfId="2106" priority="2288" operator="greaterThan">
      <formula>0</formula>
    </cfRule>
  </conditionalFormatting>
  <conditionalFormatting sqref="F82">
    <cfRule type="cellIs" dxfId="2105" priority="2285" operator="lessThan">
      <formula>0</formula>
    </cfRule>
    <cfRule type="cellIs" dxfId="2104" priority="2286" operator="greaterThan">
      <formula>0</formula>
    </cfRule>
  </conditionalFormatting>
  <conditionalFormatting sqref="U82">
    <cfRule type="iconSet" priority="2290">
      <iconSet iconSet="3Symbols" showValue="0" reverse="1">
        <cfvo type="percent" val="0"/>
        <cfvo type="num" val="1"/>
        <cfvo type="num" val="1.05"/>
      </iconSet>
    </cfRule>
  </conditionalFormatting>
  <conditionalFormatting sqref="P82">
    <cfRule type="iconSet" priority="2291">
      <iconSet iconSet="3Symbols" showValue="0" reverse="1">
        <cfvo type="percent" val="0"/>
        <cfvo type="num" val="1"/>
        <cfvo type="num" val="1.05"/>
      </iconSet>
    </cfRule>
  </conditionalFormatting>
  <conditionalFormatting sqref="Q81">
    <cfRule type="iconSet" priority="2282">
      <iconSet iconSet="3Symbols" showValue="0" reverse="1">
        <cfvo type="percent" val="0"/>
        <cfvo type="num" val="1"/>
        <cfvo type="num" val="1.05"/>
      </iconSet>
    </cfRule>
  </conditionalFormatting>
  <conditionalFormatting sqref="N81">
    <cfRule type="cellIs" dxfId="2103" priority="2280" operator="lessThan">
      <formula>0</formula>
    </cfRule>
    <cfRule type="cellIs" dxfId="2102" priority="2281" operator="greaterThan">
      <formula>0</formula>
    </cfRule>
  </conditionalFormatting>
  <conditionalFormatting sqref="F81">
    <cfRule type="cellIs" dxfId="2101" priority="2278" operator="lessThan">
      <formula>0</formula>
    </cfRule>
    <cfRule type="cellIs" dxfId="2100" priority="2279" operator="greaterThan">
      <formula>0</formula>
    </cfRule>
  </conditionalFormatting>
  <conditionalFormatting sqref="U81">
    <cfRule type="iconSet" priority="2283">
      <iconSet iconSet="3Symbols" showValue="0" reverse="1">
        <cfvo type="percent" val="0"/>
        <cfvo type="num" val="1"/>
        <cfvo type="num" val="1.05"/>
      </iconSet>
    </cfRule>
  </conditionalFormatting>
  <conditionalFormatting sqref="P81">
    <cfRule type="iconSet" priority="2284">
      <iconSet iconSet="3Symbols" showValue="0" reverse="1">
        <cfvo type="percent" val="0"/>
        <cfvo type="num" val="1"/>
        <cfvo type="num" val="1.05"/>
      </iconSet>
    </cfRule>
  </conditionalFormatting>
  <conditionalFormatting sqref="Q79:Q80">
    <cfRule type="iconSet" priority="2275">
      <iconSet iconSet="3Symbols" showValue="0" reverse="1">
        <cfvo type="percent" val="0"/>
        <cfvo type="num" val="1"/>
        <cfvo type="num" val="1.05"/>
      </iconSet>
    </cfRule>
  </conditionalFormatting>
  <conditionalFormatting sqref="N79:N80">
    <cfRule type="cellIs" dxfId="2099" priority="2273" operator="lessThan">
      <formula>0</formula>
    </cfRule>
    <cfRule type="cellIs" dxfId="2098" priority="2274" operator="greaterThan">
      <formula>0</formula>
    </cfRule>
  </conditionalFormatting>
  <conditionalFormatting sqref="F79:F80">
    <cfRule type="cellIs" dxfId="2097" priority="2271" operator="lessThan">
      <formula>0</formula>
    </cfRule>
    <cfRule type="cellIs" dxfId="2096" priority="2272" operator="greaterThan">
      <formula>0</formula>
    </cfRule>
  </conditionalFormatting>
  <conditionalFormatting sqref="U79:U80">
    <cfRule type="iconSet" priority="2276">
      <iconSet iconSet="3Symbols" showValue="0" reverse="1">
        <cfvo type="percent" val="0"/>
        <cfvo type="num" val="1"/>
        <cfvo type="num" val="1.05"/>
      </iconSet>
    </cfRule>
  </conditionalFormatting>
  <conditionalFormatting sqref="P79:P80">
    <cfRule type="iconSet" priority="2277">
      <iconSet iconSet="3Symbols" showValue="0" reverse="1">
        <cfvo type="percent" val="0"/>
        <cfvo type="num" val="1"/>
        <cfvo type="num" val="1.05"/>
      </iconSet>
    </cfRule>
  </conditionalFormatting>
  <conditionalFormatting sqref="Q78">
    <cfRule type="iconSet" priority="2268">
      <iconSet iconSet="3Symbols" showValue="0" reverse="1">
        <cfvo type="percent" val="0"/>
        <cfvo type="num" val="1"/>
        <cfvo type="num" val="1.05"/>
      </iconSet>
    </cfRule>
  </conditionalFormatting>
  <conditionalFormatting sqref="N78">
    <cfRule type="cellIs" dxfId="2095" priority="2266" operator="lessThan">
      <formula>0</formula>
    </cfRule>
    <cfRule type="cellIs" dxfId="2094" priority="2267" operator="greaterThan">
      <formula>0</formula>
    </cfRule>
  </conditionalFormatting>
  <conditionalFormatting sqref="F78">
    <cfRule type="cellIs" dxfId="2093" priority="2264" operator="lessThan">
      <formula>0</formula>
    </cfRule>
    <cfRule type="cellIs" dxfId="2092" priority="2265" operator="greaterThan">
      <formula>0</formula>
    </cfRule>
  </conditionalFormatting>
  <conditionalFormatting sqref="U78">
    <cfRule type="iconSet" priority="2269">
      <iconSet iconSet="3Symbols" showValue="0" reverse="1">
        <cfvo type="percent" val="0"/>
        <cfvo type="num" val="1"/>
        <cfvo type="num" val="1.05"/>
      </iconSet>
    </cfRule>
  </conditionalFormatting>
  <conditionalFormatting sqref="P78">
    <cfRule type="iconSet" priority="2270">
      <iconSet iconSet="3Symbols" showValue="0" reverse="1">
        <cfvo type="percent" val="0"/>
        <cfvo type="num" val="1"/>
        <cfvo type="num" val="1.05"/>
      </iconSet>
    </cfRule>
  </conditionalFormatting>
  <conditionalFormatting sqref="Q77">
    <cfRule type="iconSet" priority="2261">
      <iconSet iconSet="3Symbols" showValue="0" reverse="1">
        <cfvo type="percent" val="0"/>
        <cfvo type="num" val="1"/>
        <cfvo type="num" val="1.05"/>
      </iconSet>
    </cfRule>
  </conditionalFormatting>
  <conditionalFormatting sqref="N77">
    <cfRule type="cellIs" dxfId="2091" priority="2259" operator="lessThan">
      <formula>0</formula>
    </cfRule>
    <cfRule type="cellIs" dxfId="2090" priority="2260" operator="greaterThan">
      <formula>0</formula>
    </cfRule>
  </conditionalFormatting>
  <conditionalFormatting sqref="F77">
    <cfRule type="cellIs" dxfId="2089" priority="2257" operator="lessThan">
      <formula>0</formula>
    </cfRule>
    <cfRule type="cellIs" dxfId="2088" priority="2258" operator="greaterThan">
      <formula>0</formula>
    </cfRule>
  </conditionalFormatting>
  <conditionalFormatting sqref="U77">
    <cfRule type="iconSet" priority="2262">
      <iconSet iconSet="3Symbols" showValue="0" reverse="1">
        <cfvo type="percent" val="0"/>
        <cfvo type="num" val="1"/>
        <cfvo type="num" val="1.05"/>
      </iconSet>
    </cfRule>
  </conditionalFormatting>
  <conditionalFormatting sqref="P77">
    <cfRule type="iconSet" priority="2263">
      <iconSet iconSet="3Symbols" showValue="0" reverse="1">
        <cfvo type="percent" val="0"/>
        <cfvo type="num" val="1"/>
        <cfvo type="num" val="1.05"/>
      </iconSet>
    </cfRule>
  </conditionalFormatting>
  <conditionalFormatting sqref="Q76">
    <cfRule type="iconSet" priority="2254">
      <iconSet iconSet="3Symbols" showValue="0" reverse="1">
        <cfvo type="percent" val="0"/>
        <cfvo type="num" val="1"/>
        <cfvo type="num" val="1.05"/>
      </iconSet>
    </cfRule>
  </conditionalFormatting>
  <conditionalFormatting sqref="N76">
    <cfRule type="cellIs" dxfId="2087" priority="2252" operator="lessThan">
      <formula>0</formula>
    </cfRule>
    <cfRule type="cellIs" dxfId="2086" priority="2253" operator="greaterThan">
      <formula>0</formula>
    </cfRule>
  </conditionalFormatting>
  <conditionalFormatting sqref="F76">
    <cfRule type="cellIs" dxfId="2085" priority="2250" operator="lessThan">
      <formula>0</formula>
    </cfRule>
    <cfRule type="cellIs" dxfId="2084" priority="2251" operator="greaterThan">
      <formula>0</formula>
    </cfRule>
  </conditionalFormatting>
  <conditionalFormatting sqref="U76">
    <cfRule type="iconSet" priority="2255">
      <iconSet iconSet="3Symbols" showValue="0" reverse="1">
        <cfvo type="percent" val="0"/>
        <cfvo type="num" val="1"/>
        <cfvo type="num" val="1.05"/>
      </iconSet>
    </cfRule>
  </conditionalFormatting>
  <conditionalFormatting sqref="P76">
    <cfRule type="iconSet" priority="2256">
      <iconSet iconSet="3Symbols" showValue="0" reverse="1">
        <cfvo type="percent" val="0"/>
        <cfvo type="num" val="1"/>
        <cfvo type="num" val="1.05"/>
      </iconSet>
    </cfRule>
  </conditionalFormatting>
  <conditionalFormatting sqref="Q75">
    <cfRule type="iconSet" priority="2247">
      <iconSet iconSet="3Symbols" showValue="0" reverse="1">
        <cfvo type="percent" val="0"/>
        <cfvo type="num" val="1"/>
        <cfvo type="num" val="1.05"/>
      </iconSet>
    </cfRule>
  </conditionalFormatting>
  <conditionalFormatting sqref="N75">
    <cfRule type="cellIs" dxfId="2083" priority="2245" operator="lessThan">
      <formula>0</formula>
    </cfRule>
    <cfRule type="cellIs" dxfId="2082" priority="2246" operator="greaterThan">
      <formula>0</formula>
    </cfRule>
  </conditionalFormatting>
  <conditionalFormatting sqref="F75">
    <cfRule type="cellIs" dxfId="2081" priority="2243" operator="lessThan">
      <formula>0</formula>
    </cfRule>
    <cfRule type="cellIs" dxfId="2080" priority="2244" operator="greaterThan">
      <formula>0</formula>
    </cfRule>
  </conditionalFormatting>
  <conditionalFormatting sqref="U75">
    <cfRule type="iconSet" priority="2248">
      <iconSet iconSet="3Symbols" showValue="0" reverse="1">
        <cfvo type="percent" val="0"/>
        <cfvo type="num" val="1"/>
        <cfvo type="num" val="1.05"/>
      </iconSet>
    </cfRule>
  </conditionalFormatting>
  <conditionalFormatting sqref="P75">
    <cfRule type="iconSet" priority="2249">
      <iconSet iconSet="3Symbols" showValue="0" reverse="1">
        <cfvo type="percent" val="0"/>
        <cfvo type="num" val="1"/>
        <cfvo type="num" val="1.05"/>
      </iconSet>
    </cfRule>
  </conditionalFormatting>
  <conditionalFormatting sqref="Q74">
    <cfRule type="iconSet" priority="2240">
      <iconSet iconSet="3Symbols" showValue="0" reverse="1">
        <cfvo type="percent" val="0"/>
        <cfvo type="num" val="1"/>
        <cfvo type="num" val="1.05"/>
      </iconSet>
    </cfRule>
  </conditionalFormatting>
  <conditionalFormatting sqref="N74">
    <cfRule type="cellIs" dxfId="2079" priority="2238" operator="lessThan">
      <formula>0</formula>
    </cfRule>
    <cfRule type="cellIs" dxfId="2078" priority="2239" operator="greaterThan">
      <formula>0</formula>
    </cfRule>
  </conditionalFormatting>
  <conditionalFormatting sqref="F74">
    <cfRule type="cellIs" dxfId="2077" priority="2236" operator="lessThan">
      <formula>0</formula>
    </cfRule>
    <cfRule type="cellIs" dxfId="2076" priority="2237" operator="greaterThan">
      <formula>0</formula>
    </cfRule>
  </conditionalFormatting>
  <conditionalFormatting sqref="U74">
    <cfRule type="iconSet" priority="2241">
      <iconSet iconSet="3Symbols" showValue="0" reverse="1">
        <cfvo type="percent" val="0"/>
        <cfvo type="num" val="1"/>
        <cfvo type="num" val="1.05"/>
      </iconSet>
    </cfRule>
  </conditionalFormatting>
  <conditionalFormatting sqref="P74">
    <cfRule type="iconSet" priority="2242">
      <iconSet iconSet="3Symbols" showValue="0" reverse="1">
        <cfvo type="percent" val="0"/>
        <cfvo type="num" val="1"/>
        <cfvo type="num" val="1.05"/>
      </iconSet>
    </cfRule>
  </conditionalFormatting>
  <conditionalFormatting sqref="Q73">
    <cfRule type="iconSet" priority="2233">
      <iconSet iconSet="3Symbols" showValue="0" reverse="1">
        <cfvo type="percent" val="0"/>
        <cfvo type="num" val="1"/>
        <cfvo type="num" val="1.05"/>
      </iconSet>
    </cfRule>
  </conditionalFormatting>
  <conditionalFormatting sqref="N73">
    <cfRule type="cellIs" dxfId="2075" priority="2231" operator="lessThan">
      <formula>0</formula>
    </cfRule>
    <cfRule type="cellIs" dxfId="2074" priority="2232" operator="greaterThan">
      <formula>0</formula>
    </cfRule>
  </conditionalFormatting>
  <conditionalFormatting sqref="F73">
    <cfRule type="cellIs" dxfId="2073" priority="2229" operator="lessThan">
      <formula>0</formula>
    </cfRule>
    <cfRule type="cellIs" dxfId="2072" priority="2230" operator="greaterThan">
      <formula>0</formula>
    </cfRule>
  </conditionalFormatting>
  <conditionalFormatting sqref="U73">
    <cfRule type="iconSet" priority="2234">
      <iconSet iconSet="3Symbols" showValue="0" reverse="1">
        <cfvo type="percent" val="0"/>
        <cfvo type="num" val="1"/>
        <cfvo type="num" val="1.05"/>
      </iconSet>
    </cfRule>
  </conditionalFormatting>
  <conditionalFormatting sqref="P73">
    <cfRule type="iconSet" priority="2235">
      <iconSet iconSet="3Symbols" showValue="0" reverse="1">
        <cfvo type="percent" val="0"/>
        <cfvo type="num" val="1"/>
        <cfvo type="num" val="1.05"/>
      </iconSet>
    </cfRule>
  </conditionalFormatting>
  <conditionalFormatting sqref="Q72">
    <cfRule type="iconSet" priority="2226">
      <iconSet iconSet="3Symbols" showValue="0" reverse="1">
        <cfvo type="percent" val="0"/>
        <cfvo type="num" val="1"/>
        <cfvo type="num" val="1.05"/>
      </iconSet>
    </cfRule>
  </conditionalFormatting>
  <conditionalFormatting sqref="N72">
    <cfRule type="cellIs" dxfId="2071" priority="2224" operator="lessThan">
      <formula>0</formula>
    </cfRule>
    <cfRule type="cellIs" dxfId="2070" priority="2225" operator="greaterThan">
      <formula>0</formula>
    </cfRule>
  </conditionalFormatting>
  <conditionalFormatting sqref="F72">
    <cfRule type="cellIs" dxfId="2069" priority="2222" operator="lessThan">
      <formula>0</formula>
    </cfRule>
    <cfRule type="cellIs" dxfId="2068" priority="2223" operator="greaterThan">
      <formula>0</formula>
    </cfRule>
  </conditionalFormatting>
  <conditionalFormatting sqref="U72">
    <cfRule type="iconSet" priority="2227">
      <iconSet iconSet="3Symbols" showValue="0" reverse="1">
        <cfvo type="percent" val="0"/>
        <cfvo type="num" val="1"/>
        <cfvo type="num" val="1.05"/>
      </iconSet>
    </cfRule>
  </conditionalFormatting>
  <conditionalFormatting sqref="P72">
    <cfRule type="iconSet" priority="2228">
      <iconSet iconSet="3Symbols" showValue="0" reverse="1">
        <cfvo type="percent" val="0"/>
        <cfvo type="num" val="1"/>
        <cfvo type="num" val="1.05"/>
      </iconSet>
    </cfRule>
  </conditionalFormatting>
  <conditionalFormatting sqref="Q71">
    <cfRule type="iconSet" priority="2219">
      <iconSet iconSet="3Symbols" showValue="0" reverse="1">
        <cfvo type="percent" val="0"/>
        <cfvo type="num" val="1"/>
        <cfvo type="num" val="1.05"/>
      </iconSet>
    </cfRule>
  </conditionalFormatting>
  <conditionalFormatting sqref="N71">
    <cfRule type="cellIs" dxfId="2067" priority="2217" operator="lessThan">
      <formula>0</formula>
    </cfRule>
    <cfRule type="cellIs" dxfId="2066" priority="2218" operator="greaterThan">
      <formula>0</formula>
    </cfRule>
  </conditionalFormatting>
  <conditionalFormatting sqref="F71">
    <cfRule type="cellIs" dxfId="2065" priority="2215" operator="lessThan">
      <formula>0</formula>
    </cfRule>
    <cfRule type="cellIs" dxfId="2064" priority="2216" operator="greaterThan">
      <formula>0</formula>
    </cfRule>
  </conditionalFormatting>
  <conditionalFormatting sqref="U71">
    <cfRule type="iconSet" priority="2220">
      <iconSet iconSet="3Symbols" showValue="0" reverse="1">
        <cfvo type="percent" val="0"/>
        <cfvo type="num" val="1"/>
        <cfvo type="num" val="1.05"/>
      </iconSet>
    </cfRule>
  </conditionalFormatting>
  <conditionalFormatting sqref="P71">
    <cfRule type="iconSet" priority="2221">
      <iconSet iconSet="3Symbols" showValue="0" reverse="1">
        <cfvo type="percent" val="0"/>
        <cfvo type="num" val="1"/>
        <cfvo type="num" val="1.05"/>
      </iconSet>
    </cfRule>
  </conditionalFormatting>
  <conditionalFormatting sqref="Q70">
    <cfRule type="iconSet" priority="2212">
      <iconSet iconSet="3Symbols" showValue="0" reverse="1">
        <cfvo type="percent" val="0"/>
        <cfvo type="num" val="1"/>
        <cfvo type="num" val="1.05"/>
      </iconSet>
    </cfRule>
  </conditionalFormatting>
  <conditionalFormatting sqref="N70">
    <cfRule type="cellIs" dxfId="2063" priority="2210" operator="lessThan">
      <formula>0</formula>
    </cfRule>
    <cfRule type="cellIs" dxfId="2062" priority="2211" operator="greaterThan">
      <formula>0</formula>
    </cfRule>
  </conditionalFormatting>
  <conditionalFormatting sqref="F70">
    <cfRule type="cellIs" dxfId="2061" priority="2208" operator="lessThan">
      <formula>0</formula>
    </cfRule>
    <cfRule type="cellIs" dxfId="2060" priority="2209" operator="greaterThan">
      <formula>0</formula>
    </cfRule>
  </conditionalFormatting>
  <conditionalFormatting sqref="U70">
    <cfRule type="iconSet" priority="2213">
      <iconSet iconSet="3Symbols" showValue="0" reverse="1">
        <cfvo type="percent" val="0"/>
        <cfvo type="num" val="1"/>
        <cfvo type="num" val="1.05"/>
      </iconSet>
    </cfRule>
  </conditionalFormatting>
  <conditionalFormatting sqref="P70">
    <cfRule type="iconSet" priority="2214">
      <iconSet iconSet="3Symbols" showValue="0" reverse="1">
        <cfvo type="percent" val="0"/>
        <cfvo type="num" val="1"/>
        <cfvo type="num" val="1.05"/>
      </iconSet>
    </cfRule>
  </conditionalFormatting>
  <conditionalFormatting sqref="Q69">
    <cfRule type="iconSet" priority="2205">
      <iconSet iconSet="3Symbols" showValue="0" reverse="1">
        <cfvo type="percent" val="0"/>
        <cfvo type="num" val="1"/>
        <cfvo type="num" val="1.05"/>
      </iconSet>
    </cfRule>
  </conditionalFormatting>
  <conditionalFormatting sqref="N69">
    <cfRule type="cellIs" dxfId="2059" priority="2203" operator="lessThan">
      <formula>0</formula>
    </cfRule>
    <cfRule type="cellIs" dxfId="2058" priority="2204" operator="greaterThan">
      <formula>0</formula>
    </cfRule>
  </conditionalFormatting>
  <conditionalFormatting sqref="F69">
    <cfRule type="cellIs" dxfId="2057" priority="2201" operator="lessThan">
      <formula>0</formula>
    </cfRule>
    <cfRule type="cellIs" dxfId="2056" priority="2202" operator="greaterThan">
      <formula>0</formula>
    </cfRule>
  </conditionalFormatting>
  <conditionalFormatting sqref="U69">
    <cfRule type="iconSet" priority="2206">
      <iconSet iconSet="3Symbols" showValue="0" reverse="1">
        <cfvo type="percent" val="0"/>
        <cfvo type="num" val="1"/>
        <cfvo type="num" val="1.05"/>
      </iconSet>
    </cfRule>
  </conditionalFormatting>
  <conditionalFormatting sqref="P69">
    <cfRule type="iconSet" priority="2207">
      <iconSet iconSet="3Symbols" showValue="0" reverse="1">
        <cfvo type="percent" val="0"/>
        <cfvo type="num" val="1"/>
        <cfvo type="num" val="1.05"/>
      </iconSet>
    </cfRule>
  </conditionalFormatting>
  <conditionalFormatting sqref="Q68">
    <cfRule type="iconSet" priority="2198">
      <iconSet iconSet="3Symbols" showValue="0" reverse="1">
        <cfvo type="percent" val="0"/>
        <cfvo type="num" val="1"/>
        <cfvo type="num" val="1.05"/>
      </iconSet>
    </cfRule>
  </conditionalFormatting>
  <conditionalFormatting sqref="N68">
    <cfRule type="cellIs" dxfId="2055" priority="2196" operator="lessThan">
      <formula>0</formula>
    </cfRule>
    <cfRule type="cellIs" dxfId="2054" priority="2197" operator="greaterThan">
      <formula>0</formula>
    </cfRule>
  </conditionalFormatting>
  <conditionalFormatting sqref="F68">
    <cfRule type="cellIs" dxfId="2053" priority="2194" operator="lessThan">
      <formula>0</formula>
    </cfRule>
    <cfRule type="cellIs" dxfId="2052" priority="2195" operator="greaterThan">
      <formula>0</formula>
    </cfRule>
  </conditionalFormatting>
  <conditionalFormatting sqref="U68">
    <cfRule type="iconSet" priority="2199">
      <iconSet iconSet="3Symbols" showValue="0" reverse="1">
        <cfvo type="percent" val="0"/>
        <cfvo type="num" val="1"/>
        <cfvo type="num" val="1.05"/>
      </iconSet>
    </cfRule>
  </conditionalFormatting>
  <conditionalFormatting sqref="P68">
    <cfRule type="iconSet" priority="2200">
      <iconSet iconSet="3Symbols" showValue="0" reverse="1">
        <cfvo type="percent" val="0"/>
        <cfvo type="num" val="1"/>
        <cfvo type="num" val="1.05"/>
      </iconSet>
    </cfRule>
  </conditionalFormatting>
  <conditionalFormatting sqref="Q66:Q67">
    <cfRule type="iconSet" priority="2191">
      <iconSet iconSet="3Symbols" showValue="0" reverse="1">
        <cfvo type="percent" val="0"/>
        <cfvo type="num" val="1"/>
        <cfvo type="num" val="1.05"/>
      </iconSet>
    </cfRule>
  </conditionalFormatting>
  <conditionalFormatting sqref="N66:N67">
    <cfRule type="cellIs" dxfId="2051" priority="2189" operator="lessThan">
      <formula>0</formula>
    </cfRule>
    <cfRule type="cellIs" dxfId="2050" priority="2190" operator="greaterThan">
      <formula>0</formula>
    </cfRule>
  </conditionalFormatting>
  <conditionalFormatting sqref="F66:F67">
    <cfRule type="cellIs" dxfId="2049" priority="2187" operator="lessThan">
      <formula>0</formula>
    </cfRule>
    <cfRule type="cellIs" dxfId="2048" priority="2188" operator="greaterThan">
      <formula>0</formula>
    </cfRule>
  </conditionalFormatting>
  <conditionalFormatting sqref="U66:U67">
    <cfRule type="iconSet" priority="2192">
      <iconSet iconSet="3Symbols" showValue="0" reverse="1">
        <cfvo type="percent" val="0"/>
        <cfvo type="num" val="1"/>
        <cfvo type="num" val="1.05"/>
      </iconSet>
    </cfRule>
  </conditionalFormatting>
  <conditionalFormatting sqref="P66:P67">
    <cfRule type="iconSet" priority="2193">
      <iconSet iconSet="3Symbols" showValue="0" reverse="1">
        <cfvo type="percent" val="0"/>
        <cfvo type="num" val="1"/>
        <cfvo type="num" val="1.05"/>
      </iconSet>
    </cfRule>
  </conditionalFormatting>
  <conditionalFormatting sqref="Q65">
    <cfRule type="iconSet" priority="2184">
      <iconSet iconSet="3Symbols" showValue="0" reverse="1">
        <cfvo type="percent" val="0"/>
        <cfvo type="num" val="1"/>
        <cfvo type="num" val="1.05"/>
      </iconSet>
    </cfRule>
  </conditionalFormatting>
  <conditionalFormatting sqref="N65">
    <cfRule type="cellIs" dxfId="2047" priority="2182" operator="lessThan">
      <formula>0</formula>
    </cfRule>
    <cfRule type="cellIs" dxfId="2046" priority="2183" operator="greaterThan">
      <formula>0</formula>
    </cfRule>
  </conditionalFormatting>
  <conditionalFormatting sqref="F65">
    <cfRule type="cellIs" dxfId="2045" priority="2180" operator="lessThan">
      <formula>0</formula>
    </cfRule>
    <cfRule type="cellIs" dxfId="2044" priority="2181" operator="greaterThan">
      <formula>0</formula>
    </cfRule>
  </conditionalFormatting>
  <conditionalFormatting sqref="U65">
    <cfRule type="iconSet" priority="2185">
      <iconSet iconSet="3Symbols" showValue="0" reverse="1">
        <cfvo type="percent" val="0"/>
        <cfvo type="num" val="1"/>
        <cfvo type="num" val="1.05"/>
      </iconSet>
    </cfRule>
  </conditionalFormatting>
  <conditionalFormatting sqref="P65">
    <cfRule type="iconSet" priority="2186">
      <iconSet iconSet="3Symbols" showValue="0" reverse="1">
        <cfvo type="percent" val="0"/>
        <cfvo type="num" val="1"/>
        <cfvo type="num" val="1.05"/>
      </iconSet>
    </cfRule>
  </conditionalFormatting>
  <conditionalFormatting sqref="Q64">
    <cfRule type="iconSet" priority="2177">
      <iconSet iconSet="3Symbols" showValue="0" reverse="1">
        <cfvo type="percent" val="0"/>
        <cfvo type="num" val="1"/>
        <cfvo type="num" val="1.05"/>
      </iconSet>
    </cfRule>
  </conditionalFormatting>
  <conditionalFormatting sqref="N64">
    <cfRule type="cellIs" dxfId="2043" priority="2175" operator="lessThan">
      <formula>0</formula>
    </cfRule>
    <cfRule type="cellIs" dxfId="2042" priority="2176" operator="greaterThan">
      <formula>0</formula>
    </cfRule>
  </conditionalFormatting>
  <conditionalFormatting sqref="F64">
    <cfRule type="cellIs" dxfId="2041" priority="2173" operator="lessThan">
      <formula>0</formula>
    </cfRule>
    <cfRule type="cellIs" dxfId="2040" priority="2174" operator="greaterThan">
      <formula>0</formula>
    </cfRule>
  </conditionalFormatting>
  <conditionalFormatting sqref="U64">
    <cfRule type="iconSet" priority="2178">
      <iconSet iconSet="3Symbols" showValue="0" reverse="1">
        <cfvo type="percent" val="0"/>
        <cfvo type="num" val="1"/>
        <cfvo type="num" val="1.05"/>
      </iconSet>
    </cfRule>
  </conditionalFormatting>
  <conditionalFormatting sqref="P64">
    <cfRule type="iconSet" priority="2179">
      <iconSet iconSet="3Symbols" showValue="0" reverse="1">
        <cfvo type="percent" val="0"/>
        <cfvo type="num" val="1"/>
        <cfvo type="num" val="1.05"/>
      </iconSet>
    </cfRule>
  </conditionalFormatting>
  <conditionalFormatting sqref="Q63">
    <cfRule type="iconSet" priority="2170">
      <iconSet iconSet="3Symbols" showValue="0" reverse="1">
        <cfvo type="percent" val="0"/>
        <cfvo type="num" val="1"/>
        <cfvo type="num" val="1.05"/>
      </iconSet>
    </cfRule>
  </conditionalFormatting>
  <conditionalFormatting sqref="N63">
    <cfRule type="cellIs" dxfId="2039" priority="2168" operator="lessThan">
      <formula>0</formula>
    </cfRule>
    <cfRule type="cellIs" dxfId="2038" priority="2169" operator="greaterThan">
      <formula>0</formula>
    </cfRule>
  </conditionalFormatting>
  <conditionalFormatting sqref="F63">
    <cfRule type="cellIs" dxfId="2037" priority="2166" operator="lessThan">
      <formula>0</formula>
    </cfRule>
    <cfRule type="cellIs" dxfId="2036" priority="2167" operator="greaterThan">
      <formula>0</formula>
    </cfRule>
  </conditionalFormatting>
  <conditionalFormatting sqref="U63">
    <cfRule type="iconSet" priority="2171">
      <iconSet iconSet="3Symbols" showValue="0" reverse="1">
        <cfvo type="percent" val="0"/>
        <cfvo type="num" val="1"/>
        <cfvo type="num" val="1.05"/>
      </iconSet>
    </cfRule>
  </conditionalFormatting>
  <conditionalFormatting sqref="P63">
    <cfRule type="iconSet" priority="2172">
      <iconSet iconSet="3Symbols" showValue="0" reverse="1">
        <cfvo type="percent" val="0"/>
        <cfvo type="num" val="1"/>
        <cfvo type="num" val="1.05"/>
      </iconSet>
    </cfRule>
  </conditionalFormatting>
  <conditionalFormatting sqref="Q62">
    <cfRule type="iconSet" priority="2163">
      <iconSet iconSet="3Symbols" showValue="0" reverse="1">
        <cfvo type="percent" val="0"/>
        <cfvo type="num" val="1"/>
        <cfvo type="num" val="1.05"/>
      </iconSet>
    </cfRule>
  </conditionalFormatting>
  <conditionalFormatting sqref="N62">
    <cfRule type="cellIs" dxfId="2035" priority="2161" operator="lessThan">
      <formula>0</formula>
    </cfRule>
    <cfRule type="cellIs" dxfId="2034" priority="2162" operator="greaterThan">
      <formula>0</formula>
    </cfRule>
  </conditionalFormatting>
  <conditionalFormatting sqref="F62">
    <cfRule type="cellIs" dxfId="2033" priority="2159" operator="lessThan">
      <formula>0</formula>
    </cfRule>
    <cfRule type="cellIs" dxfId="2032" priority="2160" operator="greaterThan">
      <formula>0</formula>
    </cfRule>
  </conditionalFormatting>
  <conditionalFormatting sqref="U62">
    <cfRule type="iconSet" priority="2164">
      <iconSet iconSet="3Symbols" showValue="0" reverse="1">
        <cfvo type="percent" val="0"/>
        <cfvo type="num" val="1"/>
        <cfvo type="num" val="1.05"/>
      </iconSet>
    </cfRule>
  </conditionalFormatting>
  <conditionalFormatting sqref="P62">
    <cfRule type="iconSet" priority="2165">
      <iconSet iconSet="3Symbols" showValue="0" reverse="1">
        <cfvo type="percent" val="0"/>
        <cfvo type="num" val="1"/>
        <cfvo type="num" val="1.05"/>
      </iconSet>
    </cfRule>
  </conditionalFormatting>
  <conditionalFormatting sqref="Q61">
    <cfRule type="iconSet" priority="2156">
      <iconSet iconSet="3Symbols" showValue="0" reverse="1">
        <cfvo type="percent" val="0"/>
        <cfvo type="num" val="1"/>
        <cfvo type="num" val="1.05"/>
      </iconSet>
    </cfRule>
  </conditionalFormatting>
  <conditionalFormatting sqref="N61">
    <cfRule type="cellIs" dxfId="2031" priority="2154" operator="lessThan">
      <formula>0</formula>
    </cfRule>
    <cfRule type="cellIs" dxfId="2030" priority="2155" operator="greaterThan">
      <formula>0</formula>
    </cfRule>
  </conditionalFormatting>
  <conditionalFormatting sqref="F61">
    <cfRule type="cellIs" dxfId="2029" priority="2152" operator="lessThan">
      <formula>0</formula>
    </cfRule>
    <cfRule type="cellIs" dxfId="2028" priority="2153" operator="greaterThan">
      <formula>0</formula>
    </cfRule>
  </conditionalFormatting>
  <conditionalFormatting sqref="U61">
    <cfRule type="iconSet" priority="2157">
      <iconSet iconSet="3Symbols" showValue="0" reverse="1">
        <cfvo type="percent" val="0"/>
        <cfvo type="num" val="1"/>
        <cfvo type="num" val="1.05"/>
      </iconSet>
    </cfRule>
  </conditionalFormatting>
  <conditionalFormatting sqref="P61">
    <cfRule type="iconSet" priority="2158">
      <iconSet iconSet="3Symbols" showValue="0" reverse="1">
        <cfvo type="percent" val="0"/>
        <cfvo type="num" val="1"/>
        <cfvo type="num" val="1.05"/>
      </iconSet>
    </cfRule>
  </conditionalFormatting>
  <conditionalFormatting sqref="Q60">
    <cfRule type="iconSet" priority="2149">
      <iconSet iconSet="3Symbols" showValue="0" reverse="1">
        <cfvo type="percent" val="0"/>
        <cfvo type="num" val="1"/>
        <cfvo type="num" val="1.05"/>
      </iconSet>
    </cfRule>
  </conditionalFormatting>
  <conditionalFormatting sqref="N60">
    <cfRule type="cellIs" dxfId="2027" priority="2147" operator="lessThan">
      <formula>0</formula>
    </cfRule>
    <cfRule type="cellIs" dxfId="2026" priority="2148" operator="greaterThan">
      <formula>0</formula>
    </cfRule>
  </conditionalFormatting>
  <conditionalFormatting sqref="F60">
    <cfRule type="cellIs" dxfId="2025" priority="2145" operator="lessThan">
      <formula>0</formula>
    </cfRule>
    <cfRule type="cellIs" dxfId="2024" priority="2146" operator="greaterThan">
      <formula>0</formula>
    </cfRule>
  </conditionalFormatting>
  <conditionalFormatting sqref="U60">
    <cfRule type="iconSet" priority="2150">
      <iconSet iconSet="3Symbols" showValue="0" reverse="1">
        <cfvo type="percent" val="0"/>
        <cfvo type="num" val="1"/>
        <cfvo type="num" val="1.05"/>
      </iconSet>
    </cfRule>
  </conditionalFormatting>
  <conditionalFormatting sqref="P60">
    <cfRule type="iconSet" priority="2151">
      <iconSet iconSet="3Symbols" showValue="0" reverse="1">
        <cfvo type="percent" val="0"/>
        <cfvo type="num" val="1"/>
        <cfvo type="num" val="1.05"/>
      </iconSet>
    </cfRule>
  </conditionalFormatting>
  <conditionalFormatting sqref="Q59">
    <cfRule type="iconSet" priority="2142">
      <iconSet iconSet="3Symbols" showValue="0" reverse="1">
        <cfvo type="percent" val="0"/>
        <cfvo type="num" val="1"/>
        <cfvo type="num" val="1.05"/>
      </iconSet>
    </cfRule>
  </conditionalFormatting>
  <conditionalFormatting sqref="N59">
    <cfRule type="cellIs" dxfId="2023" priority="2140" operator="lessThan">
      <formula>0</formula>
    </cfRule>
    <cfRule type="cellIs" dxfId="2022" priority="2141" operator="greaterThan">
      <formula>0</formula>
    </cfRule>
  </conditionalFormatting>
  <conditionalFormatting sqref="F59">
    <cfRule type="cellIs" dxfId="2021" priority="2138" operator="lessThan">
      <formula>0</formula>
    </cfRule>
    <cfRule type="cellIs" dxfId="2020" priority="2139" operator="greaterThan">
      <formula>0</formula>
    </cfRule>
  </conditionalFormatting>
  <conditionalFormatting sqref="U59">
    <cfRule type="iconSet" priority="2143">
      <iconSet iconSet="3Symbols" showValue="0" reverse="1">
        <cfvo type="percent" val="0"/>
        <cfvo type="num" val="1"/>
        <cfvo type="num" val="1.05"/>
      </iconSet>
    </cfRule>
  </conditionalFormatting>
  <conditionalFormatting sqref="P59">
    <cfRule type="iconSet" priority="2144">
      <iconSet iconSet="3Symbols" showValue="0" reverse="1">
        <cfvo type="percent" val="0"/>
        <cfvo type="num" val="1"/>
        <cfvo type="num" val="1.05"/>
      </iconSet>
    </cfRule>
  </conditionalFormatting>
  <conditionalFormatting sqref="Q58">
    <cfRule type="iconSet" priority="2135">
      <iconSet iconSet="3Symbols" showValue="0" reverse="1">
        <cfvo type="percent" val="0"/>
        <cfvo type="num" val="1"/>
        <cfvo type="num" val="1.05"/>
      </iconSet>
    </cfRule>
  </conditionalFormatting>
  <conditionalFormatting sqref="N58">
    <cfRule type="cellIs" dxfId="2019" priority="2133" operator="lessThan">
      <formula>0</formula>
    </cfRule>
    <cfRule type="cellIs" dxfId="2018" priority="2134" operator="greaterThan">
      <formula>0</formula>
    </cfRule>
  </conditionalFormatting>
  <conditionalFormatting sqref="F58">
    <cfRule type="cellIs" dxfId="2017" priority="2131" operator="lessThan">
      <formula>0</formula>
    </cfRule>
    <cfRule type="cellIs" dxfId="2016" priority="2132" operator="greaterThan">
      <formula>0</formula>
    </cfRule>
  </conditionalFormatting>
  <conditionalFormatting sqref="U58">
    <cfRule type="iconSet" priority="2136">
      <iconSet iconSet="3Symbols" showValue="0" reverse="1">
        <cfvo type="percent" val="0"/>
        <cfvo type="num" val="1"/>
        <cfvo type="num" val="1.05"/>
      </iconSet>
    </cfRule>
  </conditionalFormatting>
  <conditionalFormatting sqref="P58">
    <cfRule type="iconSet" priority="2137">
      <iconSet iconSet="3Symbols" showValue="0" reverse="1">
        <cfvo type="percent" val="0"/>
        <cfvo type="num" val="1"/>
        <cfvo type="num" val="1.05"/>
      </iconSet>
    </cfRule>
  </conditionalFormatting>
  <conditionalFormatting sqref="Q57">
    <cfRule type="iconSet" priority="2128">
      <iconSet iconSet="3Symbols" showValue="0" reverse="1">
        <cfvo type="percent" val="0"/>
        <cfvo type="num" val="1"/>
        <cfvo type="num" val="1.05"/>
      </iconSet>
    </cfRule>
  </conditionalFormatting>
  <conditionalFormatting sqref="N57">
    <cfRule type="cellIs" dxfId="2015" priority="2126" operator="lessThan">
      <formula>0</formula>
    </cfRule>
    <cfRule type="cellIs" dxfId="2014" priority="2127" operator="greaterThan">
      <formula>0</formula>
    </cfRule>
  </conditionalFormatting>
  <conditionalFormatting sqref="F57">
    <cfRule type="cellIs" dxfId="2013" priority="2124" operator="lessThan">
      <formula>0</formula>
    </cfRule>
    <cfRule type="cellIs" dxfId="2012" priority="2125" operator="greaterThan">
      <formula>0</formula>
    </cfRule>
  </conditionalFormatting>
  <conditionalFormatting sqref="U57">
    <cfRule type="iconSet" priority="2129">
      <iconSet iconSet="3Symbols" showValue="0" reverse="1">
        <cfvo type="percent" val="0"/>
        <cfvo type="num" val="1"/>
        <cfvo type="num" val="1.05"/>
      </iconSet>
    </cfRule>
  </conditionalFormatting>
  <conditionalFormatting sqref="P57">
    <cfRule type="iconSet" priority="2130">
      <iconSet iconSet="3Symbols" showValue="0" reverse="1">
        <cfvo type="percent" val="0"/>
        <cfvo type="num" val="1"/>
        <cfvo type="num" val="1.05"/>
      </iconSet>
    </cfRule>
  </conditionalFormatting>
  <conditionalFormatting sqref="Q56">
    <cfRule type="iconSet" priority="2121">
      <iconSet iconSet="3Symbols" showValue="0" reverse="1">
        <cfvo type="percent" val="0"/>
        <cfvo type="num" val="1"/>
        <cfvo type="num" val="1.05"/>
      </iconSet>
    </cfRule>
  </conditionalFormatting>
  <conditionalFormatting sqref="N56">
    <cfRule type="cellIs" dxfId="2011" priority="2119" operator="lessThan">
      <formula>0</formula>
    </cfRule>
    <cfRule type="cellIs" dxfId="2010" priority="2120" operator="greaterThan">
      <formula>0</formula>
    </cfRule>
  </conditionalFormatting>
  <conditionalFormatting sqref="F56">
    <cfRule type="cellIs" dxfId="2009" priority="2117" operator="lessThan">
      <formula>0</formula>
    </cfRule>
    <cfRule type="cellIs" dxfId="2008" priority="2118" operator="greaterThan">
      <formula>0</formula>
    </cfRule>
  </conditionalFormatting>
  <conditionalFormatting sqref="U56">
    <cfRule type="iconSet" priority="2122">
      <iconSet iconSet="3Symbols" showValue="0" reverse="1">
        <cfvo type="percent" val="0"/>
        <cfvo type="num" val="1"/>
        <cfvo type="num" val="1.05"/>
      </iconSet>
    </cfRule>
  </conditionalFormatting>
  <conditionalFormatting sqref="P56">
    <cfRule type="iconSet" priority="2123">
      <iconSet iconSet="3Symbols" showValue="0" reverse="1">
        <cfvo type="percent" val="0"/>
        <cfvo type="num" val="1"/>
        <cfvo type="num" val="1.05"/>
      </iconSet>
    </cfRule>
  </conditionalFormatting>
  <conditionalFormatting sqref="Q55">
    <cfRule type="iconSet" priority="2114">
      <iconSet iconSet="3Symbols" showValue="0" reverse="1">
        <cfvo type="percent" val="0"/>
        <cfvo type="num" val="1"/>
        <cfvo type="num" val="1.05"/>
      </iconSet>
    </cfRule>
  </conditionalFormatting>
  <conditionalFormatting sqref="N55">
    <cfRule type="cellIs" dxfId="2007" priority="2112" operator="lessThan">
      <formula>0</formula>
    </cfRule>
    <cfRule type="cellIs" dxfId="2006" priority="2113" operator="greaterThan">
      <formula>0</formula>
    </cfRule>
  </conditionalFormatting>
  <conditionalFormatting sqref="F55">
    <cfRule type="cellIs" dxfId="2005" priority="2110" operator="lessThan">
      <formula>0</formula>
    </cfRule>
    <cfRule type="cellIs" dxfId="2004" priority="2111" operator="greaterThan">
      <formula>0</formula>
    </cfRule>
  </conditionalFormatting>
  <conditionalFormatting sqref="U55">
    <cfRule type="iconSet" priority="2115">
      <iconSet iconSet="3Symbols" showValue="0" reverse="1">
        <cfvo type="percent" val="0"/>
        <cfvo type="num" val="1"/>
        <cfvo type="num" val="1.05"/>
      </iconSet>
    </cfRule>
  </conditionalFormatting>
  <conditionalFormatting sqref="P55">
    <cfRule type="iconSet" priority="2116">
      <iconSet iconSet="3Symbols" showValue="0" reverse="1">
        <cfvo type="percent" val="0"/>
        <cfvo type="num" val="1"/>
        <cfvo type="num" val="1.05"/>
      </iconSet>
    </cfRule>
  </conditionalFormatting>
  <conditionalFormatting sqref="Q53:Q54">
    <cfRule type="iconSet" priority="2107">
      <iconSet iconSet="3Symbols" showValue="0" reverse="1">
        <cfvo type="percent" val="0"/>
        <cfvo type="num" val="1"/>
        <cfvo type="num" val="1.05"/>
      </iconSet>
    </cfRule>
  </conditionalFormatting>
  <conditionalFormatting sqref="N53:N54">
    <cfRule type="cellIs" dxfId="2003" priority="2105" operator="lessThan">
      <formula>0</formula>
    </cfRule>
    <cfRule type="cellIs" dxfId="2002" priority="2106" operator="greaterThan">
      <formula>0</formula>
    </cfRule>
  </conditionalFormatting>
  <conditionalFormatting sqref="F53:F54">
    <cfRule type="cellIs" dxfId="2001" priority="2103" operator="lessThan">
      <formula>0</formula>
    </cfRule>
    <cfRule type="cellIs" dxfId="2000" priority="2104" operator="greaterThan">
      <formula>0</formula>
    </cfRule>
  </conditionalFormatting>
  <conditionalFormatting sqref="U53:U54">
    <cfRule type="iconSet" priority="2108">
      <iconSet iconSet="3Symbols" showValue="0" reverse="1">
        <cfvo type="percent" val="0"/>
        <cfvo type="num" val="1"/>
        <cfvo type="num" val="1.05"/>
      </iconSet>
    </cfRule>
  </conditionalFormatting>
  <conditionalFormatting sqref="P53:P54">
    <cfRule type="iconSet" priority="2109">
      <iconSet iconSet="3Symbols" showValue="0" reverse="1">
        <cfvo type="percent" val="0"/>
        <cfvo type="num" val="1"/>
        <cfvo type="num" val="1.05"/>
      </iconSet>
    </cfRule>
  </conditionalFormatting>
  <conditionalFormatting sqref="Q52">
    <cfRule type="iconSet" priority="2100">
      <iconSet iconSet="3Symbols" showValue="0" reverse="1">
        <cfvo type="percent" val="0"/>
        <cfvo type="num" val="1"/>
        <cfvo type="num" val="1.05"/>
      </iconSet>
    </cfRule>
  </conditionalFormatting>
  <conditionalFormatting sqref="N52">
    <cfRule type="cellIs" dxfId="1999" priority="2098" operator="lessThan">
      <formula>0</formula>
    </cfRule>
    <cfRule type="cellIs" dxfId="1998" priority="2099" operator="greaterThan">
      <formula>0</formula>
    </cfRule>
  </conditionalFormatting>
  <conditionalFormatting sqref="F52">
    <cfRule type="cellIs" dxfId="1997" priority="2096" operator="lessThan">
      <formula>0</formula>
    </cfRule>
    <cfRule type="cellIs" dxfId="1996" priority="2097" operator="greaterThan">
      <formula>0</formula>
    </cfRule>
  </conditionalFormatting>
  <conditionalFormatting sqref="U52">
    <cfRule type="iconSet" priority="2101">
      <iconSet iconSet="3Symbols" showValue="0" reverse="1">
        <cfvo type="percent" val="0"/>
        <cfvo type="num" val="1"/>
        <cfvo type="num" val="1.05"/>
      </iconSet>
    </cfRule>
  </conditionalFormatting>
  <conditionalFormatting sqref="P52">
    <cfRule type="iconSet" priority="2102">
      <iconSet iconSet="3Symbols" showValue="0" reverse="1">
        <cfvo type="percent" val="0"/>
        <cfvo type="num" val="1"/>
        <cfvo type="num" val="1.05"/>
      </iconSet>
    </cfRule>
  </conditionalFormatting>
  <conditionalFormatting sqref="Q51">
    <cfRule type="iconSet" priority="2093">
      <iconSet iconSet="3Symbols" showValue="0" reverse="1">
        <cfvo type="percent" val="0"/>
        <cfvo type="num" val="1"/>
        <cfvo type="num" val="1.05"/>
      </iconSet>
    </cfRule>
  </conditionalFormatting>
  <conditionalFormatting sqref="N51">
    <cfRule type="cellIs" dxfId="1995" priority="2091" operator="lessThan">
      <formula>0</formula>
    </cfRule>
    <cfRule type="cellIs" dxfId="1994" priority="2092" operator="greaterThan">
      <formula>0</formula>
    </cfRule>
  </conditionalFormatting>
  <conditionalFormatting sqref="F51">
    <cfRule type="cellIs" dxfId="1993" priority="2089" operator="lessThan">
      <formula>0</formula>
    </cfRule>
    <cfRule type="cellIs" dxfId="1992" priority="2090" operator="greaterThan">
      <formula>0</formula>
    </cfRule>
  </conditionalFormatting>
  <conditionalFormatting sqref="U51">
    <cfRule type="iconSet" priority="2094">
      <iconSet iconSet="3Symbols" showValue="0" reverse="1">
        <cfvo type="percent" val="0"/>
        <cfvo type="num" val="1"/>
        <cfvo type="num" val="1.05"/>
      </iconSet>
    </cfRule>
  </conditionalFormatting>
  <conditionalFormatting sqref="P51">
    <cfRule type="iconSet" priority="2095">
      <iconSet iconSet="3Symbols" showValue="0" reverse="1">
        <cfvo type="percent" val="0"/>
        <cfvo type="num" val="1"/>
        <cfvo type="num" val="1.05"/>
      </iconSet>
    </cfRule>
  </conditionalFormatting>
  <conditionalFormatting sqref="Q50">
    <cfRule type="iconSet" priority="2086">
      <iconSet iconSet="3Symbols" showValue="0" reverse="1">
        <cfvo type="percent" val="0"/>
        <cfvo type="num" val="1"/>
        <cfvo type="num" val="1.05"/>
      </iconSet>
    </cfRule>
  </conditionalFormatting>
  <conditionalFormatting sqref="N50">
    <cfRule type="cellIs" dxfId="1991" priority="2084" operator="lessThan">
      <formula>0</formula>
    </cfRule>
    <cfRule type="cellIs" dxfId="1990" priority="2085" operator="greaterThan">
      <formula>0</formula>
    </cfRule>
  </conditionalFormatting>
  <conditionalFormatting sqref="F50">
    <cfRule type="cellIs" dxfId="1989" priority="2082" operator="lessThan">
      <formula>0</formula>
    </cfRule>
    <cfRule type="cellIs" dxfId="1988" priority="2083" operator="greaterThan">
      <formula>0</formula>
    </cfRule>
  </conditionalFormatting>
  <conditionalFormatting sqref="U50">
    <cfRule type="iconSet" priority="2087">
      <iconSet iconSet="3Symbols" showValue="0" reverse="1">
        <cfvo type="percent" val="0"/>
        <cfvo type="num" val="1"/>
        <cfvo type="num" val="1.05"/>
      </iconSet>
    </cfRule>
  </conditionalFormatting>
  <conditionalFormatting sqref="P50">
    <cfRule type="iconSet" priority="2088">
      <iconSet iconSet="3Symbols" showValue="0" reverse="1">
        <cfvo type="percent" val="0"/>
        <cfvo type="num" val="1"/>
        <cfvo type="num" val="1.05"/>
      </iconSet>
    </cfRule>
  </conditionalFormatting>
  <conditionalFormatting sqref="Q49">
    <cfRule type="iconSet" priority="2079">
      <iconSet iconSet="3Symbols" showValue="0" reverse="1">
        <cfvo type="percent" val="0"/>
        <cfvo type="num" val="1"/>
        <cfvo type="num" val="1.05"/>
      </iconSet>
    </cfRule>
  </conditionalFormatting>
  <conditionalFormatting sqref="N49">
    <cfRule type="cellIs" dxfId="1987" priority="2077" operator="lessThan">
      <formula>0</formula>
    </cfRule>
    <cfRule type="cellIs" dxfId="1986" priority="2078" operator="greaterThan">
      <formula>0</formula>
    </cfRule>
  </conditionalFormatting>
  <conditionalFormatting sqref="F49">
    <cfRule type="cellIs" dxfId="1985" priority="2075" operator="lessThan">
      <formula>0</formula>
    </cfRule>
    <cfRule type="cellIs" dxfId="1984" priority="2076" operator="greaterThan">
      <formula>0</formula>
    </cfRule>
  </conditionalFormatting>
  <conditionalFormatting sqref="U49">
    <cfRule type="iconSet" priority="2080">
      <iconSet iconSet="3Symbols" showValue="0" reverse="1">
        <cfvo type="percent" val="0"/>
        <cfvo type="num" val="1"/>
        <cfvo type="num" val="1.05"/>
      </iconSet>
    </cfRule>
  </conditionalFormatting>
  <conditionalFormatting sqref="P49">
    <cfRule type="iconSet" priority="2081">
      <iconSet iconSet="3Symbols" showValue="0" reverse="1">
        <cfvo type="percent" val="0"/>
        <cfvo type="num" val="1"/>
        <cfvo type="num" val="1.05"/>
      </iconSet>
    </cfRule>
  </conditionalFormatting>
  <conditionalFormatting sqref="Q48">
    <cfRule type="iconSet" priority="2072">
      <iconSet iconSet="3Symbols" showValue="0" reverse="1">
        <cfvo type="percent" val="0"/>
        <cfvo type="num" val="1"/>
        <cfvo type="num" val="1.05"/>
      </iconSet>
    </cfRule>
  </conditionalFormatting>
  <conditionalFormatting sqref="N48">
    <cfRule type="cellIs" dxfId="1983" priority="2070" operator="lessThan">
      <formula>0</formula>
    </cfRule>
    <cfRule type="cellIs" dxfId="1982" priority="2071" operator="greaterThan">
      <formula>0</formula>
    </cfRule>
  </conditionalFormatting>
  <conditionalFormatting sqref="F48">
    <cfRule type="cellIs" dxfId="1981" priority="2068" operator="lessThan">
      <formula>0</formula>
    </cfRule>
    <cfRule type="cellIs" dxfId="1980" priority="2069" operator="greaterThan">
      <formula>0</formula>
    </cfRule>
  </conditionalFormatting>
  <conditionalFormatting sqref="U48">
    <cfRule type="iconSet" priority="2073">
      <iconSet iconSet="3Symbols" showValue="0" reverse="1">
        <cfvo type="percent" val="0"/>
        <cfvo type="num" val="1"/>
        <cfvo type="num" val="1.05"/>
      </iconSet>
    </cfRule>
  </conditionalFormatting>
  <conditionalFormatting sqref="P48">
    <cfRule type="iconSet" priority="2074">
      <iconSet iconSet="3Symbols" showValue="0" reverse="1">
        <cfvo type="percent" val="0"/>
        <cfvo type="num" val="1"/>
        <cfvo type="num" val="1.05"/>
      </iconSet>
    </cfRule>
  </conditionalFormatting>
  <conditionalFormatting sqref="Q47">
    <cfRule type="iconSet" priority="2065">
      <iconSet iconSet="3Symbols" showValue="0" reverse="1">
        <cfvo type="percent" val="0"/>
        <cfvo type="num" val="1"/>
        <cfvo type="num" val="1.05"/>
      </iconSet>
    </cfRule>
  </conditionalFormatting>
  <conditionalFormatting sqref="N47">
    <cfRule type="cellIs" dxfId="1979" priority="2063" operator="lessThan">
      <formula>0</formula>
    </cfRule>
    <cfRule type="cellIs" dxfId="1978" priority="2064" operator="greaterThan">
      <formula>0</formula>
    </cfRule>
  </conditionalFormatting>
  <conditionalFormatting sqref="F47">
    <cfRule type="cellIs" dxfId="1977" priority="2061" operator="lessThan">
      <formula>0</formula>
    </cfRule>
    <cfRule type="cellIs" dxfId="1976" priority="2062" operator="greaterThan">
      <formula>0</formula>
    </cfRule>
  </conditionalFormatting>
  <conditionalFormatting sqref="U47">
    <cfRule type="iconSet" priority="2066">
      <iconSet iconSet="3Symbols" showValue="0" reverse="1">
        <cfvo type="percent" val="0"/>
        <cfvo type="num" val="1"/>
        <cfvo type="num" val="1.05"/>
      </iconSet>
    </cfRule>
  </conditionalFormatting>
  <conditionalFormatting sqref="P47">
    <cfRule type="iconSet" priority="2067">
      <iconSet iconSet="3Symbols" showValue="0" reverse="1">
        <cfvo type="percent" val="0"/>
        <cfvo type="num" val="1"/>
        <cfvo type="num" val="1.05"/>
      </iconSet>
    </cfRule>
  </conditionalFormatting>
  <conditionalFormatting sqref="Q46">
    <cfRule type="iconSet" priority="2058">
      <iconSet iconSet="3Symbols" showValue="0" reverse="1">
        <cfvo type="percent" val="0"/>
        <cfvo type="num" val="1"/>
        <cfvo type="num" val="1.05"/>
      </iconSet>
    </cfRule>
  </conditionalFormatting>
  <conditionalFormatting sqref="N46">
    <cfRule type="cellIs" dxfId="1975" priority="2056" operator="lessThan">
      <formula>0</formula>
    </cfRule>
    <cfRule type="cellIs" dxfId="1974" priority="2057" operator="greaterThan">
      <formula>0</formula>
    </cfRule>
  </conditionalFormatting>
  <conditionalFormatting sqref="F46">
    <cfRule type="cellIs" dxfId="1973" priority="2054" operator="lessThan">
      <formula>0</formula>
    </cfRule>
    <cfRule type="cellIs" dxfId="1972" priority="2055" operator="greaterThan">
      <formula>0</formula>
    </cfRule>
  </conditionalFormatting>
  <conditionalFormatting sqref="U46">
    <cfRule type="iconSet" priority="2059">
      <iconSet iconSet="3Symbols" showValue="0" reverse="1">
        <cfvo type="percent" val="0"/>
        <cfvo type="num" val="1"/>
        <cfvo type="num" val="1.05"/>
      </iconSet>
    </cfRule>
  </conditionalFormatting>
  <conditionalFormatting sqref="P46">
    <cfRule type="iconSet" priority="2060">
      <iconSet iconSet="3Symbols" showValue="0" reverse="1">
        <cfvo type="percent" val="0"/>
        <cfvo type="num" val="1"/>
        <cfvo type="num" val="1.05"/>
      </iconSet>
    </cfRule>
  </conditionalFormatting>
  <conditionalFormatting sqref="Q45">
    <cfRule type="iconSet" priority="2051">
      <iconSet iconSet="3Symbols" showValue="0" reverse="1">
        <cfvo type="percent" val="0"/>
        <cfvo type="num" val="1"/>
        <cfvo type="num" val="1.05"/>
      </iconSet>
    </cfRule>
  </conditionalFormatting>
  <conditionalFormatting sqref="N45">
    <cfRule type="cellIs" dxfId="1971" priority="2049" operator="lessThan">
      <formula>0</formula>
    </cfRule>
    <cfRule type="cellIs" dxfId="1970" priority="2050" operator="greaterThan">
      <formula>0</formula>
    </cfRule>
  </conditionalFormatting>
  <conditionalFormatting sqref="F45">
    <cfRule type="cellIs" dxfId="1969" priority="2047" operator="lessThan">
      <formula>0</formula>
    </cfRule>
    <cfRule type="cellIs" dxfId="1968" priority="2048" operator="greaterThan">
      <formula>0</formula>
    </cfRule>
  </conditionalFormatting>
  <conditionalFormatting sqref="U45">
    <cfRule type="iconSet" priority="2052">
      <iconSet iconSet="3Symbols" showValue="0" reverse="1">
        <cfvo type="percent" val="0"/>
        <cfvo type="num" val="1"/>
        <cfvo type="num" val="1.05"/>
      </iconSet>
    </cfRule>
  </conditionalFormatting>
  <conditionalFormatting sqref="P45">
    <cfRule type="iconSet" priority="2053">
      <iconSet iconSet="3Symbols" showValue="0" reverse="1">
        <cfvo type="percent" val="0"/>
        <cfvo type="num" val="1"/>
        <cfvo type="num" val="1.05"/>
      </iconSet>
    </cfRule>
  </conditionalFormatting>
  <conditionalFormatting sqref="Q44">
    <cfRule type="iconSet" priority="2044">
      <iconSet iconSet="3Symbols" showValue="0" reverse="1">
        <cfvo type="percent" val="0"/>
        <cfvo type="num" val="1"/>
        <cfvo type="num" val="1.05"/>
      </iconSet>
    </cfRule>
  </conditionalFormatting>
  <conditionalFormatting sqref="N44">
    <cfRule type="cellIs" dxfId="1967" priority="2042" operator="lessThan">
      <formula>0</formula>
    </cfRule>
    <cfRule type="cellIs" dxfId="1966" priority="2043" operator="greaterThan">
      <formula>0</formula>
    </cfRule>
  </conditionalFormatting>
  <conditionalFormatting sqref="F44">
    <cfRule type="cellIs" dxfId="1965" priority="2040" operator="lessThan">
      <formula>0</formula>
    </cfRule>
    <cfRule type="cellIs" dxfId="1964" priority="2041" operator="greaterThan">
      <formula>0</formula>
    </cfRule>
  </conditionalFormatting>
  <conditionalFormatting sqref="U44">
    <cfRule type="iconSet" priority="2045">
      <iconSet iconSet="3Symbols" showValue="0" reverse="1">
        <cfvo type="percent" val="0"/>
        <cfvo type="num" val="1"/>
        <cfvo type="num" val="1.05"/>
      </iconSet>
    </cfRule>
  </conditionalFormatting>
  <conditionalFormatting sqref="P44">
    <cfRule type="iconSet" priority="2046">
      <iconSet iconSet="3Symbols" showValue="0" reverse="1">
        <cfvo type="percent" val="0"/>
        <cfvo type="num" val="1"/>
        <cfvo type="num" val="1.05"/>
      </iconSet>
    </cfRule>
  </conditionalFormatting>
  <conditionalFormatting sqref="Q43">
    <cfRule type="iconSet" priority="2037">
      <iconSet iconSet="3Symbols" showValue="0" reverse="1">
        <cfvo type="percent" val="0"/>
        <cfvo type="num" val="1"/>
        <cfvo type="num" val="1.05"/>
      </iconSet>
    </cfRule>
  </conditionalFormatting>
  <conditionalFormatting sqref="N43">
    <cfRule type="cellIs" dxfId="1963" priority="2035" operator="lessThan">
      <formula>0</formula>
    </cfRule>
    <cfRule type="cellIs" dxfId="1962" priority="2036" operator="greaterThan">
      <formula>0</formula>
    </cfRule>
  </conditionalFormatting>
  <conditionalFormatting sqref="F43">
    <cfRule type="cellIs" dxfId="1961" priority="2033" operator="lessThan">
      <formula>0</formula>
    </cfRule>
    <cfRule type="cellIs" dxfId="1960" priority="2034" operator="greaterThan">
      <formula>0</formula>
    </cfRule>
  </conditionalFormatting>
  <conditionalFormatting sqref="U43">
    <cfRule type="iconSet" priority="2038">
      <iconSet iconSet="3Symbols" showValue="0" reverse="1">
        <cfvo type="percent" val="0"/>
        <cfvo type="num" val="1"/>
        <cfvo type="num" val="1.05"/>
      </iconSet>
    </cfRule>
  </conditionalFormatting>
  <conditionalFormatting sqref="P43">
    <cfRule type="iconSet" priority="2039">
      <iconSet iconSet="3Symbols" showValue="0" reverse="1">
        <cfvo type="percent" val="0"/>
        <cfvo type="num" val="1"/>
        <cfvo type="num" val="1.05"/>
      </iconSet>
    </cfRule>
  </conditionalFormatting>
  <conditionalFormatting sqref="Q42">
    <cfRule type="iconSet" priority="2030">
      <iconSet iconSet="3Symbols" showValue="0" reverse="1">
        <cfvo type="percent" val="0"/>
        <cfvo type="num" val="1"/>
        <cfvo type="num" val="1.05"/>
      </iconSet>
    </cfRule>
  </conditionalFormatting>
  <conditionalFormatting sqref="N42">
    <cfRule type="cellIs" dxfId="1959" priority="2028" operator="lessThan">
      <formula>0</formula>
    </cfRule>
    <cfRule type="cellIs" dxfId="1958" priority="2029" operator="greaterThan">
      <formula>0</formula>
    </cfRule>
  </conditionalFormatting>
  <conditionalFormatting sqref="F42">
    <cfRule type="cellIs" dxfId="1957" priority="2026" operator="lessThan">
      <formula>0</formula>
    </cfRule>
    <cfRule type="cellIs" dxfId="1956" priority="2027" operator="greaterThan">
      <formula>0</formula>
    </cfRule>
  </conditionalFormatting>
  <conditionalFormatting sqref="U42">
    <cfRule type="iconSet" priority="2031">
      <iconSet iconSet="3Symbols" showValue="0" reverse="1">
        <cfvo type="percent" val="0"/>
        <cfvo type="num" val="1"/>
        <cfvo type="num" val="1.05"/>
      </iconSet>
    </cfRule>
  </conditionalFormatting>
  <conditionalFormatting sqref="P42">
    <cfRule type="iconSet" priority="2032">
      <iconSet iconSet="3Symbols" showValue="0" reverse="1">
        <cfvo type="percent" val="0"/>
        <cfvo type="num" val="1"/>
        <cfvo type="num" val="1.05"/>
      </iconSet>
    </cfRule>
  </conditionalFormatting>
  <conditionalFormatting sqref="Q40:Q41">
    <cfRule type="iconSet" priority="2023">
      <iconSet iconSet="3Symbols" showValue="0" reverse="1">
        <cfvo type="percent" val="0"/>
        <cfvo type="num" val="1"/>
        <cfvo type="num" val="1.05"/>
      </iconSet>
    </cfRule>
  </conditionalFormatting>
  <conditionalFormatting sqref="N40:N41">
    <cfRule type="cellIs" dxfId="1955" priority="2021" operator="lessThan">
      <formula>0</formula>
    </cfRule>
    <cfRule type="cellIs" dxfId="1954" priority="2022" operator="greaterThan">
      <formula>0</formula>
    </cfRule>
  </conditionalFormatting>
  <conditionalFormatting sqref="F40:F41">
    <cfRule type="cellIs" dxfId="1953" priority="2019" operator="lessThan">
      <formula>0</formula>
    </cfRule>
    <cfRule type="cellIs" dxfId="1952" priority="2020" operator="greaterThan">
      <formula>0</formula>
    </cfRule>
  </conditionalFormatting>
  <conditionalFormatting sqref="U40:U41">
    <cfRule type="iconSet" priority="2024">
      <iconSet iconSet="3Symbols" showValue="0" reverse="1">
        <cfvo type="percent" val="0"/>
        <cfvo type="num" val="1"/>
        <cfvo type="num" val="1.05"/>
      </iconSet>
    </cfRule>
  </conditionalFormatting>
  <conditionalFormatting sqref="P40:P41">
    <cfRule type="iconSet" priority="2025">
      <iconSet iconSet="3Symbols" showValue="0" reverse="1">
        <cfvo type="percent" val="0"/>
        <cfvo type="num" val="1"/>
        <cfvo type="num" val="1.05"/>
      </iconSet>
    </cfRule>
  </conditionalFormatting>
  <conditionalFormatting sqref="Q39">
    <cfRule type="iconSet" priority="2016">
      <iconSet iconSet="3Symbols" showValue="0" reverse="1">
        <cfvo type="percent" val="0"/>
        <cfvo type="num" val="1"/>
        <cfvo type="num" val="1.05"/>
      </iconSet>
    </cfRule>
  </conditionalFormatting>
  <conditionalFormatting sqref="N39">
    <cfRule type="cellIs" dxfId="1951" priority="2014" operator="lessThan">
      <formula>0</formula>
    </cfRule>
    <cfRule type="cellIs" dxfId="1950" priority="2015" operator="greaterThan">
      <formula>0</formula>
    </cfRule>
  </conditionalFormatting>
  <conditionalFormatting sqref="F39">
    <cfRule type="cellIs" dxfId="1949" priority="2012" operator="lessThan">
      <formula>0</formula>
    </cfRule>
    <cfRule type="cellIs" dxfId="1948" priority="2013" operator="greaterThan">
      <formula>0</formula>
    </cfRule>
  </conditionalFormatting>
  <conditionalFormatting sqref="U39">
    <cfRule type="iconSet" priority="2017">
      <iconSet iconSet="3Symbols" showValue="0" reverse="1">
        <cfvo type="percent" val="0"/>
        <cfvo type="num" val="1"/>
        <cfvo type="num" val="1.05"/>
      </iconSet>
    </cfRule>
  </conditionalFormatting>
  <conditionalFormatting sqref="P39">
    <cfRule type="iconSet" priority="2018">
      <iconSet iconSet="3Symbols" showValue="0" reverse="1">
        <cfvo type="percent" val="0"/>
        <cfvo type="num" val="1"/>
        <cfvo type="num" val="1.05"/>
      </iconSet>
    </cfRule>
  </conditionalFormatting>
  <conditionalFormatting sqref="Q38">
    <cfRule type="iconSet" priority="2009">
      <iconSet iconSet="3Symbols" showValue="0" reverse="1">
        <cfvo type="percent" val="0"/>
        <cfvo type="num" val="1"/>
        <cfvo type="num" val="1.05"/>
      </iconSet>
    </cfRule>
  </conditionalFormatting>
  <conditionalFormatting sqref="N38">
    <cfRule type="cellIs" dxfId="1947" priority="2007" operator="lessThan">
      <formula>0</formula>
    </cfRule>
    <cfRule type="cellIs" dxfId="1946" priority="2008" operator="greaterThan">
      <formula>0</formula>
    </cfRule>
  </conditionalFormatting>
  <conditionalFormatting sqref="F38">
    <cfRule type="cellIs" dxfId="1945" priority="2005" operator="lessThan">
      <formula>0</formula>
    </cfRule>
    <cfRule type="cellIs" dxfId="1944" priority="2006" operator="greaterThan">
      <formula>0</formula>
    </cfRule>
  </conditionalFormatting>
  <conditionalFormatting sqref="U38">
    <cfRule type="iconSet" priority="2010">
      <iconSet iconSet="3Symbols" showValue="0" reverse="1">
        <cfvo type="percent" val="0"/>
        <cfvo type="num" val="1"/>
        <cfvo type="num" val="1.05"/>
      </iconSet>
    </cfRule>
  </conditionalFormatting>
  <conditionalFormatting sqref="P38">
    <cfRule type="iconSet" priority="2011">
      <iconSet iconSet="3Symbols" showValue="0" reverse="1">
        <cfvo type="percent" val="0"/>
        <cfvo type="num" val="1"/>
        <cfvo type="num" val="1.05"/>
      </iconSet>
    </cfRule>
  </conditionalFormatting>
  <conditionalFormatting sqref="Q37">
    <cfRule type="iconSet" priority="2002">
      <iconSet iconSet="3Symbols" showValue="0" reverse="1">
        <cfvo type="percent" val="0"/>
        <cfvo type="num" val="1"/>
        <cfvo type="num" val="1.05"/>
      </iconSet>
    </cfRule>
  </conditionalFormatting>
  <conditionalFormatting sqref="N37">
    <cfRule type="cellIs" dxfId="1943" priority="2000" operator="lessThan">
      <formula>0</formula>
    </cfRule>
    <cfRule type="cellIs" dxfId="1942" priority="2001" operator="greaterThan">
      <formula>0</formula>
    </cfRule>
  </conditionalFormatting>
  <conditionalFormatting sqref="F37">
    <cfRule type="cellIs" dxfId="1941" priority="1998" operator="lessThan">
      <formula>0</formula>
    </cfRule>
    <cfRule type="cellIs" dxfId="1940" priority="1999" operator="greaterThan">
      <formula>0</formula>
    </cfRule>
  </conditionalFormatting>
  <conditionalFormatting sqref="U37">
    <cfRule type="iconSet" priority="2003">
      <iconSet iconSet="3Symbols" showValue="0" reverse="1">
        <cfvo type="percent" val="0"/>
        <cfvo type="num" val="1"/>
        <cfvo type="num" val="1.05"/>
      </iconSet>
    </cfRule>
  </conditionalFormatting>
  <conditionalFormatting sqref="P37">
    <cfRule type="iconSet" priority="2004">
      <iconSet iconSet="3Symbols" showValue="0" reverse="1">
        <cfvo type="percent" val="0"/>
        <cfvo type="num" val="1"/>
        <cfvo type="num" val="1.05"/>
      </iconSet>
    </cfRule>
  </conditionalFormatting>
  <conditionalFormatting sqref="Q36">
    <cfRule type="iconSet" priority="1995">
      <iconSet iconSet="3Symbols" showValue="0" reverse="1">
        <cfvo type="percent" val="0"/>
        <cfvo type="num" val="1"/>
        <cfvo type="num" val="1.05"/>
      </iconSet>
    </cfRule>
  </conditionalFormatting>
  <conditionalFormatting sqref="N36">
    <cfRule type="cellIs" dxfId="1939" priority="1993" operator="lessThan">
      <formula>0</formula>
    </cfRule>
    <cfRule type="cellIs" dxfId="1938" priority="1994" operator="greaterThan">
      <formula>0</formula>
    </cfRule>
  </conditionalFormatting>
  <conditionalFormatting sqref="F36">
    <cfRule type="cellIs" dxfId="1937" priority="1991" operator="lessThan">
      <formula>0</formula>
    </cfRule>
    <cfRule type="cellIs" dxfId="1936" priority="1992" operator="greaterThan">
      <formula>0</formula>
    </cfRule>
  </conditionalFormatting>
  <conditionalFormatting sqref="U36">
    <cfRule type="iconSet" priority="1996">
      <iconSet iconSet="3Symbols" showValue="0" reverse="1">
        <cfvo type="percent" val="0"/>
        <cfvo type="num" val="1"/>
        <cfvo type="num" val="1.05"/>
      </iconSet>
    </cfRule>
  </conditionalFormatting>
  <conditionalFormatting sqref="P36">
    <cfRule type="iconSet" priority="1997">
      <iconSet iconSet="3Symbols" showValue="0" reverse="1">
        <cfvo type="percent" val="0"/>
        <cfvo type="num" val="1"/>
        <cfvo type="num" val="1.05"/>
      </iconSet>
    </cfRule>
  </conditionalFormatting>
  <conditionalFormatting sqref="Q35">
    <cfRule type="iconSet" priority="1988">
      <iconSet iconSet="3Symbols" showValue="0" reverse="1">
        <cfvo type="percent" val="0"/>
        <cfvo type="num" val="1"/>
        <cfvo type="num" val="1.05"/>
      </iconSet>
    </cfRule>
  </conditionalFormatting>
  <conditionalFormatting sqref="N35">
    <cfRule type="cellIs" dxfId="1935" priority="1986" operator="lessThan">
      <formula>0</formula>
    </cfRule>
    <cfRule type="cellIs" dxfId="1934" priority="1987" operator="greaterThan">
      <formula>0</formula>
    </cfRule>
  </conditionalFormatting>
  <conditionalFormatting sqref="F35">
    <cfRule type="cellIs" dxfId="1933" priority="1984" operator="lessThan">
      <formula>0</formula>
    </cfRule>
    <cfRule type="cellIs" dxfId="1932" priority="1985" operator="greaterThan">
      <formula>0</formula>
    </cfRule>
  </conditionalFormatting>
  <conditionalFormatting sqref="U35">
    <cfRule type="iconSet" priority="1989">
      <iconSet iconSet="3Symbols" showValue="0" reverse="1">
        <cfvo type="percent" val="0"/>
        <cfvo type="num" val="1"/>
        <cfvo type="num" val="1.05"/>
      </iconSet>
    </cfRule>
  </conditionalFormatting>
  <conditionalFormatting sqref="P35">
    <cfRule type="iconSet" priority="1990">
      <iconSet iconSet="3Symbols" showValue="0" reverse="1">
        <cfvo type="percent" val="0"/>
        <cfvo type="num" val="1"/>
        <cfvo type="num" val="1.05"/>
      </iconSet>
    </cfRule>
  </conditionalFormatting>
  <conditionalFormatting sqref="Q34">
    <cfRule type="iconSet" priority="1981">
      <iconSet iconSet="3Symbols" showValue="0" reverse="1">
        <cfvo type="percent" val="0"/>
        <cfvo type="num" val="1"/>
        <cfvo type="num" val="1.05"/>
      </iconSet>
    </cfRule>
  </conditionalFormatting>
  <conditionalFormatting sqref="N34">
    <cfRule type="cellIs" dxfId="1931" priority="1979" operator="lessThan">
      <formula>0</formula>
    </cfRule>
    <cfRule type="cellIs" dxfId="1930" priority="1980" operator="greaterThan">
      <formula>0</formula>
    </cfRule>
  </conditionalFormatting>
  <conditionalFormatting sqref="F34">
    <cfRule type="cellIs" dxfId="1929" priority="1977" operator="lessThan">
      <formula>0</formula>
    </cfRule>
    <cfRule type="cellIs" dxfId="1928" priority="1978" operator="greaterThan">
      <formula>0</formula>
    </cfRule>
  </conditionalFormatting>
  <conditionalFormatting sqref="U34">
    <cfRule type="iconSet" priority="1982">
      <iconSet iconSet="3Symbols" showValue="0" reverse="1">
        <cfvo type="percent" val="0"/>
        <cfvo type="num" val="1"/>
        <cfvo type="num" val="1.05"/>
      </iconSet>
    </cfRule>
  </conditionalFormatting>
  <conditionalFormatting sqref="P34">
    <cfRule type="iconSet" priority="1983">
      <iconSet iconSet="3Symbols" showValue="0" reverse="1">
        <cfvo type="percent" val="0"/>
        <cfvo type="num" val="1"/>
        <cfvo type="num" val="1.05"/>
      </iconSet>
    </cfRule>
  </conditionalFormatting>
  <conditionalFormatting sqref="Q33">
    <cfRule type="iconSet" priority="1974">
      <iconSet iconSet="3Symbols" showValue="0" reverse="1">
        <cfvo type="percent" val="0"/>
        <cfvo type="num" val="1"/>
        <cfvo type="num" val="1.05"/>
      </iconSet>
    </cfRule>
  </conditionalFormatting>
  <conditionalFormatting sqref="N33">
    <cfRule type="cellIs" dxfId="1927" priority="1972" operator="lessThan">
      <formula>0</formula>
    </cfRule>
    <cfRule type="cellIs" dxfId="1926" priority="1973" operator="greaterThan">
      <formula>0</formula>
    </cfRule>
  </conditionalFormatting>
  <conditionalFormatting sqref="F33">
    <cfRule type="cellIs" dxfId="1925" priority="1970" operator="lessThan">
      <formula>0</formula>
    </cfRule>
    <cfRule type="cellIs" dxfId="1924" priority="1971" operator="greaterThan">
      <formula>0</formula>
    </cfRule>
  </conditionalFormatting>
  <conditionalFormatting sqref="U33">
    <cfRule type="iconSet" priority="1975">
      <iconSet iconSet="3Symbols" showValue="0" reverse="1">
        <cfvo type="percent" val="0"/>
        <cfvo type="num" val="1"/>
        <cfvo type="num" val="1.05"/>
      </iconSet>
    </cfRule>
  </conditionalFormatting>
  <conditionalFormatting sqref="P33">
    <cfRule type="iconSet" priority="1976">
      <iconSet iconSet="3Symbols" showValue="0" reverse="1">
        <cfvo type="percent" val="0"/>
        <cfvo type="num" val="1"/>
        <cfvo type="num" val="1.05"/>
      </iconSet>
    </cfRule>
  </conditionalFormatting>
  <conditionalFormatting sqref="Q32">
    <cfRule type="iconSet" priority="1967">
      <iconSet iconSet="3Symbols" showValue="0" reverse="1">
        <cfvo type="percent" val="0"/>
        <cfvo type="num" val="1"/>
        <cfvo type="num" val="1.05"/>
      </iconSet>
    </cfRule>
  </conditionalFormatting>
  <conditionalFormatting sqref="N32">
    <cfRule type="cellIs" dxfId="1923" priority="1965" operator="lessThan">
      <formula>0</formula>
    </cfRule>
    <cfRule type="cellIs" dxfId="1922" priority="1966" operator="greaterThan">
      <formula>0</formula>
    </cfRule>
  </conditionalFormatting>
  <conditionalFormatting sqref="F32">
    <cfRule type="cellIs" dxfId="1921" priority="1963" operator="lessThan">
      <formula>0</formula>
    </cfRule>
    <cfRule type="cellIs" dxfId="1920" priority="1964" operator="greaterThan">
      <formula>0</formula>
    </cfRule>
  </conditionalFormatting>
  <conditionalFormatting sqref="U32">
    <cfRule type="iconSet" priority="1968">
      <iconSet iconSet="3Symbols" showValue="0" reverse="1">
        <cfvo type="percent" val="0"/>
        <cfvo type="num" val="1"/>
        <cfvo type="num" val="1.05"/>
      </iconSet>
    </cfRule>
  </conditionalFormatting>
  <conditionalFormatting sqref="P32">
    <cfRule type="iconSet" priority="1969">
      <iconSet iconSet="3Symbols" showValue="0" reverse="1">
        <cfvo type="percent" val="0"/>
        <cfvo type="num" val="1"/>
        <cfvo type="num" val="1.05"/>
      </iconSet>
    </cfRule>
  </conditionalFormatting>
  <conditionalFormatting sqref="Q31">
    <cfRule type="iconSet" priority="1960">
      <iconSet iconSet="3Symbols" showValue="0" reverse="1">
        <cfvo type="percent" val="0"/>
        <cfvo type="num" val="1"/>
        <cfvo type="num" val="1.05"/>
      </iconSet>
    </cfRule>
  </conditionalFormatting>
  <conditionalFormatting sqref="N31">
    <cfRule type="cellIs" dxfId="1919" priority="1958" operator="lessThan">
      <formula>0</formula>
    </cfRule>
    <cfRule type="cellIs" dxfId="1918" priority="1959" operator="greaterThan">
      <formula>0</formula>
    </cfRule>
  </conditionalFormatting>
  <conditionalFormatting sqref="F31">
    <cfRule type="cellIs" dxfId="1917" priority="1956" operator="lessThan">
      <formula>0</formula>
    </cfRule>
    <cfRule type="cellIs" dxfId="1916" priority="1957" operator="greaterThan">
      <formula>0</formula>
    </cfRule>
  </conditionalFormatting>
  <conditionalFormatting sqref="U31">
    <cfRule type="iconSet" priority="1961">
      <iconSet iconSet="3Symbols" showValue="0" reverse="1">
        <cfvo type="percent" val="0"/>
        <cfvo type="num" val="1"/>
        <cfvo type="num" val="1.05"/>
      </iconSet>
    </cfRule>
  </conditionalFormatting>
  <conditionalFormatting sqref="P31">
    <cfRule type="iconSet" priority="1962">
      <iconSet iconSet="3Symbols" showValue="0" reverse="1">
        <cfvo type="percent" val="0"/>
        <cfvo type="num" val="1"/>
        <cfvo type="num" val="1.05"/>
      </iconSet>
    </cfRule>
  </conditionalFormatting>
  <conditionalFormatting sqref="Q30">
    <cfRule type="iconSet" priority="1953">
      <iconSet iconSet="3Symbols" showValue="0" reverse="1">
        <cfvo type="percent" val="0"/>
        <cfvo type="num" val="1"/>
        <cfvo type="num" val="1.05"/>
      </iconSet>
    </cfRule>
  </conditionalFormatting>
  <conditionalFormatting sqref="N30">
    <cfRule type="cellIs" dxfId="1915" priority="1951" operator="lessThan">
      <formula>0</formula>
    </cfRule>
    <cfRule type="cellIs" dxfId="1914" priority="1952" operator="greaterThan">
      <formula>0</formula>
    </cfRule>
  </conditionalFormatting>
  <conditionalFormatting sqref="F30">
    <cfRule type="cellIs" dxfId="1913" priority="1949" operator="lessThan">
      <formula>0</formula>
    </cfRule>
    <cfRule type="cellIs" dxfId="1912" priority="1950" operator="greaterThan">
      <formula>0</formula>
    </cfRule>
  </conditionalFormatting>
  <conditionalFormatting sqref="U30">
    <cfRule type="iconSet" priority="1954">
      <iconSet iconSet="3Symbols" showValue="0" reverse="1">
        <cfvo type="percent" val="0"/>
        <cfvo type="num" val="1"/>
        <cfvo type="num" val="1.05"/>
      </iconSet>
    </cfRule>
  </conditionalFormatting>
  <conditionalFormatting sqref="P30">
    <cfRule type="iconSet" priority="1955">
      <iconSet iconSet="3Symbols" showValue="0" reverse="1">
        <cfvo type="percent" val="0"/>
        <cfvo type="num" val="1"/>
        <cfvo type="num" val="1.05"/>
      </iconSet>
    </cfRule>
  </conditionalFormatting>
  <conditionalFormatting sqref="Q29">
    <cfRule type="iconSet" priority="1946">
      <iconSet iconSet="3Symbols" showValue="0" reverse="1">
        <cfvo type="percent" val="0"/>
        <cfvo type="num" val="1"/>
        <cfvo type="num" val="1.05"/>
      </iconSet>
    </cfRule>
  </conditionalFormatting>
  <conditionalFormatting sqref="N29">
    <cfRule type="cellIs" dxfId="1911" priority="1944" operator="lessThan">
      <formula>0</formula>
    </cfRule>
    <cfRule type="cellIs" dxfId="1910" priority="1945" operator="greaterThan">
      <formula>0</formula>
    </cfRule>
  </conditionalFormatting>
  <conditionalFormatting sqref="F29">
    <cfRule type="cellIs" dxfId="1909" priority="1942" operator="lessThan">
      <formula>0</formula>
    </cfRule>
    <cfRule type="cellIs" dxfId="1908" priority="1943" operator="greaterThan">
      <formula>0</formula>
    </cfRule>
  </conditionalFormatting>
  <conditionalFormatting sqref="U29">
    <cfRule type="iconSet" priority="1947">
      <iconSet iconSet="3Symbols" showValue="0" reverse="1">
        <cfvo type="percent" val="0"/>
        <cfvo type="num" val="1"/>
        <cfvo type="num" val="1.05"/>
      </iconSet>
    </cfRule>
  </conditionalFormatting>
  <conditionalFormatting sqref="P29">
    <cfRule type="iconSet" priority="1948">
      <iconSet iconSet="3Symbols" showValue="0" reverse="1">
        <cfvo type="percent" val="0"/>
        <cfvo type="num" val="1"/>
        <cfvo type="num" val="1.05"/>
      </iconSet>
    </cfRule>
  </conditionalFormatting>
  <conditionalFormatting sqref="Q27:Q28">
    <cfRule type="iconSet" priority="1939">
      <iconSet iconSet="3Symbols" showValue="0" reverse="1">
        <cfvo type="percent" val="0"/>
        <cfvo type="num" val="1"/>
        <cfvo type="num" val="1.05"/>
      </iconSet>
    </cfRule>
  </conditionalFormatting>
  <conditionalFormatting sqref="N27:N28">
    <cfRule type="cellIs" dxfId="1907" priority="1937" operator="lessThan">
      <formula>0</formula>
    </cfRule>
    <cfRule type="cellIs" dxfId="1906" priority="1938" operator="greaterThan">
      <formula>0</formula>
    </cfRule>
  </conditionalFormatting>
  <conditionalFormatting sqref="F27:F28">
    <cfRule type="cellIs" dxfId="1905" priority="1935" operator="lessThan">
      <formula>0</formula>
    </cfRule>
    <cfRule type="cellIs" dxfId="1904" priority="1936" operator="greaterThan">
      <formula>0</formula>
    </cfRule>
  </conditionalFormatting>
  <conditionalFormatting sqref="U27:U28">
    <cfRule type="iconSet" priority="1940">
      <iconSet iconSet="3Symbols" showValue="0" reverse="1">
        <cfvo type="percent" val="0"/>
        <cfvo type="num" val="1"/>
        <cfvo type="num" val="1.05"/>
      </iconSet>
    </cfRule>
  </conditionalFormatting>
  <conditionalFormatting sqref="P27:P28">
    <cfRule type="iconSet" priority="1941">
      <iconSet iconSet="3Symbols" showValue="0" reverse="1">
        <cfvo type="percent" val="0"/>
        <cfvo type="num" val="1"/>
        <cfvo type="num" val="1.05"/>
      </iconSet>
    </cfRule>
  </conditionalFormatting>
  <conditionalFormatting sqref="Q26">
    <cfRule type="iconSet" priority="1932">
      <iconSet iconSet="3Symbols" showValue="0" reverse="1">
        <cfvo type="percent" val="0"/>
        <cfvo type="num" val="1"/>
        <cfvo type="num" val="1.05"/>
      </iconSet>
    </cfRule>
  </conditionalFormatting>
  <conditionalFormatting sqref="N26">
    <cfRule type="cellIs" dxfId="1903" priority="1930" operator="lessThan">
      <formula>0</formula>
    </cfRule>
    <cfRule type="cellIs" dxfId="1902" priority="1931" operator="greaterThan">
      <formula>0</formula>
    </cfRule>
  </conditionalFormatting>
  <conditionalFormatting sqref="F26">
    <cfRule type="cellIs" dxfId="1901" priority="1928" operator="lessThan">
      <formula>0</formula>
    </cfRule>
    <cfRule type="cellIs" dxfId="1900" priority="1929" operator="greaterThan">
      <formula>0</formula>
    </cfRule>
  </conditionalFormatting>
  <conditionalFormatting sqref="U26">
    <cfRule type="iconSet" priority="1933">
      <iconSet iconSet="3Symbols" showValue="0" reverse="1">
        <cfvo type="percent" val="0"/>
        <cfvo type="num" val="1"/>
        <cfvo type="num" val="1.05"/>
      </iconSet>
    </cfRule>
  </conditionalFormatting>
  <conditionalFormatting sqref="P26">
    <cfRule type="iconSet" priority="1934">
      <iconSet iconSet="3Symbols" showValue="0" reverse="1">
        <cfvo type="percent" val="0"/>
        <cfvo type="num" val="1"/>
        <cfvo type="num" val="1.05"/>
      </iconSet>
    </cfRule>
  </conditionalFormatting>
  <conditionalFormatting sqref="Q25">
    <cfRule type="iconSet" priority="1925">
      <iconSet iconSet="3Symbols" showValue="0" reverse="1">
        <cfvo type="percent" val="0"/>
        <cfvo type="num" val="1"/>
        <cfvo type="num" val="1.05"/>
      </iconSet>
    </cfRule>
  </conditionalFormatting>
  <conditionalFormatting sqref="N25">
    <cfRule type="cellIs" dxfId="1899" priority="1923" operator="lessThan">
      <formula>0</formula>
    </cfRule>
    <cfRule type="cellIs" dxfId="1898" priority="1924" operator="greaterThan">
      <formula>0</formula>
    </cfRule>
  </conditionalFormatting>
  <conditionalFormatting sqref="F25">
    <cfRule type="cellIs" dxfId="1897" priority="1921" operator="lessThan">
      <formula>0</formula>
    </cfRule>
    <cfRule type="cellIs" dxfId="1896" priority="1922" operator="greaterThan">
      <formula>0</formula>
    </cfRule>
  </conditionalFormatting>
  <conditionalFormatting sqref="U25">
    <cfRule type="iconSet" priority="1926">
      <iconSet iconSet="3Symbols" showValue="0" reverse="1">
        <cfvo type="percent" val="0"/>
        <cfvo type="num" val="1"/>
        <cfvo type="num" val="1.05"/>
      </iconSet>
    </cfRule>
  </conditionalFormatting>
  <conditionalFormatting sqref="P25">
    <cfRule type="iconSet" priority="1927">
      <iconSet iconSet="3Symbols" showValue="0" reverse="1">
        <cfvo type="percent" val="0"/>
        <cfvo type="num" val="1"/>
        <cfvo type="num" val="1.05"/>
      </iconSet>
    </cfRule>
  </conditionalFormatting>
  <conditionalFormatting sqref="Q24">
    <cfRule type="iconSet" priority="1918">
      <iconSet iconSet="3Symbols" showValue="0" reverse="1">
        <cfvo type="percent" val="0"/>
        <cfvo type="num" val="1"/>
        <cfvo type="num" val="1.05"/>
      </iconSet>
    </cfRule>
  </conditionalFormatting>
  <conditionalFormatting sqref="N24">
    <cfRule type="cellIs" dxfId="1895" priority="1916" operator="lessThan">
      <formula>0</formula>
    </cfRule>
    <cfRule type="cellIs" dxfId="1894" priority="1917" operator="greaterThan">
      <formula>0</formula>
    </cfRule>
  </conditionalFormatting>
  <conditionalFormatting sqref="F24">
    <cfRule type="cellIs" dxfId="1893" priority="1914" operator="lessThan">
      <formula>0</formula>
    </cfRule>
    <cfRule type="cellIs" dxfId="1892" priority="1915" operator="greaterThan">
      <formula>0</formula>
    </cfRule>
  </conditionalFormatting>
  <conditionalFormatting sqref="U24">
    <cfRule type="iconSet" priority="1919">
      <iconSet iconSet="3Symbols" showValue="0" reverse="1">
        <cfvo type="percent" val="0"/>
        <cfvo type="num" val="1"/>
        <cfvo type="num" val="1.05"/>
      </iconSet>
    </cfRule>
  </conditionalFormatting>
  <conditionalFormatting sqref="P24">
    <cfRule type="iconSet" priority="1920">
      <iconSet iconSet="3Symbols" showValue="0" reverse="1">
        <cfvo type="percent" val="0"/>
        <cfvo type="num" val="1"/>
        <cfvo type="num" val="1.05"/>
      </iconSet>
    </cfRule>
  </conditionalFormatting>
  <conditionalFormatting sqref="Q23">
    <cfRule type="iconSet" priority="1911">
      <iconSet iconSet="3Symbols" showValue="0" reverse="1">
        <cfvo type="percent" val="0"/>
        <cfvo type="num" val="1"/>
        <cfvo type="num" val="1.05"/>
      </iconSet>
    </cfRule>
  </conditionalFormatting>
  <conditionalFormatting sqref="N23">
    <cfRule type="cellIs" dxfId="1891" priority="1909" operator="lessThan">
      <formula>0</formula>
    </cfRule>
    <cfRule type="cellIs" dxfId="1890" priority="1910" operator="greaterThan">
      <formula>0</formula>
    </cfRule>
  </conditionalFormatting>
  <conditionalFormatting sqref="F23">
    <cfRule type="cellIs" dxfId="1889" priority="1907" operator="lessThan">
      <formula>0</formula>
    </cfRule>
    <cfRule type="cellIs" dxfId="1888" priority="1908" operator="greaterThan">
      <formula>0</formula>
    </cfRule>
  </conditionalFormatting>
  <conditionalFormatting sqref="U23">
    <cfRule type="iconSet" priority="1912">
      <iconSet iconSet="3Symbols" showValue="0" reverse="1">
        <cfvo type="percent" val="0"/>
        <cfvo type="num" val="1"/>
        <cfvo type="num" val="1.05"/>
      </iconSet>
    </cfRule>
  </conditionalFormatting>
  <conditionalFormatting sqref="P23">
    <cfRule type="iconSet" priority="1913">
      <iconSet iconSet="3Symbols" showValue="0" reverse="1">
        <cfvo type="percent" val="0"/>
        <cfvo type="num" val="1"/>
        <cfvo type="num" val="1.05"/>
      </iconSet>
    </cfRule>
  </conditionalFormatting>
  <conditionalFormatting sqref="Q22">
    <cfRule type="iconSet" priority="1904">
      <iconSet iconSet="3Symbols" showValue="0" reverse="1">
        <cfvo type="percent" val="0"/>
        <cfvo type="num" val="1"/>
        <cfvo type="num" val="1.05"/>
      </iconSet>
    </cfRule>
  </conditionalFormatting>
  <conditionalFormatting sqref="N22">
    <cfRule type="cellIs" dxfId="1887" priority="1902" operator="lessThan">
      <formula>0</formula>
    </cfRule>
    <cfRule type="cellIs" dxfId="1886" priority="1903" operator="greaterThan">
      <formula>0</formula>
    </cfRule>
  </conditionalFormatting>
  <conditionalFormatting sqref="F22">
    <cfRule type="cellIs" dxfId="1885" priority="1900" operator="lessThan">
      <formula>0</formula>
    </cfRule>
    <cfRule type="cellIs" dxfId="1884" priority="1901" operator="greaterThan">
      <formula>0</formula>
    </cfRule>
  </conditionalFormatting>
  <conditionalFormatting sqref="U22">
    <cfRule type="iconSet" priority="1905">
      <iconSet iconSet="3Symbols" showValue="0" reverse="1">
        <cfvo type="percent" val="0"/>
        <cfvo type="num" val="1"/>
        <cfvo type="num" val="1.05"/>
      </iconSet>
    </cfRule>
  </conditionalFormatting>
  <conditionalFormatting sqref="P22">
    <cfRule type="iconSet" priority="1906">
      <iconSet iconSet="3Symbols" showValue="0" reverse="1">
        <cfvo type="percent" val="0"/>
        <cfvo type="num" val="1"/>
        <cfvo type="num" val="1.05"/>
      </iconSet>
    </cfRule>
  </conditionalFormatting>
  <conditionalFormatting sqref="Q21">
    <cfRule type="iconSet" priority="1897">
      <iconSet iconSet="3Symbols" showValue="0" reverse="1">
        <cfvo type="percent" val="0"/>
        <cfvo type="num" val="1"/>
        <cfvo type="num" val="1.05"/>
      </iconSet>
    </cfRule>
  </conditionalFormatting>
  <conditionalFormatting sqref="N21">
    <cfRule type="cellIs" dxfId="1883" priority="1895" operator="lessThan">
      <formula>0</formula>
    </cfRule>
    <cfRule type="cellIs" dxfId="1882" priority="1896" operator="greaterThan">
      <formula>0</formula>
    </cfRule>
  </conditionalFormatting>
  <conditionalFormatting sqref="F21">
    <cfRule type="cellIs" dxfId="1881" priority="1893" operator="lessThan">
      <formula>0</formula>
    </cfRule>
    <cfRule type="cellIs" dxfId="1880" priority="1894" operator="greaterThan">
      <formula>0</formula>
    </cfRule>
  </conditionalFormatting>
  <conditionalFormatting sqref="U21">
    <cfRule type="iconSet" priority="1898">
      <iconSet iconSet="3Symbols" showValue="0" reverse="1">
        <cfvo type="percent" val="0"/>
        <cfvo type="num" val="1"/>
        <cfvo type="num" val="1.05"/>
      </iconSet>
    </cfRule>
  </conditionalFormatting>
  <conditionalFormatting sqref="P21">
    <cfRule type="iconSet" priority="1899">
      <iconSet iconSet="3Symbols" showValue="0" reverse="1">
        <cfvo type="percent" val="0"/>
        <cfvo type="num" val="1"/>
        <cfvo type="num" val="1.05"/>
      </iconSet>
    </cfRule>
  </conditionalFormatting>
  <conditionalFormatting sqref="Q20">
    <cfRule type="iconSet" priority="1890">
      <iconSet iconSet="3Symbols" showValue="0" reverse="1">
        <cfvo type="percent" val="0"/>
        <cfvo type="num" val="1"/>
        <cfvo type="num" val="1.05"/>
      </iconSet>
    </cfRule>
  </conditionalFormatting>
  <conditionalFormatting sqref="N20">
    <cfRule type="cellIs" dxfId="1879" priority="1888" operator="lessThan">
      <formula>0</formula>
    </cfRule>
    <cfRule type="cellIs" dxfId="1878" priority="1889" operator="greaterThan">
      <formula>0</formula>
    </cfRule>
  </conditionalFormatting>
  <conditionalFormatting sqref="F20">
    <cfRule type="cellIs" dxfId="1877" priority="1886" operator="lessThan">
      <formula>0</formula>
    </cfRule>
    <cfRule type="cellIs" dxfId="1876" priority="1887" operator="greaterThan">
      <formula>0</formula>
    </cfRule>
  </conditionalFormatting>
  <conditionalFormatting sqref="U20">
    <cfRule type="iconSet" priority="1891">
      <iconSet iconSet="3Symbols" showValue="0" reverse="1">
        <cfvo type="percent" val="0"/>
        <cfvo type="num" val="1"/>
        <cfvo type="num" val="1.05"/>
      </iconSet>
    </cfRule>
  </conditionalFormatting>
  <conditionalFormatting sqref="P20">
    <cfRule type="iconSet" priority="1892">
      <iconSet iconSet="3Symbols" showValue="0" reverse="1">
        <cfvo type="percent" val="0"/>
        <cfvo type="num" val="1"/>
        <cfvo type="num" val="1.05"/>
      </iconSet>
    </cfRule>
  </conditionalFormatting>
  <conditionalFormatting sqref="Q19">
    <cfRule type="iconSet" priority="1883">
      <iconSet iconSet="3Symbols" showValue="0" reverse="1">
        <cfvo type="percent" val="0"/>
        <cfvo type="num" val="1"/>
        <cfvo type="num" val="1.05"/>
      </iconSet>
    </cfRule>
  </conditionalFormatting>
  <conditionalFormatting sqref="N19">
    <cfRule type="cellIs" dxfId="1875" priority="1881" operator="lessThan">
      <formula>0</formula>
    </cfRule>
    <cfRule type="cellIs" dxfId="1874" priority="1882" operator="greaterThan">
      <formula>0</formula>
    </cfRule>
  </conditionalFormatting>
  <conditionalFormatting sqref="F19">
    <cfRule type="cellIs" dxfId="1873" priority="1879" operator="lessThan">
      <formula>0</formula>
    </cfRule>
    <cfRule type="cellIs" dxfId="1872" priority="1880" operator="greaterThan">
      <formula>0</formula>
    </cfRule>
  </conditionalFormatting>
  <conditionalFormatting sqref="U19">
    <cfRule type="iconSet" priority="1884">
      <iconSet iconSet="3Symbols" showValue="0" reverse="1">
        <cfvo type="percent" val="0"/>
        <cfvo type="num" val="1"/>
        <cfvo type="num" val="1.05"/>
      </iconSet>
    </cfRule>
  </conditionalFormatting>
  <conditionalFormatting sqref="P19">
    <cfRule type="iconSet" priority="1885">
      <iconSet iconSet="3Symbols" showValue="0" reverse="1">
        <cfvo type="percent" val="0"/>
        <cfvo type="num" val="1"/>
        <cfvo type="num" val="1.05"/>
      </iconSet>
    </cfRule>
  </conditionalFormatting>
  <conditionalFormatting sqref="Q18">
    <cfRule type="iconSet" priority="1876">
      <iconSet iconSet="3Symbols" showValue="0" reverse="1">
        <cfvo type="percent" val="0"/>
        <cfvo type="num" val="1"/>
        <cfvo type="num" val="1.05"/>
      </iconSet>
    </cfRule>
  </conditionalFormatting>
  <conditionalFormatting sqref="N18">
    <cfRule type="cellIs" dxfId="1871" priority="1874" operator="lessThan">
      <formula>0</formula>
    </cfRule>
    <cfRule type="cellIs" dxfId="1870" priority="1875" operator="greaterThan">
      <formula>0</formula>
    </cfRule>
  </conditionalFormatting>
  <conditionalFormatting sqref="F18">
    <cfRule type="cellIs" dxfId="1869" priority="1872" operator="lessThan">
      <formula>0</formula>
    </cfRule>
    <cfRule type="cellIs" dxfId="1868" priority="1873" operator="greaterThan">
      <formula>0</formula>
    </cfRule>
  </conditionalFormatting>
  <conditionalFormatting sqref="U18">
    <cfRule type="iconSet" priority="1877">
      <iconSet iconSet="3Symbols" showValue="0" reverse="1">
        <cfvo type="percent" val="0"/>
        <cfvo type="num" val="1"/>
        <cfvo type="num" val="1.05"/>
      </iconSet>
    </cfRule>
  </conditionalFormatting>
  <conditionalFormatting sqref="P18">
    <cfRule type="iconSet" priority="1878">
      <iconSet iconSet="3Symbols" showValue="0" reverse="1">
        <cfvo type="percent" val="0"/>
        <cfvo type="num" val="1"/>
        <cfvo type="num" val="1.05"/>
      </iconSet>
    </cfRule>
  </conditionalFormatting>
  <conditionalFormatting sqref="Q17">
    <cfRule type="iconSet" priority="1869">
      <iconSet iconSet="3Symbols" showValue="0" reverse="1">
        <cfvo type="percent" val="0"/>
        <cfvo type="num" val="1"/>
        <cfvo type="num" val="1.05"/>
      </iconSet>
    </cfRule>
  </conditionalFormatting>
  <conditionalFormatting sqref="N17">
    <cfRule type="cellIs" dxfId="1867" priority="1867" operator="lessThan">
      <formula>0</formula>
    </cfRule>
    <cfRule type="cellIs" dxfId="1866" priority="1868" operator="greaterThan">
      <formula>0</formula>
    </cfRule>
  </conditionalFormatting>
  <conditionalFormatting sqref="F17">
    <cfRule type="cellIs" dxfId="1865" priority="1865" operator="lessThan">
      <formula>0</formula>
    </cfRule>
    <cfRule type="cellIs" dxfId="1864" priority="1866" operator="greaterThan">
      <formula>0</formula>
    </cfRule>
  </conditionalFormatting>
  <conditionalFormatting sqref="U17">
    <cfRule type="iconSet" priority="1870">
      <iconSet iconSet="3Symbols" showValue="0" reverse="1">
        <cfvo type="percent" val="0"/>
        <cfvo type="num" val="1"/>
        <cfvo type="num" val="1.05"/>
      </iconSet>
    </cfRule>
  </conditionalFormatting>
  <conditionalFormatting sqref="P17">
    <cfRule type="iconSet" priority="1871">
      <iconSet iconSet="3Symbols" showValue="0" reverse="1">
        <cfvo type="percent" val="0"/>
        <cfvo type="num" val="1"/>
        <cfvo type="num" val="1.05"/>
      </iconSet>
    </cfRule>
  </conditionalFormatting>
  <conditionalFormatting sqref="Q521:Q522">
    <cfRule type="iconSet" priority="5184">
      <iconSet iconSet="3Symbols" showValue="0" reverse="1">
        <cfvo type="percent" val="0"/>
        <cfvo type="num" val="1"/>
        <cfvo type="num" val="1.05"/>
      </iconSet>
    </cfRule>
  </conditionalFormatting>
  <conditionalFormatting sqref="U521:U522">
    <cfRule type="iconSet" priority="5185">
      <iconSet iconSet="3Symbols" showValue="0" reverse="1">
        <cfvo type="percent" val="0"/>
        <cfvo type="num" val="1"/>
        <cfvo type="num" val="1.05"/>
      </iconSet>
    </cfRule>
  </conditionalFormatting>
  <conditionalFormatting sqref="P521:P522">
    <cfRule type="iconSet" priority="5186">
      <iconSet iconSet="3Symbols" showValue="0" reverse="1">
        <cfvo type="percent" val="0"/>
        <cfvo type="num" val="1"/>
        <cfvo type="num" val="1.05"/>
      </iconSet>
    </cfRule>
  </conditionalFormatting>
  <conditionalFormatting sqref="N1032">
    <cfRule type="cellIs" dxfId="1863" priority="1863" operator="lessThan">
      <formula>0</formula>
    </cfRule>
    <cfRule type="cellIs" dxfId="1862" priority="1864" operator="greaterThan">
      <formula>0</formula>
    </cfRule>
  </conditionalFormatting>
  <conditionalFormatting sqref="F1032">
    <cfRule type="cellIs" dxfId="1861" priority="1861" operator="lessThan">
      <formula>0</formula>
    </cfRule>
    <cfRule type="cellIs" dxfId="1860" priority="1862" operator="greaterThan">
      <formula>0</formula>
    </cfRule>
  </conditionalFormatting>
  <conditionalFormatting sqref="N1031">
    <cfRule type="cellIs" dxfId="1859" priority="1859" operator="lessThan">
      <formula>0</formula>
    </cfRule>
    <cfRule type="cellIs" dxfId="1858" priority="1860" operator="greaterThan">
      <formula>0</formula>
    </cfRule>
  </conditionalFormatting>
  <conditionalFormatting sqref="F1031">
    <cfRule type="cellIs" dxfId="1857" priority="1857" operator="lessThan">
      <formula>0</formula>
    </cfRule>
    <cfRule type="cellIs" dxfId="1856" priority="1858" operator="greaterThan">
      <formula>0</formula>
    </cfRule>
  </conditionalFormatting>
  <conditionalFormatting sqref="N1030">
    <cfRule type="cellIs" dxfId="1855" priority="1855" operator="lessThan">
      <formula>0</formula>
    </cfRule>
    <cfRule type="cellIs" dxfId="1854" priority="1856" operator="greaterThan">
      <formula>0</formula>
    </cfRule>
  </conditionalFormatting>
  <conditionalFormatting sqref="F1030">
    <cfRule type="cellIs" dxfId="1853" priority="1853" operator="lessThan">
      <formula>0</formula>
    </cfRule>
    <cfRule type="cellIs" dxfId="1852" priority="1854" operator="greaterThan">
      <formula>0</formula>
    </cfRule>
  </conditionalFormatting>
  <conditionalFormatting sqref="N1029">
    <cfRule type="cellIs" dxfId="1851" priority="1851" operator="lessThan">
      <formula>0</formula>
    </cfRule>
    <cfRule type="cellIs" dxfId="1850" priority="1852" operator="greaterThan">
      <formula>0</formula>
    </cfRule>
  </conditionalFormatting>
  <conditionalFormatting sqref="F1029">
    <cfRule type="cellIs" dxfId="1849" priority="1849" operator="lessThan">
      <formula>0</formula>
    </cfRule>
    <cfRule type="cellIs" dxfId="1848" priority="1850" operator="greaterThan">
      <formula>0</formula>
    </cfRule>
  </conditionalFormatting>
  <conditionalFormatting sqref="N1028">
    <cfRule type="cellIs" dxfId="1847" priority="1847" operator="lessThan">
      <formula>0</formula>
    </cfRule>
    <cfRule type="cellIs" dxfId="1846" priority="1848" operator="greaterThan">
      <formula>0</formula>
    </cfRule>
  </conditionalFormatting>
  <conditionalFormatting sqref="F1028">
    <cfRule type="cellIs" dxfId="1845" priority="1845" operator="lessThan">
      <formula>0</formula>
    </cfRule>
    <cfRule type="cellIs" dxfId="1844" priority="1846" operator="greaterThan">
      <formula>0</formula>
    </cfRule>
  </conditionalFormatting>
  <conditionalFormatting sqref="N1027">
    <cfRule type="cellIs" dxfId="1843" priority="1843" operator="lessThan">
      <formula>0</formula>
    </cfRule>
    <cfRule type="cellIs" dxfId="1842" priority="1844" operator="greaterThan">
      <formula>0</formula>
    </cfRule>
  </conditionalFormatting>
  <conditionalFormatting sqref="F1027">
    <cfRule type="cellIs" dxfId="1841" priority="1841" operator="lessThan">
      <formula>0</formula>
    </cfRule>
    <cfRule type="cellIs" dxfId="1840" priority="1842" operator="greaterThan">
      <formula>0</formula>
    </cfRule>
  </conditionalFormatting>
  <conditionalFormatting sqref="N1026">
    <cfRule type="cellIs" dxfId="1839" priority="1839" operator="lessThan">
      <formula>0</formula>
    </cfRule>
    <cfRule type="cellIs" dxfId="1838" priority="1840" operator="greaterThan">
      <formula>0</formula>
    </cfRule>
  </conditionalFormatting>
  <conditionalFormatting sqref="F1026">
    <cfRule type="cellIs" dxfId="1837" priority="1837" operator="lessThan">
      <formula>0</formula>
    </cfRule>
    <cfRule type="cellIs" dxfId="1836" priority="1838" operator="greaterThan">
      <formula>0</formula>
    </cfRule>
  </conditionalFormatting>
  <conditionalFormatting sqref="N1025">
    <cfRule type="cellIs" dxfId="1835" priority="1835" operator="lessThan">
      <formula>0</formula>
    </cfRule>
    <cfRule type="cellIs" dxfId="1834" priority="1836" operator="greaterThan">
      <formula>0</formula>
    </cfRule>
  </conditionalFormatting>
  <conditionalFormatting sqref="F1025">
    <cfRule type="cellIs" dxfId="1833" priority="1833" operator="lessThan">
      <formula>0</formula>
    </cfRule>
    <cfRule type="cellIs" dxfId="1832" priority="1834" operator="greaterThan">
      <formula>0</formula>
    </cfRule>
  </conditionalFormatting>
  <conditionalFormatting sqref="N1024">
    <cfRule type="cellIs" dxfId="1831" priority="1831" operator="lessThan">
      <formula>0</formula>
    </cfRule>
    <cfRule type="cellIs" dxfId="1830" priority="1832" operator="greaterThan">
      <formula>0</formula>
    </cfRule>
  </conditionalFormatting>
  <conditionalFormatting sqref="F1024">
    <cfRule type="cellIs" dxfId="1829" priority="1829" operator="lessThan">
      <formula>0</formula>
    </cfRule>
    <cfRule type="cellIs" dxfId="1828" priority="1830" operator="greaterThan">
      <formula>0</formula>
    </cfRule>
  </conditionalFormatting>
  <conditionalFormatting sqref="N1023">
    <cfRule type="cellIs" dxfId="1827" priority="1827" operator="lessThan">
      <formula>0</formula>
    </cfRule>
    <cfRule type="cellIs" dxfId="1826" priority="1828" operator="greaterThan">
      <formula>0</formula>
    </cfRule>
  </conditionalFormatting>
  <conditionalFormatting sqref="F1023">
    <cfRule type="cellIs" dxfId="1825" priority="1825" operator="lessThan">
      <formula>0</formula>
    </cfRule>
    <cfRule type="cellIs" dxfId="1824" priority="1826" operator="greaterThan">
      <formula>0</formula>
    </cfRule>
  </conditionalFormatting>
  <conditionalFormatting sqref="N1022">
    <cfRule type="cellIs" dxfId="1823" priority="1823" operator="lessThan">
      <formula>0</formula>
    </cfRule>
    <cfRule type="cellIs" dxfId="1822" priority="1824" operator="greaterThan">
      <formula>0</formula>
    </cfRule>
  </conditionalFormatting>
  <conditionalFormatting sqref="F1022">
    <cfRule type="cellIs" dxfId="1821" priority="1821" operator="lessThan">
      <formula>0</formula>
    </cfRule>
    <cfRule type="cellIs" dxfId="1820" priority="1822" operator="greaterThan">
      <formula>0</formula>
    </cfRule>
  </conditionalFormatting>
  <conditionalFormatting sqref="N1020:N1021">
    <cfRule type="cellIs" dxfId="1819" priority="1819" operator="lessThan">
      <formula>0</formula>
    </cfRule>
    <cfRule type="cellIs" dxfId="1818" priority="1820" operator="greaterThan">
      <formula>0</formula>
    </cfRule>
  </conditionalFormatting>
  <conditionalFormatting sqref="F1020:F1021">
    <cfRule type="cellIs" dxfId="1817" priority="1817" operator="lessThan">
      <formula>0</formula>
    </cfRule>
    <cfRule type="cellIs" dxfId="1816" priority="1818" operator="greaterThan">
      <formula>0</formula>
    </cfRule>
  </conditionalFormatting>
  <conditionalFormatting sqref="N1019">
    <cfRule type="cellIs" dxfId="1815" priority="1815" operator="lessThan">
      <formula>0</formula>
    </cfRule>
    <cfRule type="cellIs" dxfId="1814" priority="1816" operator="greaterThan">
      <formula>0</formula>
    </cfRule>
  </conditionalFormatting>
  <conditionalFormatting sqref="F1019">
    <cfRule type="cellIs" dxfId="1813" priority="1813" operator="lessThan">
      <formula>0</formula>
    </cfRule>
    <cfRule type="cellIs" dxfId="1812" priority="1814" operator="greaterThan">
      <formula>0</formula>
    </cfRule>
  </conditionalFormatting>
  <conditionalFormatting sqref="N1018">
    <cfRule type="cellIs" dxfId="1811" priority="1811" operator="lessThan">
      <formula>0</formula>
    </cfRule>
    <cfRule type="cellIs" dxfId="1810" priority="1812" operator="greaterThan">
      <formula>0</formula>
    </cfRule>
  </conditionalFormatting>
  <conditionalFormatting sqref="F1018">
    <cfRule type="cellIs" dxfId="1809" priority="1809" operator="lessThan">
      <formula>0</formula>
    </cfRule>
    <cfRule type="cellIs" dxfId="1808" priority="1810" operator="greaterThan">
      <formula>0</formula>
    </cfRule>
  </conditionalFormatting>
  <conditionalFormatting sqref="N1017">
    <cfRule type="cellIs" dxfId="1807" priority="1807" operator="lessThan">
      <formula>0</formula>
    </cfRule>
    <cfRule type="cellIs" dxfId="1806" priority="1808" operator="greaterThan">
      <formula>0</formula>
    </cfRule>
  </conditionalFormatting>
  <conditionalFormatting sqref="F1017">
    <cfRule type="cellIs" dxfId="1805" priority="1805" operator="lessThan">
      <formula>0</formula>
    </cfRule>
    <cfRule type="cellIs" dxfId="1804" priority="1806" operator="greaterThan">
      <formula>0</formula>
    </cfRule>
  </conditionalFormatting>
  <conditionalFormatting sqref="N1016">
    <cfRule type="cellIs" dxfId="1803" priority="1803" operator="lessThan">
      <formula>0</formula>
    </cfRule>
    <cfRule type="cellIs" dxfId="1802" priority="1804" operator="greaterThan">
      <formula>0</formula>
    </cfRule>
  </conditionalFormatting>
  <conditionalFormatting sqref="F1016">
    <cfRule type="cellIs" dxfId="1801" priority="1801" operator="lessThan">
      <formula>0</formula>
    </cfRule>
    <cfRule type="cellIs" dxfId="1800" priority="1802" operator="greaterThan">
      <formula>0</formula>
    </cfRule>
  </conditionalFormatting>
  <conditionalFormatting sqref="N1015">
    <cfRule type="cellIs" dxfId="1799" priority="1799" operator="lessThan">
      <formula>0</formula>
    </cfRule>
    <cfRule type="cellIs" dxfId="1798" priority="1800" operator="greaterThan">
      <formula>0</formula>
    </cfRule>
  </conditionalFormatting>
  <conditionalFormatting sqref="F1015">
    <cfRule type="cellIs" dxfId="1797" priority="1797" operator="lessThan">
      <formula>0</formula>
    </cfRule>
    <cfRule type="cellIs" dxfId="1796" priority="1798" operator="greaterThan">
      <formula>0</formula>
    </cfRule>
  </conditionalFormatting>
  <conditionalFormatting sqref="N1014">
    <cfRule type="cellIs" dxfId="1795" priority="1795" operator="lessThan">
      <formula>0</formula>
    </cfRule>
    <cfRule type="cellIs" dxfId="1794" priority="1796" operator="greaterThan">
      <formula>0</formula>
    </cfRule>
  </conditionalFormatting>
  <conditionalFormatting sqref="F1014">
    <cfRule type="cellIs" dxfId="1793" priority="1793" operator="lessThan">
      <formula>0</formula>
    </cfRule>
    <cfRule type="cellIs" dxfId="1792" priority="1794" operator="greaterThan">
      <formula>0</formula>
    </cfRule>
  </conditionalFormatting>
  <conditionalFormatting sqref="N1013">
    <cfRule type="cellIs" dxfId="1791" priority="1791" operator="lessThan">
      <formula>0</formula>
    </cfRule>
    <cfRule type="cellIs" dxfId="1790" priority="1792" operator="greaterThan">
      <formula>0</formula>
    </cfRule>
  </conditionalFormatting>
  <conditionalFormatting sqref="F1013">
    <cfRule type="cellIs" dxfId="1789" priority="1789" operator="lessThan">
      <formula>0</formula>
    </cfRule>
    <cfRule type="cellIs" dxfId="1788" priority="1790" operator="greaterThan">
      <formula>0</formula>
    </cfRule>
  </conditionalFormatting>
  <conditionalFormatting sqref="N1012">
    <cfRule type="cellIs" dxfId="1787" priority="1787" operator="lessThan">
      <formula>0</formula>
    </cfRule>
    <cfRule type="cellIs" dxfId="1786" priority="1788" operator="greaterThan">
      <formula>0</formula>
    </cfRule>
  </conditionalFormatting>
  <conditionalFormatting sqref="F1012">
    <cfRule type="cellIs" dxfId="1785" priority="1785" operator="lessThan">
      <formula>0</formula>
    </cfRule>
    <cfRule type="cellIs" dxfId="1784" priority="1786" operator="greaterThan">
      <formula>0</formula>
    </cfRule>
  </conditionalFormatting>
  <conditionalFormatting sqref="N1011">
    <cfRule type="cellIs" dxfId="1783" priority="1783" operator="lessThan">
      <formula>0</formula>
    </cfRule>
    <cfRule type="cellIs" dxfId="1782" priority="1784" operator="greaterThan">
      <formula>0</formula>
    </cfRule>
  </conditionalFormatting>
  <conditionalFormatting sqref="F1011">
    <cfRule type="cellIs" dxfId="1781" priority="1781" operator="lessThan">
      <formula>0</formula>
    </cfRule>
    <cfRule type="cellIs" dxfId="1780" priority="1782" operator="greaterThan">
      <formula>0</formula>
    </cfRule>
  </conditionalFormatting>
  <conditionalFormatting sqref="N1010">
    <cfRule type="cellIs" dxfId="1779" priority="1779" operator="lessThan">
      <formula>0</formula>
    </cfRule>
    <cfRule type="cellIs" dxfId="1778" priority="1780" operator="greaterThan">
      <formula>0</formula>
    </cfRule>
  </conditionalFormatting>
  <conditionalFormatting sqref="F1010">
    <cfRule type="cellIs" dxfId="1777" priority="1777" operator="lessThan">
      <formula>0</formula>
    </cfRule>
    <cfRule type="cellIs" dxfId="1776" priority="1778" operator="greaterThan">
      <formula>0</formula>
    </cfRule>
  </conditionalFormatting>
  <conditionalFormatting sqref="N1009">
    <cfRule type="cellIs" dxfId="1775" priority="1775" operator="lessThan">
      <formula>0</formula>
    </cfRule>
    <cfRule type="cellIs" dxfId="1774" priority="1776" operator="greaterThan">
      <formula>0</formula>
    </cfRule>
  </conditionalFormatting>
  <conditionalFormatting sqref="F1009">
    <cfRule type="cellIs" dxfId="1773" priority="1773" operator="lessThan">
      <formula>0</formula>
    </cfRule>
    <cfRule type="cellIs" dxfId="1772" priority="1774" operator="greaterThan">
      <formula>0</formula>
    </cfRule>
  </conditionalFormatting>
  <conditionalFormatting sqref="N1007:N1008">
    <cfRule type="cellIs" dxfId="1771" priority="1771" operator="lessThan">
      <formula>0</formula>
    </cfRule>
    <cfRule type="cellIs" dxfId="1770" priority="1772" operator="greaterThan">
      <formula>0</formula>
    </cfRule>
  </conditionalFormatting>
  <conditionalFormatting sqref="F1007:F1008">
    <cfRule type="cellIs" dxfId="1769" priority="1769" operator="lessThan">
      <formula>0</formula>
    </cfRule>
    <cfRule type="cellIs" dxfId="1768" priority="1770" operator="greaterThan">
      <formula>0</formula>
    </cfRule>
  </conditionalFormatting>
  <conditionalFormatting sqref="N1006">
    <cfRule type="cellIs" dxfId="1767" priority="1767" operator="lessThan">
      <formula>0</formula>
    </cfRule>
    <cfRule type="cellIs" dxfId="1766" priority="1768" operator="greaterThan">
      <formula>0</formula>
    </cfRule>
  </conditionalFormatting>
  <conditionalFormatting sqref="F1006">
    <cfRule type="cellIs" dxfId="1765" priority="1765" operator="lessThan">
      <formula>0</formula>
    </cfRule>
    <cfRule type="cellIs" dxfId="1764" priority="1766" operator="greaterThan">
      <formula>0</formula>
    </cfRule>
  </conditionalFormatting>
  <conditionalFormatting sqref="N1005">
    <cfRule type="cellIs" dxfId="1763" priority="1763" operator="lessThan">
      <formula>0</formula>
    </cfRule>
    <cfRule type="cellIs" dxfId="1762" priority="1764" operator="greaterThan">
      <formula>0</formula>
    </cfRule>
  </conditionalFormatting>
  <conditionalFormatting sqref="F1005">
    <cfRule type="cellIs" dxfId="1761" priority="1761" operator="lessThan">
      <formula>0</formula>
    </cfRule>
    <cfRule type="cellIs" dxfId="1760" priority="1762" operator="greaterThan">
      <formula>0</formula>
    </cfRule>
  </conditionalFormatting>
  <conditionalFormatting sqref="N1004">
    <cfRule type="cellIs" dxfId="1759" priority="1759" operator="lessThan">
      <formula>0</formula>
    </cfRule>
    <cfRule type="cellIs" dxfId="1758" priority="1760" operator="greaterThan">
      <formula>0</formula>
    </cfRule>
  </conditionalFormatting>
  <conditionalFormatting sqref="F1004">
    <cfRule type="cellIs" dxfId="1757" priority="1757" operator="lessThan">
      <formula>0</formula>
    </cfRule>
    <cfRule type="cellIs" dxfId="1756" priority="1758" operator="greaterThan">
      <formula>0</formula>
    </cfRule>
  </conditionalFormatting>
  <conditionalFormatting sqref="N1003">
    <cfRule type="cellIs" dxfId="1755" priority="1755" operator="lessThan">
      <formula>0</formula>
    </cfRule>
    <cfRule type="cellIs" dxfId="1754" priority="1756" operator="greaterThan">
      <formula>0</formula>
    </cfRule>
  </conditionalFormatting>
  <conditionalFormatting sqref="F1003">
    <cfRule type="cellIs" dxfId="1753" priority="1753" operator="lessThan">
      <formula>0</formula>
    </cfRule>
    <cfRule type="cellIs" dxfId="1752" priority="1754" operator="greaterThan">
      <formula>0</formula>
    </cfRule>
  </conditionalFormatting>
  <conditionalFormatting sqref="N1002">
    <cfRule type="cellIs" dxfId="1751" priority="1751" operator="lessThan">
      <formula>0</formula>
    </cfRule>
    <cfRule type="cellIs" dxfId="1750" priority="1752" operator="greaterThan">
      <formula>0</formula>
    </cfRule>
  </conditionalFormatting>
  <conditionalFormatting sqref="F1002">
    <cfRule type="cellIs" dxfId="1749" priority="1749" operator="lessThan">
      <formula>0</formula>
    </cfRule>
    <cfRule type="cellIs" dxfId="1748" priority="1750" operator="greaterThan">
      <formula>0</formula>
    </cfRule>
  </conditionalFormatting>
  <conditionalFormatting sqref="N1001">
    <cfRule type="cellIs" dxfId="1747" priority="1747" operator="lessThan">
      <formula>0</formula>
    </cfRule>
    <cfRule type="cellIs" dxfId="1746" priority="1748" operator="greaterThan">
      <formula>0</formula>
    </cfRule>
  </conditionalFormatting>
  <conditionalFormatting sqref="F1001">
    <cfRule type="cellIs" dxfId="1745" priority="1745" operator="lessThan">
      <formula>0</formula>
    </cfRule>
    <cfRule type="cellIs" dxfId="1744" priority="1746" operator="greaterThan">
      <formula>0</formula>
    </cfRule>
  </conditionalFormatting>
  <conditionalFormatting sqref="N1000">
    <cfRule type="cellIs" dxfId="1743" priority="1743" operator="lessThan">
      <formula>0</formula>
    </cfRule>
    <cfRule type="cellIs" dxfId="1742" priority="1744" operator="greaterThan">
      <formula>0</formula>
    </cfRule>
  </conditionalFormatting>
  <conditionalFormatting sqref="F1000">
    <cfRule type="cellIs" dxfId="1741" priority="1741" operator="lessThan">
      <formula>0</formula>
    </cfRule>
    <cfRule type="cellIs" dxfId="1740" priority="1742" operator="greaterThan">
      <formula>0</formula>
    </cfRule>
  </conditionalFormatting>
  <conditionalFormatting sqref="N999">
    <cfRule type="cellIs" dxfId="1739" priority="1739" operator="lessThan">
      <formula>0</formula>
    </cfRule>
    <cfRule type="cellIs" dxfId="1738" priority="1740" operator="greaterThan">
      <formula>0</formula>
    </cfRule>
  </conditionalFormatting>
  <conditionalFormatting sqref="F999">
    <cfRule type="cellIs" dxfId="1737" priority="1737" operator="lessThan">
      <formula>0</formula>
    </cfRule>
    <cfRule type="cellIs" dxfId="1736" priority="1738" operator="greaterThan">
      <formula>0</formula>
    </cfRule>
  </conditionalFormatting>
  <conditionalFormatting sqref="N998">
    <cfRule type="cellIs" dxfId="1735" priority="1735" operator="lessThan">
      <formula>0</formula>
    </cfRule>
    <cfRule type="cellIs" dxfId="1734" priority="1736" operator="greaterThan">
      <formula>0</formula>
    </cfRule>
  </conditionalFormatting>
  <conditionalFormatting sqref="F998">
    <cfRule type="cellIs" dxfId="1733" priority="1733" operator="lessThan">
      <formula>0</formula>
    </cfRule>
    <cfRule type="cellIs" dxfId="1732" priority="1734" operator="greaterThan">
      <formula>0</formula>
    </cfRule>
  </conditionalFormatting>
  <conditionalFormatting sqref="N997">
    <cfRule type="cellIs" dxfId="1731" priority="1731" operator="lessThan">
      <formula>0</formula>
    </cfRule>
    <cfRule type="cellIs" dxfId="1730" priority="1732" operator="greaterThan">
      <formula>0</formula>
    </cfRule>
  </conditionalFormatting>
  <conditionalFormatting sqref="F997">
    <cfRule type="cellIs" dxfId="1729" priority="1729" operator="lessThan">
      <formula>0</formula>
    </cfRule>
    <cfRule type="cellIs" dxfId="1728" priority="1730" operator="greaterThan">
      <formula>0</formula>
    </cfRule>
  </conditionalFormatting>
  <conditionalFormatting sqref="N996">
    <cfRule type="cellIs" dxfId="1727" priority="1727" operator="lessThan">
      <formula>0</formula>
    </cfRule>
    <cfRule type="cellIs" dxfId="1726" priority="1728" operator="greaterThan">
      <formula>0</formula>
    </cfRule>
  </conditionalFormatting>
  <conditionalFormatting sqref="F996">
    <cfRule type="cellIs" dxfId="1725" priority="1725" operator="lessThan">
      <formula>0</formula>
    </cfRule>
    <cfRule type="cellIs" dxfId="1724" priority="1726" operator="greaterThan">
      <formula>0</formula>
    </cfRule>
  </conditionalFormatting>
  <conditionalFormatting sqref="N994:N995">
    <cfRule type="cellIs" dxfId="1723" priority="1723" operator="lessThan">
      <formula>0</formula>
    </cfRule>
    <cfRule type="cellIs" dxfId="1722" priority="1724" operator="greaterThan">
      <formula>0</formula>
    </cfRule>
  </conditionalFormatting>
  <conditionalFormatting sqref="F994:F995">
    <cfRule type="cellIs" dxfId="1721" priority="1721" operator="lessThan">
      <formula>0</formula>
    </cfRule>
    <cfRule type="cellIs" dxfId="1720" priority="1722" operator="greaterThan">
      <formula>0</formula>
    </cfRule>
  </conditionalFormatting>
  <conditionalFormatting sqref="N993">
    <cfRule type="cellIs" dxfId="1719" priority="1719" operator="lessThan">
      <formula>0</formula>
    </cfRule>
    <cfRule type="cellIs" dxfId="1718" priority="1720" operator="greaterThan">
      <formula>0</formula>
    </cfRule>
  </conditionalFormatting>
  <conditionalFormatting sqref="F993">
    <cfRule type="cellIs" dxfId="1717" priority="1717" operator="lessThan">
      <formula>0</formula>
    </cfRule>
    <cfRule type="cellIs" dxfId="1716" priority="1718" operator="greaterThan">
      <formula>0</formula>
    </cfRule>
  </conditionalFormatting>
  <conditionalFormatting sqref="N992">
    <cfRule type="cellIs" dxfId="1715" priority="1715" operator="lessThan">
      <formula>0</formula>
    </cfRule>
    <cfRule type="cellIs" dxfId="1714" priority="1716" operator="greaterThan">
      <formula>0</formula>
    </cfRule>
  </conditionalFormatting>
  <conditionalFormatting sqref="F992">
    <cfRule type="cellIs" dxfId="1713" priority="1713" operator="lessThan">
      <formula>0</formula>
    </cfRule>
    <cfRule type="cellIs" dxfId="1712" priority="1714" operator="greaterThan">
      <formula>0</formula>
    </cfRule>
  </conditionalFormatting>
  <conditionalFormatting sqref="N991">
    <cfRule type="cellIs" dxfId="1711" priority="1711" operator="lessThan">
      <formula>0</formula>
    </cfRule>
    <cfRule type="cellIs" dxfId="1710" priority="1712" operator="greaterThan">
      <formula>0</formula>
    </cfRule>
  </conditionalFormatting>
  <conditionalFormatting sqref="F991">
    <cfRule type="cellIs" dxfId="1709" priority="1709" operator="lessThan">
      <formula>0</formula>
    </cfRule>
    <cfRule type="cellIs" dxfId="1708" priority="1710" operator="greaterThan">
      <formula>0</formula>
    </cfRule>
  </conditionalFormatting>
  <conditionalFormatting sqref="N990">
    <cfRule type="cellIs" dxfId="1707" priority="1707" operator="lessThan">
      <formula>0</formula>
    </cfRule>
    <cfRule type="cellIs" dxfId="1706" priority="1708" operator="greaterThan">
      <formula>0</formula>
    </cfRule>
  </conditionalFormatting>
  <conditionalFormatting sqref="F990">
    <cfRule type="cellIs" dxfId="1705" priority="1705" operator="lessThan">
      <formula>0</formula>
    </cfRule>
    <cfRule type="cellIs" dxfId="1704" priority="1706" operator="greaterThan">
      <formula>0</formula>
    </cfRule>
  </conditionalFormatting>
  <conditionalFormatting sqref="N989">
    <cfRule type="cellIs" dxfId="1703" priority="1703" operator="lessThan">
      <formula>0</formula>
    </cfRule>
    <cfRule type="cellIs" dxfId="1702" priority="1704" operator="greaterThan">
      <formula>0</formula>
    </cfRule>
  </conditionalFormatting>
  <conditionalFormatting sqref="F989">
    <cfRule type="cellIs" dxfId="1701" priority="1701" operator="lessThan">
      <formula>0</formula>
    </cfRule>
    <cfRule type="cellIs" dxfId="1700" priority="1702" operator="greaterThan">
      <formula>0</formula>
    </cfRule>
  </conditionalFormatting>
  <conditionalFormatting sqref="N988">
    <cfRule type="cellIs" dxfId="1699" priority="1699" operator="lessThan">
      <formula>0</formula>
    </cfRule>
    <cfRule type="cellIs" dxfId="1698" priority="1700" operator="greaterThan">
      <formula>0</formula>
    </cfRule>
  </conditionalFormatting>
  <conditionalFormatting sqref="F988">
    <cfRule type="cellIs" dxfId="1697" priority="1697" operator="lessThan">
      <formula>0</formula>
    </cfRule>
    <cfRule type="cellIs" dxfId="1696" priority="1698" operator="greaterThan">
      <formula>0</formula>
    </cfRule>
  </conditionalFormatting>
  <conditionalFormatting sqref="N987">
    <cfRule type="cellIs" dxfId="1695" priority="1695" operator="lessThan">
      <formula>0</formula>
    </cfRule>
    <cfRule type="cellIs" dxfId="1694" priority="1696" operator="greaterThan">
      <formula>0</formula>
    </cfRule>
  </conditionalFormatting>
  <conditionalFormatting sqref="F987">
    <cfRule type="cellIs" dxfId="1693" priority="1693" operator="lessThan">
      <formula>0</formula>
    </cfRule>
    <cfRule type="cellIs" dxfId="1692" priority="1694" operator="greaterThan">
      <formula>0</formula>
    </cfRule>
  </conditionalFormatting>
  <conditionalFormatting sqref="N986">
    <cfRule type="cellIs" dxfId="1691" priority="1691" operator="lessThan">
      <formula>0</formula>
    </cfRule>
    <cfRule type="cellIs" dxfId="1690" priority="1692" operator="greaterThan">
      <formula>0</formula>
    </cfRule>
  </conditionalFormatting>
  <conditionalFormatting sqref="F986">
    <cfRule type="cellIs" dxfId="1689" priority="1689" operator="lessThan">
      <formula>0</formula>
    </cfRule>
    <cfRule type="cellIs" dxfId="1688" priority="1690" operator="greaterThan">
      <formula>0</formula>
    </cfRule>
  </conditionalFormatting>
  <conditionalFormatting sqref="N985">
    <cfRule type="cellIs" dxfId="1687" priority="1687" operator="lessThan">
      <formula>0</formula>
    </cfRule>
    <cfRule type="cellIs" dxfId="1686" priority="1688" operator="greaterThan">
      <formula>0</formula>
    </cfRule>
  </conditionalFormatting>
  <conditionalFormatting sqref="F985">
    <cfRule type="cellIs" dxfId="1685" priority="1685" operator="lessThan">
      <formula>0</formula>
    </cfRule>
    <cfRule type="cellIs" dxfId="1684" priority="1686" operator="greaterThan">
      <formula>0</formula>
    </cfRule>
  </conditionalFormatting>
  <conditionalFormatting sqref="N984">
    <cfRule type="cellIs" dxfId="1683" priority="1683" operator="lessThan">
      <formula>0</formula>
    </cfRule>
    <cfRule type="cellIs" dxfId="1682" priority="1684" operator="greaterThan">
      <formula>0</formula>
    </cfRule>
  </conditionalFormatting>
  <conditionalFormatting sqref="F984">
    <cfRule type="cellIs" dxfId="1681" priority="1681" operator="lessThan">
      <formula>0</formula>
    </cfRule>
    <cfRule type="cellIs" dxfId="1680" priority="1682" operator="greaterThan">
      <formula>0</formula>
    </cfRule>
  </conditionalFormatting>
  <conditionalFormatting sqref="N983">
    <cfRule type="cellIs" dxfId="1679" priority="1679" operator="lessThan">
      <formula>0</formula>
    </cfRule>
    <cfRule type="cellIs" dxfId="1678" priority="1680" operator="greaterThan">
      <formula>0</formula>
    </cfRule>
  </conditionalFormatting>
  <conditionalFormatting sqref="F983">
    <cfRule type="cellIs" dxfId="1677" priority="1677" operator="lessThan">
      <formula>0</formula>
    </cfRule>
    <cfRule type="cellIs" dxfId="1676" priority="1678" operator="greaterThan">
      <formula>0</formula>
    </cfRule>
  </conditionalFormatting>
  <conditionalFormatting sqref="N981:N982">
    <cfRule type="cellIs" dxfId="1675" priority="1675" operator="lessThan">
      <formula>0</formula>
    </cfRule>
    <cfRule type="cellIs" dxfId="1674" priority="1676" operator="greaterThan">
      <formula>0</formula>
    </cfRule>
  </conditionalFormatting>
  <conditionalFormatting sqref="F981:F982">
    <cfRule type="cellIs" dxfId="1673" priority="1673" operator="lessThan">
      <formula>0</formula>
    </cfRule>
    <cfRule type="cellIs" dxfId="1672" priority="1674" operator="greaterThan">
      <formula>0</formula>
    </cfRule>
  </conditionalFormatting>
  <conditionalFormatting sqref="N980">
    <cfRule type="cellIs" dxfId="1671" priority="1671" operator="lessThan">
      <formula>0</formula>
    </cfRule>
    <cfRule type="cellIs" dxfId="1670" priority="1672" operator="greaterThan">
      <formula>0</formula>
    </cfRule>
  </conditionalFormatting>
  <conditionalFormatting sqref="F980">
    <cfRule type="cellIs" dxfId="1669" priority="1669" operator="lessThan">
      <formula>0</formula>
    </cfRule>
    <cfRule type="cellIs" dxfId="1668" priority="1670" operator="greaterThan">
      <formula>0</formula>
    </cfRule>
  </conditionalFormatting>
  <conditionalFormatting sqref="N979">
    <cfRule type="cellIs" dxfId="1667" priority="1667" operator="lessThan">
      <formula>0</formula>
    </cfRule>
    <cfRule type="cellIs" dxfId="1666" priority="1668" operator="greaterThan">
      <formula>0</formula>
    </cfRule>
  </conditionalFormatting>
  <conditionalFormatting sqref="F979">
    <cfRule type="cellIs" dxfId="1665" priority="1665" operator="lessThan">
      <formula>0</formula>
    </cfRule>
    <cfRule type="cellIs" dxfId="1664" priority="1666" operator="greaterThan">
      <formula>0</formula>
    </cfRule>
  </conditionalFormatting>
  <conditionalFormatting sqref="N978">
    <cfRule type="cellIs" dxfId="1663" priority="1663" operator="lessThan">
      <formula>0</formula>
    </cfRule>
    <cfRule type="cellIs" dxfId="1662" priority="1664" operator="greaterThan">
      <formula>0</formula>
    </cfRule>
  </conditionalFormatting>
  <conditionalFormatting sqref="F978">
    <cfRule type="cellIs" dxfId="1661" priority="1661" operator="lessThan">
      <formula>0</formula>
    </cfRule>
    <cfRule type="cellIs" dxfId="1660" priority="1662" operator="greaterThan">
      <formula>0</formula>
    </cfRule>
  </conditionalFormatting>
  <conditionalFormatting sqref="N977">
    <cfRule type="cellIs" dxfId="1659" priority="1659" operator="lessThan">
      <formula>0</formula>
    </cfRule>
    <cfRule type="cellIs" dxfId="1658" priority="1660" operator="greaterThan">
      <formula>0</formula>
    </cfRule>
  </conditionalFormatting>
  <conditionalFormatting sqref="F977">
    <cfRule type="cellIs" dxfId="1657" priority="1657" operator="lessThan">
      <formula>0</formula>
    </cfRule>
    <cfRule type="cellIs" dxfId="1656" priority="1658" operator="greaterThan">
      <formula>0</formula>
    </cfRule>
  </conditionalFormatting>
  <conditionalFormatting sqref="N976">
    <cfRule type="cellIs" dxfId="1655" priority="1655" operator="lessThan">
      <formula>0</formula>
    </cfRule>
    <cfRule type="cellIs" dxfId="1654" priority="1656" operator="greaterThan">
      <formula>0</formula>
    </cfRule>
  </conditionalFormatting>
  <conditionalFormatting sqref="F976">
    <cfRule type="cellIs" dxfId="1653" priority="1653" operator="lessThan">
      <formula>0</formula>
    </cfRule>
    <cfRule type="cellIs" dxfId="1652" priority="1654" operator="greaterThan">
      <formula>0</formula>
    </cfRule>
  </conditionalFormatting>
  <conditionalFormatting sqref="N975">
    <cfRule type="cellIs" dxfId="1651" priority="1651" operator="lessThan">
      <formula>0</formula>
    </cfRule>
    <cfRule type="cellIs" dxfId="1650" priority="1652" operator="greaterThan">
      <formula>0</formula>
    </cfRule>
  </conditionalFormatting>
  <conditionalFormatting sqref="F975">
    <cfRule type="cellIs" dxfId="1649" priority="1649" operator="lessThan">
      <formula>0</formula>
    </cfRule>
    <cfRule type="cellIs" dxfId="1648" priority="1650" operator="greaterThan">
      <formula>0</formula>
    </cfRule>
  </conditionalFormatting>
  <conditionalFormatting sqref="N974">
    <cfRule type="cellIs" dxfId="1647" priority="1647" operator="lessThan">
      <formula>0</formula>
    </cfRule>
    <cfRule type="cellIs" dxfId="1646" priority="1648" operator="greaterThan">
      <formula>0</formula>
    </cfRule>
  </conditionalFormatting>
  <conditionalFormatting sqref="F974">
    <cfRule type="cellIs" dxfId="1645" priority="1645" operator="lessThan">
      <formula>0</formula>
    </cfRule>
    <cfRule type="cellIs" dxfId="1644" priority="1646" operator="greaterThan">
      <formula>0</formula>
    </cfRule>
  </conditionalFormatting>
  <conditionalFormatting sqref="N973">
    <cfRule type="cellIs" dxfId="1643" priority="1643" operator="lessThan">
      <formula>0</formula>
    </cfRule>
    <cfRule type="cellIs" dxfId="1642" priority="1644" operator="greaterThan">
      <formula>0</formula>
    </cfRule>
  </conditionalFormatting>
  <conditionalFormatting sqref="F973">
    <cfRule type="cellIs" dxfId="1641" priority="1641" operator="lessThan">
      <formula>0</formula>
    </cfRule>
    <cfRule type="cellIs" dxfId="1640" priority="1642" operator="greaterThan">
      <formula>0</formula>
    </cfRule>
  </conditionalFormatting>
  <conditionalFormatting sqref="N972">
    <cfRule type="cellIs" dxfId="1639" priority="1639" operator="lessThan">
      <formula>0</formula>
    </cfRule>
    <cfRule type="cellIs" dxfId="1638" priority="1640" operator="greaterThan">
      <formula>0</formula>
    </cfRule>
  </conditionalFormatting>
  <conditionalFormatting sqref="F972">
    <cfRule type="cellIs" dxfId="1637" priority="1637" operator="lessThan">
      <formula>0</formula>
    </cfRule>
    <cfRule type="cellIs" dxfId="1636" priority="1638" operator="greaterThan">
      <formula>0</formula>
    </cfRule>
  </conditionalFormatting>
  <conditionalFormatting sqref="N971">
    <cfRule type="cellIs" dxfId="1635" priority="1635" operator="lessThan">
      <formula>0</formula>
    </cfRule>
    <cfRule type="cellIs" dxfId="1634" priority="1636" operator="greaterThan">
      <formula>0</formula>
    </cfRule>
  </conditionalFormatting>
  <conditionalFormatting sqref="F971">
    <cfRule type="cellIs" dxfId="1633" priority="1633" operator="lessThan">
      <formula>0</formula>
    </cfRule>
    <cfRule type="cellIs" dxfId="1632" priority="1634" operator="greaterThan">
      <formula>0</formula>
    </cfRule>
  </conditionalFormatting>
  <conditionalFormatting sqref="N970">
    <cfRule type="cellIs" dxfId="1631" priority="1631" operator="lessThan">
      <formula>0</formula>
    </cfRule>
    <cfRule type="cellIs" dxfId="1630" priority="1632" operator="greaterThan">
      <formula>0</formula>
    </cfRule>
  </conditionalFormatting>
  <conditionalFormatting sqref="F970">
    <cfRule type="cellIs" dxfId="1629" priority="1629" operator="lessThan">
      <formula>0</formula>
    </cfRule>
    <cfRule type="cellIs" dxfId="1628" priority="1630" operator="greaterThan">
      <formula>0</formula>
    </cfRule>
  </conditionalFormatting>
  <conditionalFormatting sqref="N968:N969">
    <cfRule type="cellIs" dxfId="1627" priority="1627" operator="lessThan">
      <formula>0</formula>
    </cfRule>
    <cfRule type="cellIs" dxfId="1626" priority="1628" operator="greaterThan">
      <formula>0</formula>
    </cfRule>
  </conditionalFormatting>
  <conditionalFormatting sqref="F968:F969">
    <cfRule type="cellIs" dxfId="1625" priority="1625" operator="lessThan">
      <formula>0</formula>
    </cfRule>
    <cfRule type="cellIs" dxfId="1624" priority="1626" operator="greaterThan">
      <formula>0</formula>
    </cfRule>
  </conditionalFormatting>
  <conditionalFormatting sqref="N967">
    <cfRule type="cellIs" dxfId="1623" priority="1623" operator="lessThan">
      <formula>0</formula>
    </cfRule>
    <cfRule type="cellIs" dxfId="1622" priority="1624" operator="greaterThan">
      <formula>0</formula>
    </cfRule>
  </conditionalFormatting>
  <conditionalFormatting sqref="F967">
    <cfRule type="cellIs" dxfId="1621" priority="1621" operator="lessThan">
      <formula>0</formula>
    </cfRule>
    <cfRule type="cellIs" dxfId="1620" priority="1622" operator="greaterThan">
      <formula>0</formula>
    </cfRule>
  </conditionalFormatting>
  <conditionalFormatting sqref="N966">
    <cfRule type="cellIs" dxfId="1619" priority="1619" operator="lessThan">
      <formula>0</formula>
    </cfRule>
    <cfRule type="cellIs" dxfId="1618" priority="1620" operator="greaterThan">
      <formula>0</formula>
    </cfRule>
  </conditionalFormatting>
  <conditionalFormatting sqref="F966">
    <cfRule type="cellIs" dxfId="1617" priority="1617" operator="lessThan">
      <formula>0</formula>
    </cfRule>
    <cfRule type="cellIs" dxfId="1616" priority="1618" operator="greaterThan">
      <formula>0</formula>
    </cfRule>
  </conditionalFormatting>
  <conditionalFormatting sqref="N965">
    <cfRule type="cellIs" dxfId="1615" priority="1615" operator="lessThan">
      <formula>0</formula>
    </cfRule>
    <cfRule type="cellIs" dxfId="1614" priority="1616" operator="greaterThan">
      <formula>0</formula>
    </cfRule>
  </conditionalFormatting>
  <conditionalFormatting sqref="F965">
    <cfRule type="cellIs" dxfId="1613" priority="1613" operator="lessThan">
      <formula>0</formula>
    </cfRule>
    <cfRule type="cellIs" dxfId="1612" priority="1614" operator="greaterThan">
      <formula>0</formula>
    </cfRule>
  </conditionalFormatting>
  <conditionalFormatting sqref="N964">
    <cfRule type="cellIs" dxfId="1611" priority="1611" operator="lessThan">
      <formula>0</formula>
    </cfRule>
    <cfRule type="cellIs" dxfId="1610" priority="1612" operator="greaterThan">
      <formula>0</formula>
    </cfRule>
  </conditionalFormatting>
  <conditionalFormatting sqref="F964">
    <cfRule type="cellIs" dxfId="1609" priority="1609" operator="lessThan">
      <formula>0</formula>
    </cfRule>
    <cfRule type="cellIs" dxfId="1608" priority="1610" operator="greaterThan">
      <formula>0</formula>
    </cfRule>
  </conditionalFormatting>
  <conditionalFormatting sqref="N963">
    <cfRule type="cellIs" dxfId="1607" priority="1607" operator="lessThan">
      <formula>0</formula>
    </cfRule>
    <cfRule type="cellIs" dxfId="1606" priority="1608" operator="greaterThan">
      <formula>0</formula>
    </cfRule>
  </conditionalFormatting>
  <conditionalFormatting sqref="F963">
    <cfRule type="cellIs" dxfId="1605" priority="1605" operator="lessThan">
      <formula>0</formula>
    </cfRule>
    <cfRule type="cellIs" dxfId="1604" priority="1606" operator="greaterThan">
      <formula>0</formula>
    </cfRule>
  </conditionalFormatting>
  <conditionalFormatting sqref="N962">
    <cfRule type="cellIs" dxfId="1603" priority="1603" operator="lessThan">
      <formula>0</formula>
    </cfRule>
    <cfRule type="cellIs" dxfId="1602" priority="1604" operator="greaterThan">
      <formula>0</formula>
    </cfRule>
  </conditionalFormatting>
  <conditionalFormatting sqref="F962">
    <cfRule type="cellIs" dxfId="1601" priority="1601" operator="lessThan">
      <formula>0</formula>
    </cfRule>
    <cfRule type="cellIs" dxfId="1600" priority="1602" operator="greaterThan">
      <formula>0</formula>
    </cfRule>
  </conditionalFormatting>
  <conditionalFormatting sqref="N961">
    <cfRule type="cellIs" dxfId="1599" priority="1599" operator="lessThan">
      <formula>0</formula>
    </cfRule>
    <cfRule type="cellIs" dxfId="1598" priority="1600" operator="greaterThan">
      <formula>0</formula>
    </cfRule>
  </conditionalFormatting>
  <conditionalFormatting sqref="F961">
    <cfRule type="cellIs" dxfId="1597" priority="1597" operator="lessThan">
      <formula>0</formula>
    </cfRule>
    <cfRule type="cellIs" dxfId="1596" priority="1598" operator="greaterThan">
      <formula>0</formula>
    </cfRule>
  </conditionalFormatting>
  <conditionalFormatting sqref="N960">
    <cfRule type="cellIs" dxfId="1595" priority="1595" operator="lessThan">
      <formula>0</formula>
    </cfRule>
    <cfRule type="cellIs" dxfId="1594" priority="1596" operator="greaterThan">
      <formula>0</formula>
    </cfRule>
  </conditionalFormatting>
  <conditionalFormatting sqref="F960">
    <cfRule type="cellIs" dxfId="1593" priority="1593" operator="lessThan">
      <formula>0</formula>
    </cfRule>
    <cfRule type="cellIs" dxfId="1592" priority="1594" operator="greaterThan">
      <formula>0</formula>
    </cfRule>
  </conditionalFormatting>
  <conditionalFormatting sqref="N959">
    <cfRule type="cellIs" dxfId="1591" priority="1591" operator="lessThan">
      <formula>0</formula>
    </cfRule>
    <cfRule type="cellIs" dxfId="1590" priority="1592" operator="greaterThan">
      <formula>0</formula>
    </cfRule>
  </conditionalFormatting>
  <conditionalFormatting sqref="F959">
    <cfRule type="cellIs" dxfId="1589" priority="1589" operator="lessThan">
      <formula>0</formula>
    </cfRule>
    <cfRule type="cellIs" dxfId="1588" priority="1590" operator="greaterThan">
      <formula>0</formula>
    </cfRule>
  </conditionalFormatting>
  <conditionalFormatting sqref="N958">
    <cfRule type="cellIs" dxfId="1587" priority="1587" operator="lessThan">
      <formula>0</formula>
    </cfRule>
    <cfRule type="cellIs" dxfId="1586" priority="1588" operator="greaterThan">
      <formula>0</formula>
    </cfRule>
  </conditionalFormatting>
  <conditionalFormatting sqref="F958">
    <cfRule type="cellIs" dxfId="1585" priority="1585" operator="lessThan">
      <formula>0</formula>
    </cfRule>
    <cfRule type="cellIs" dxfId="1584" priority="1586" operator="greaterThan">
      <formula>0</formula>
    </cfRule>
  </conditionalFormatting>
  <conditionalFormatting sqref="N957">
    <cfRule type="cellIs" dxfId="1583" priority="1583" operator="lessThan">
      <formula>0</formula>
    </cfRule>
    <cfRule type="cellIs" dxfId="1582" priority="1584" operator="greaterThan">
      <formula>0</formula>
    </cfRule>
  </conditionalFormatting>
  <conditionalFormatting sqref="F957">
    <cfRule type="cellIs" dxfId="1581" priority="1581" operator="lessThan">
      <formula>0</formula>
    </cfRule>
    <cfRule type="cellIs" dxfId="1580" priority="1582" operator="greaterThan">
      <formula>0</formula>
    </cfRule>
  </conditionalFormatting>
  <conditionalFormatting sqref="N955:N956">
    <cfRule type="cellIs" dxfId="1579" priority="1579" operator="lessThan">
      <formula>0</formula>
    </cfRule>
    <cfRule type="cellIs" dxfId="1578" priority="1580" operator="greaterThan">
      <formula>0</formula>
    </cfRule>
  </conditionalFormatting>
  <conditionalFormatting sqref="F955:F956">
    <cfRule type="cellIs" dxfId="1577" priority="1577" operator="lessThan">
      <formula>0</formula>
    </cfRule>
    <cfRule type="cellIs" dxfId="1576" priority="1578" operator="greaterThan">
      <formula>0</formula>
    </cfRule>
  </conditionalFormatting>
  <conditionalFormatting sqref="N954">
    <cfRule type="cellIs" dxfId="1575" priority="1575" operator="lessThan">
      <formula>0</formula>
    </cfRule>
    <cfRule type="cellIs" dxfId="1574" priority="1576" operator="greaterThan">
      <formula>0</formula>
    </cfRule>
  </conditionalFormatting>
  <conditionalFormatting sqref="F954">
    <cfRule type="cellIs" dxfId="1573" priority="1573" operator="lessThan">
      <formula>0</formula>
    </cfRule>
    <cfRule type="cellIs" dxfId="1572" priority="1574" operator="greaterThan">
      <formula>0</formula>
    </cfRule>
  </conditionalFormatting>
  <conditionalFormatting sqref="N953">
    <cfRule type="cellIs" dxfId="1571" priority="1571" operator="lessThan">
      <formula>0</formula>
    </cfRule>
    <cfRule type="cellIs" dxfId="1570" priority="1572" operator="greaterThan">
      <formula>0</formula>
    </cfRule>
  </conditionalFormatting>
  <conditionalFormatting sqref="F953">
    <cfRule type="cellIs" dxfId="1569" priority="1569" operator="lessThan">
      <formula>0</formula>
    </cfRule>
    <cfRule type="cellIs" dxfId="1568" priority="1570" operator="greaterThan">
      <formula>0</formula>
    </cfRule>
  </conditionalFormatting>
  <conditionalFormatting sqref="N952">
    <cfRule type="cellIs" dxfId="1567" priority="1567" operator="lessThan">
      <formula>0</formula>
    </cfRule>
    <cfRule type="cellIs" dxfId="1566" priority="1568" operator="greaterThan">
      <formula>0</formula>
    </cfRule>
  </conditionalFormatting>
  <conditionalFormatting sqref="F952">
    <cfRule type="cellIs" dxfId="1565" priority="1565" operator="lessThan">
      <formula>0</formula>
    </cfRule>
    <cfRule type="cellIs" dxfId="1564" priority="1566" operator="greaterThan">
      <formula>0</formula>
    </cfRule>
  </conditionalFormatting>
  <conditionalFormatting sqref="N951">
    <cfRule type="cellIs" dxfId="1563" priority="1563" operator="lessThan">
      <formula>0</formula>
    </cfRule>
    <cfRule type="cellIs" dxfId="1562" priority="1564" operator="greaterThan">
      <formula>0</formula>
    </cfRule>
  </conditionalFormatting>
  <conditionalFormatting sqref="F951">
    <cfRule type="cellIs" dxfId="1561" priority="1561" operator="lessThan">
      <formula>0</formula>
    </cfRule>
    <cfRule type="cellIs" dxfId="1560" priority="1562" operator="greaterThan">
      <formula>0</formula>
    </cfRule>
  </conditionalFormatting>
  <conditionalFormatting sqref="N950">
    <cfRule type="cellIs" dxfId="1559" priority="1559" operator="lessThan">
      <formula>0</formula>
    </cfRule>
    <cfRule type="cellIs" dxfId="1558" priority="1560" operator="greaterThan">
      <formula>0</formula>
    </cfRule>
  </conditionalFormatting>
  <conditionalFormatting sqref="F950">
    <cfRule type="cellIs" dxfId="1557" priority="1557" operator="lessThan">
      <formula>0</formula>
    </cfRule>
    <cfRule type="cellIs" dxfId="1556" priority="1558" operator="greaterThan">
      <formula>0</formula>
    </cfRule>
  </conditionalFormatting>
  <conditionalFormatting sqref="N949">
    <cfRule type="cellIs" dxfId="1555" priority="1555" operator="lessThan">
      <formula>0</formula>
    </cfRule>
    <cfRule type="cellIs" dxfId="1554" priority="1556" operator="greaterThan">
      <formula>0</formula>
    </cfRule>
  </conditionalFormatting>
  <conditionalFormatting sqref="F949">
    <cfRule type="cellIs" dxfId="1553" priority="1553" operator="lessThan">
      <formula>0</formula>
    </cfRule>
    <cfRule type="cellIs" dxfId="1552" priority="1554" operator="greaterThan">
      <formula>0</formula>
    </cfRule>
  </conditionalFormatting>
  <conditionalFormatting sqref="N948">
    <cfRule type="cellIs" dxfId="1551" priority="1551" operator="lessThan">
      <formula>0</formula>
    </cfRule>
    <cfRule type="cellIs" dxfId="1550" priority="1552" operator="greaterThan">
      <formula>0</formula>
    </cfRule>
  </conditionalFormatting>
  <conditionalFormatting sqref="F948">
    <cfRule type="cellIs" dxfId="1549" priority="1549" operator="lessThan">
      <formula>0</formula>
    </cfRule>
    <cfRule type="cellIs" dxfId="1548" priority="1550" operator="greaterThan">
      <formula>0</formula>
    </cfRule>
  </conditionalFormatting>
  <conditionalFormatting sqref="N947">
    <cfRule type="cellIs" dxfId="1547" priority="1547" operator="lessThan">
      <formula>0</formula>
    </cfRule>
    <cfRule type="cellIs" dxfId="1546" priority="1548" operator="greaterThan">
      <formula>0</formula>
    </cfRule>
  </conditionalFormatting>
  <conditionalFormatting sqref="F947">
    <cfRule type="cellIs" dxfId="1545" priority="1545" operator="lessThan">
      <formula>0</formula>
    </cfRule>
    <cfRule type="cellIs" dxfId="1544" priority="1546" operator="greaterThan">
      <formula>0</formula>
    </cfRule>
  </conditionalFormatting>
  <conditionalFormatting sqref="N946">
    <cfRule type="cellIs" dxfId="1543" priority="1543" operator="lessThan">
      <formula>0</formula>
    </cfRule>
    <cfRule type="cellIs" dxfId="1542" priority="1544" operator="greaterThan">
      <formula>0</formula>
    </cfRule>
  </conditionalFormatting>
  <conditionalFormatting sqref="F946">
    <cfRule type="cellIs" dxfId="1541" priority="1541" operator="lessThan">
      <formula>0</formula>
    </cfRule>
    <cfRule type="cellIs" dxfId="1540" priority="1542" operator="greaterThan">
      <formula>0</formula>
    </cfRule>
  </conditionalFormatting>
  <conditionalFormatting sqref="N945">
    <cfRule type="cellIs" dxfId="1539" priority="1539" operator="lessThan">
      <formula>0</formula>
    </cfRule>
    <cfRule type="cellIs" dxfId="1538" priority="1540" operator="greaterThan">
      <formula>0</formula>
    </cfRule>
  </conditionalFormatting>
  <conditionalFormatting sqref="F945">
    <cfRule type="cellIs" dxfId="1537" priority="1537" operator="lessThan">
      <formula>0</formula>
    </cfRule>
    <cfRule type="cellIs" dxfId="1536" priority="1538" operator="greaterThan">
      <formula>0</formula>
    </cfRule>
  </conditionalFormatting>
  <conditionalFormatting sqref="N944">
    <cfRule type="cellIs" dxfId="1535" priority="1535" operator="lessThan">
      <formula>0</formula>
    </cfRule>
    <cfRule type="cellIs" dxfId="1534" priority="1536" operator="greaterThan">
      <formula>0</formula>
    </cfRule>
  </conditionalFormatting>
  <conditionalFormatting sqref="F944">
    <cfRule type="cellIs" dxfId="1533" priority="1533" operator="lessThan">
      <formula>0</formula>
    </cfRule>
    <cfRule type="cellIs" dxfId="1532" priority="1534" operator="greaterThan">
      <formula>0</formula>
    </cfRule>
  </conditionalFormatting>
  <conditionalFormatting sqref="N942:N943">
    <cfRule type="cellIs" dxfId="1531" priority="1531" operator="lessThan">
      <formula>0</formula>
    </cfRule>
    <cfRule type="cellIs" dxfId="1530" priority="1532" operator="greaterThan">
      <formula>0</formula>
    </cfRule>
  </conditionalFormatting>
  <conditionalFormatting sqref="F942:F943">
    <cfRule type="cellIs" dxfId="1529" priority="1529" operator="lessThan">
      <formula>0</formula>
    </cfRule>
    <cfRule type="cellIs" dxfId="1528" priority="1530" operator="greaterThan">
      <formula>0</formula>
    </cfRule>
  </conditionalFormatting>
  <conditionalFormatting sqref="N941">
    <cfRule type="cellIs" dxfId="1527" priority="1527" operator="lessThan">
      <formula>0</formula>
    </cfRule>
    <cfRule type="cellIs" dxfId="1526" priority="1528" operator="greaterThan">
      <formula>0</formula>
    </cfRule>
  </conditionalFormatting>
  <conditionalFormatting sqref="F941">
    <cfRule type="cellIs" dxfId="1525" priority="1525" operator="lessThan">
      <formula>0</formula>
    </cfRule>
    <cfRule type="cellIs" dxfId="1524" priority="1526" operator="greaterThan">
      <formula>0</formula>
    </cfRule>
  </conditionalFormatting>
  <conditionalFormatting sqref="N940">
    <cfRule type="cellIs" dxfId="1523" priority="1523" operator="lessThan">
      <formula>0</formula>
    </cfRule>
    <cfRule type="cellIs" dxfId="1522" priority="1524" operator="greaterThan">
      <formula>0</formula>
    </cfRule>
  </conditionalFormatting>
  <conditionalFormatting sqref="F940">
    <cfRule type="cellIs" dxfId="1521" priority="1521" operator="lessThan">
      <formula>0</formula>
    </cfRule>
    <cfRule type="cellIs" dxfId="1520" priority="1522" operator="greaterThan">
      <formula>0</formula>
    </cfRule>
  </conditionalFormatting>
  <conditionalFormatting sqref="N939">
    <cfRule type="cellIs" dxfId="1519" priority="1519" operator="lessThan">
      <formula>0</formula>
    </cfRule>
    <cfRule type="cellIs" dxfId="1518" priority="1520" operator="greaterThan">
      <formula>0</formula>
    </cfRule>
  </conditionalFormatting>
  <conditionalFormatting sqref="F939">
    <cfRule type="cellIs" dxfId="1517" priority="1517" operator="lessThan">
      <formula>0</formula>
    </cfRule>
    <cfRule type="cellIs" dxfId="1516" priority="1518" operator="greaterThan">
      <formula>0</formula>
    </cfRule>
  </conditionalFormatting>
  <conditionalFormatting sqref="N938">
    <cfRule type="cellIs" dxfId="1515" priority="1515" operator="lessThan">
      <formula>0</formula>
    </cfRule>
    <cfRule type="cellIs" dxfId="1514" priority="1516" operator="greaterThan">
      <formula>0</formula>
    </cfRule>
  </conditionalFormatting>
  <conditionalFormatting sqref="F938">
    <cfRule type="cellIs" dxfId="1513" priority="1513" operator="lessThan">
      <formula>0</formula>
    </cfRule>
    <cfRule type="cellIs" dxfId="1512" priority="1514" operator="greaterThan">
      <formula>0</formula>
    </cfRule>
  </conditionalFormatting>
  <conditionalFormatting sqref="N937">
    <cfRule type="cellIs" dxfId="1511" priority="1511" operator="lessThan">
      <formula>0</formula>
    </cfRule>
    <cfRule type="cellIs" dxfId="1510" priority="1512" operator="greaterThan">
      <formula>0</formula>
    </cfRule>
  </conditionalFormatting>
  <conditionalFormatting sqref="F937">
    <cfRule type="cellIs" dxfId="1509" priority="1509" operator="lessThan">
      <formula>0</formula>
    </cfRule>
    <cfRule type="cellIs" dxfId="1508" priority="1510" operator="greaterThan">
      <formula>0</formula>
    </cfRule>
  </conditionalFormatting>
  <conditionalFormatting sqref="N936">
    <cfRule type="cellIs" dxfId="1507" priority="1507" operator="lessThan">
      <formula>0</formula>
    </cfRule>
    <cfRule type="cellIs" dxfId="1506" priority="1508" operator="greaterThan">
      <formula>0</formula>
    </cfRule>
  </conditionalFormatting>
  <conditionalFormatting sqref="F936">
    <cfRule type="cellIs" dxfId="1505" priority="1505" operator="lessThan">
      <formula>0</formula>
    </cfRule>
    <cfRule type="cellIs" dxfId="1504" priority="1506" operator="greaterThan">
      <formula>0</formula>
    </cfRule>
  </conditionalFormatting>
  <conditionalFormatting sqref="N935">
    <cfRule type="cellIs" dxfId="1503" priority="1503" operator="lessThan">
      <formula>0</formula>
    </cfRule>
    <cfRule type="cellIs" dxfId="1502" priority="1504" operator="greaterThan">
      <formula>0</formula>
    </cfRule>
  </conditionalFormatting>
  <conditionalFormatting sqref="F935">
    <cfRule type="cellIs" dxfId="1501" priority="1501" operator="lessThan">
      <formula>0</formula>
    </cfRule>
    <cfRule type="cellIs" dxfId="1500" priority="1502" operator="greaterThan">
      <formula>0</formula>
    </cfRule>
  </conditionalFormatting>
  <conditionalFormatting sqref="N934">
    <cfRule type="cellIs" dxfId="1499" priority="1499" operator="lessThan">
      <formula>0</formula>
    </cfRule>
    <cfRule type="cellIs" dxfId="1498" priority="1500" operator="greaterThan">
      <formula>0</formula>
    </cfRule>
  </conditionalFormatting>
  <conditionalFormatting sqref="F934">
    <cfRule type="cellIs" dxfId="1497" priority="1497" operator="lessThan">
      <formula>0</formula>
    </cfRule>
    <cfRule type="cellIs" dxfId="1496" priority="1498" operator="greaterThan">
      <formula>0</formula>
    </cfRule>
  </conditionalFormatting>
  <conditionalFormatting sqref="N933">
    <cfRule type="cellIs" dxfId="1495" priority="1495" operator="lessThan">
      <formula>0</formula>
    </cfRule>
    <cfRule type="cellIs" dxfId="1494" priority="1496" operator="greaterThan">
      <formula>0</formula>
    </cfRule>
  </conditionalFormatting>
  <conditionalFormatting sqref="F933">
    <cfRule type="cellIs" dxfId="1493" priority="1493" operator="lessThan">
      <formula>0</formula>
    </cfRule>
    <cfRule type="cellIs" dxfId="1492" priority="1494" operator="greaterThan">
      <formula>0</formula>
    </cfRule>
  </conditionalFormatting>
  <conditionalFormatting sqref="N932">
    <cfRule type="cellIs" dxfId="1491" priority="1491" operator="lessThan">
      <formula>0</formula>
    </cfRule>
    <cfRule type="cellIs" dxfId="1490" priority="1492" operator="greaterThan">
      <formula>0</formula>
    </cfRule>
  </conditionalFormatting>
  <conditionalFormatting sqref="F932">
    <cfRule type="cellIs" dxfId="1489" priority="1489" operator="lessThan">
      <formula>0</formula>
    </cfRule>
    <cfRule type="cellIs" dxfId="1488" priority="1490" operator="greaterThan">
      <formula>0</formula>
    </cfRule>
  </conditionalFormatting>
  <conditionalFormatting sqref="N931">
    <cfRule type="cellIs" dxfId="1487" priority="1487" operator="lessThan">
      <formula>0</formula>
    </cfRule>
    <cfRule type="cellIs" dxfId="1486" priority="1488" operator="greaterThan">
      <formula>0</formula>
    </cfRule>
  </conditionalFormatting>
  <conditionalFormatting sqref="F931">
    <cfRule type="cellIs" dxfId="1485" priority="1485" operator="lessThan">
      <formula>0</formula>
    </cfRule>
    <cfRule type="cellIs" dxfId="1484" priority="1486" operator="greaterThan">
      <formula>0</formula>
    </cfRule>
  </conditionalFormatting>
  <conditionalFormatting sqref="N929:N930">
    <cfRule type="cellIs" dxfId="1483" priority="1483" operator="lessThan">
      <formula>0</formula>
    </cfRule>
    <cfRule type="cellIs" dxfId="1482" priority="1484" operator="greaterThan">
      <formula>0</formula>
    </cfRule>
  </conditionalFormatting>
  <conditionalFormatting sqref="F929:F930">
    <cfRule type="cellIs" dxfId="1481" priority="1481" operator="lessThan">
      <formula>0</formula>
    </cfRule>
    <cfRule type="cellIs" dxfId="1480" priority="1482" operator="greaterThan">
      <formula>0</formula>
    </cfRule>
  </conditionalFormatting>
  <conditionalFormatting sqref="N928">
    <cfRule type="cellIs" dxfId="1479" priority="1479" operator="lessThan">
      <formula>0</formula>
    </cfRule>
    <cfRule type="cellIs" dxfId="1478" priority="1480" operator="greaterThan">
      <formula>0</formula>
    </cfRule>
  </conditionalFormatting>
  <conditionalFormatting sqref="F928">
    <cfRule type="cellIs" dxfId="1477" priority="1477" operator="lessThan">
      <formula>0</formula>
    </cfRule>
    <cfRule type="cellIs" dxfId="1476" priority="1478" operator="greaterThan">
      <formula>0</formula>
    </cfRule>
  </conditionalFormatting>
  <conditionalFormatting sqref="N927">
    <cfRule type="cellIs" dxfId="1475" priority="1475" operator="lessThan">
      <formula>0</formula>
    </cfRule>
    <cfRule type="cellIs" dxfId="1474" priority="1476" operator="greaterThan">
      <formula>0</formula>
    </cfRule>
  </conditionalFormatting>
  <conditionalFormatting sqref="F927">
    <cfRule type="cellIs" dxfId="1473" priority="1473" operator="lessThan">
      <formula>0</formula>
    </cfRule>
    <cfRule type="cellIs" dxfId="1472" priority="1474" operator="greaterThan">
      <formula>0</formula>
    </cfRule>
  </conditionalFormatting>
  <conditionalFormatting sqref="N926">
    <cfRule type="cellIs" dxfId="1471" priority="1471" operator="lessThan">
      <formula>0</formula>
    </cfRule>
    <cfRule type="cellIs" dxfId="1470" priority="1472" operator="greaterThan">
      <formula>0</formula>
    </cfRule>
  </conditionalFormatting>
  <conditionalFormatting sqref="F926">
    <cfRule type="cellIs" dxfId="1469" priority="1469" operator="lessThan">
      <formula>0</formula>
    </cfRule>
    <cfRule type="cellIs" dxfId="1468" priority="1470" operator="greaterThan">
      <formula>0</formula>
    </cfRule>
  </conditionalFormatting>
  <conditionalFormatting sqref="N925">
    <cfRule type="cellIs" dxfId="1467" priority="1467" operator="lessThan">
      <formula>0</formula>
    </cfRule>
    <cfRule type="cellIs" dxfId="1466" priority="1468" operator="greaterThan">
      <formula>0</formula>
    </cfRule>
  </conditionalFormatting>
  <conditionalFormatting sqref="F925">
    <cfRule type="cellIs" dxfId="1465" priority="1465" operator="lessThan">
      <formula>0</formula>
    </cfRule>
    <cfRule type="cellIs" dxfId="1464" priority="1466" operator="greaterThan">
      <formula>0</formula>
    </cfRule>
  </conditionalFormatting>
  <conditionalFormatting sqref="N924">
    <cfRule type="cellIs" dxfId="1463" priority="1463" operator="lessThan">
      <formula>0</formula>
    </cfRule>
    <cfRule type="cellIs" dxfId="1462" priority="1464" operator="greaterThan">
      <formula>0</formula>
    </cfRule>
  </conditionalFormatting>
  <conditionalFormatting sqref="F924">
    <cfRule type="cellIs" dxfId="1461" priority="1461" operator="lessThan">
      <formula>0</formula>
    </cfRule>
    <cfRule type="cellIs" dxfId="1460" priority="1462" operator="greaterThan">
      <formula>0</formula>
    </cfRule>
  </conditionalFormatting>
  <conditionalFormatting sqref="N923">
    <cfRule type="cellIs" dxfId="1459" priority="1459" operator="lessThan">
      <formula>0</formula>
    </cfRule>
    <cfRule type="cellIs" dxfId="1458" priority="1460" operator="greaterThan">
      <formula>0</formula>
    </cfRule>
  </conditionalFormatting>
  <conditionalFormatting sqref="F923">
    <cfRule type="cellIs" dxfId="1457" priority="1457" operator="lessThan">
      <formula>0</formula>
    </cfRule>
    <cfRule type="cellIs" dxfId="1456" priority="1458" operator="greaterThan">
      <formula>0</formula>
    </cfRule>
  </conditionalFormatting>
  <conditionalFormatting sqref="N922">
    <cfRule type="cellIs" dxfId="1455" priority="1455" operator="lessThan">
      <formula>0</formula>
    </cfRule>
    <cfRule type="cellIs" dxfId="1454" priority="1456" operator="greaterThan">
      <formula>0</formula>
    </cfRule>
  </conditionalFormatting>
  <conditionalFormatting sqref="F922">
    <cfRule type="cellIs" dxfId="1453" priority="1453" operator="lessThan">
      <formula>0</formula>
    </cfRule>
    <cfRule type="cellIs" dxfId="1452" priority="1454" operator="greaterThan">
      <formula>0</formula>
    </cfRule>
  </conditionalFormatting>
  <conditionalFormatting sqref="N921">
    <cfRule type="cellIs" dxfId="1451" priority="1451" operator="lessThan">
      <formula>0</formula>
    </cfRule>
    <cfRule type="cellIs" dxfId="1450" priority="1452" operator="greaterThan">
      <formula>0</formula>
    </cfRule>
  </conditionalFormatting>
  <conditionalFormatting sqref="F921">
    <cfRule type="cellIs" dxfId="1449" priority="1449" operator="lessThan">
      <formula>0</formula>
    </cfRule>
    <cfRule type="cellIs" dxfId="1448" priority="1450" operator="greaterThan">
      <formula>0</formula>
    </cfRule>
  </conditionalFormatting>
  <conditionalFormatting sqref="N920">
    <cfRule type="cellIs" dxfId="1447" priority="1447" operator="lessThan">
      <formula>0</formula>
    </cfRule>
    <cfRule type="cellIs" dxfId="1446" priority="1448" operator="greaterThan">
      <formula>0</formula>
    </cfRule>
  </conditionalFormatting>
  <conditionalFormatting sqref="F920">
    <cfRule type="cellIs" dxfId="1445" priority="1445" operator="lessThan">
      <formula>0</formula>
    </cfRule>
    <cfRule type="cellIs" dxfId="1444" priority="1446" operator="greaterThan">
      <formula>0</formula>
    </cfRule>
  </conditionalFormatting>
  <conditionalFormatting sqref="N919">
    <cfRule type="cellIs" dxfId="1443" priority="1443" operator="lessThan">
      <formula>0</formula>
    </cfRule>
    <cfRule type="cellIs" dxfId="1442" priority="1444" operator="greaterThan">
      <formula>0</formula>
    </cfRule>
  </conditionalFormatting>
  <conditionalFormatting sqref="F919">
    <cfRule type="cellIs" dxfId="1441" priority="1441" operator="lessThan">
      <formula>0</formula>
    </cfRule>
    <cfRule type="cellIs" dxfId="1440" priority="1442" operator="greaterThan">
      <formula>0</formula>
    </cfRule>
  </conditionalFormatting>
  <conditionalFormatting sqref="N918">
    <cfRule type="cellIs" dxfId="1439" priority="1439" operator="lessThan">
      <formula>0</formula>
    </cfRule>
    <cfRule type="cellIs" dxfId="1438" priority="1440" operator="greaterThan">
      <formula>0</formula>
    </cfRule>
  </conditionalFormatting>
  <conditionalFormatting sqref="F918">
    <cfRule type="cellIs" dxfId="1437" priority="1437" operator="lessThan">
      <formula>0</formula>
    </cfRule>
    <cfRule type="cellIs" dxfId="1436" priority="1438" operator="greaterThan">
      <formula>0</formula>
    </cfRule>
  </conditionalFormatting>
  <conditionalFormatting sqref="N916:N917">
    <cfRule type="cellIs" dxfId="1435" priority="1435" operator="lessThan">
      <formula>0</formula>
    </cfRule>
    <cfRule type="cellIs" dxfId="1434" priority="1436" operator="greaterThan">
      <formula>0</formula>
    </cfRule>
  </conditionalFormatting>
  <conditionalFormatting sqref="F916:F917">
    <cfRule type="cellIs" dxfId="1433" priority="1433" operator="lessThan">
      <formula>0</formula>
    </cfRule>
    <cfRule type="cellIs" dxfId="1432" priority="1434" operator="greaterThan">
      <formula>0</formula>
    </cfRule>
  </conditionalFormatting>
  <conditionalFormatting sqref="N915">
    <cfRule type="cellIs" dxfId="1431" priority="1431" operator="lessThan">
      <formula>0</formula>
    </cfRule>
    <cfRule type="cellIs" dxfId="1430" priority="1432" operator="greaterThan">
      <formula>0</formula>
    </cfRule>
  </conditionalFormatting>
  <conditionalFormatting sqref="F915">
    <cfRule type="cellIs" dxfId="1429" priority="1429" operator="lessThan">
      <formula>0</formula>
    </cfRule>
    <cfRule type="cellIs" dxfId="1428" priority="1430" operator="greaterThan">
      <formula>0</formula>
    </cfRule>
  </conditionalFormatting>
  <conditionalFormatting sqref="N914">
    <cfRule type="cellIs" dxfId="1427" priority="1427" operator="lessThan">
      <formula>0</formula>
    </cfRule>
    <cfRule type="cellIs" dxfId="1426" priority="1428" operator="greaterThan">
      <formula>0</formula>
    </cfRule>
  </conditionalFormatting>
  <conditionalFormatting sqref="F914">
    <cfRule type="cellIs" dxfId="1425" priority="1425" operator="lessThan">
      <formula>0</formula>
    </cfRule>
    <cfRule type="cellIs" dxfId="1424" priority="1426" operator="greaterThan">
      <formula>0</formula>
    </cfRule>
  </conditionalFormatting>
  <conditionalFormatting sqref="N913">
    <cfRule type="cellIs" dxfId="1423" priority="1423" operator="lessThan">
      <formula>0</formula>
    </cfRule>
    <cfRule type="cellIs" dxfId="1422" priority="1424" operator="greaterThan">
      <formula>0</formula>
    </cfRule>
  </conditionalFormatting>
  <conditionalFormatting sqref="F913">
    <cfRule type="cellIs" dxfId="1421" priority="1421" operator="lessThan">
      <formula>0</formula>
    </cfRule>
    <cfRule type="cellIs" dxfId="1420" priority="1422" operator="greaterThan">
      <formula>0</formula>
    </cfRule>
  </conditionalFormatting>
  <conditionalFormatting sqref="N912">
    <cfRule type="cellIs" dxfId="1419" priority="1419" operator="lessThan">
      <formula>0</formula>
    </cfRule>
    <cfRule type="cellIs" dxfId="1418" priority="1420" operator="greaterThan">
      <formula>0</formula>
    </cfRule>
  </conditionalFormatting>
  <conditionalFormatting sqref="F912">
    <cfRule type="cellIs" dxfId="1417" priority="1417" operator="lessThan">
      <formula>0</formula>
    </cfRule>
    <cfRule type="cellIs" dxfId="1416" priority="1418" operator="greaterThan">
      <formula>0</formula>
    </cfRule>
  </conditionalFormatting>
  <conditionalFormatting sqref="N911">
    <cfRule type="cellIs" dxfId="1415" priority="1415" operator="lessThan">
      <formula>0</formula>
    </cfRule>
    <cfRule type="cellIs" dxfId="1414" priority="1416" operator="greaterThan">
      <formula>0</formula>
    </cfRule>
  </conditionalFormatting>
  <conditionalFormatting sqref="F911">
    <cfRule type="cellIs" dxfId="1413" priority="1413" operator="lessThan">
      <formula>0</formula>
    </cfRule>
    <cfRule type="cellIs" dxfId="1412" priority="1414" operator="greaterThan">
      <formula>0</formula>
    </cfRule>
  </conditionalFormatting>
  <conditionalFormatting sqref="N910">
    <cfRule type="cellIs" dxfId="1411" priority="1411" operator="lessThan">
      <formula>0</formula>
    </cfRule>
    <cfRule type="cellIs" dxfId="1410" priority="1412" operator="greaterThan">
      <formula>0</formula>
    </cfRule>
  </conditionalFormatting>
  <conditionalFormatting sqref="F910">
    <cfRule type="cellIs" dxfId="1409" priority="1409" operator="lessThan">
      <formula>0</formula>
    </cfRule>
    <cfRule type="cellIs" dxfId="1408" priority="1410" operator="greaterThan">
      <formula>0</formula>
    </cfRule>
  </conditionalFormatting>
  <conditionalFormatting sqref="N909">
    <cfRule type="cellIs" dxfId="1407" priority="1407" operator="lessThan">
      <formula>0</formula>
    </cfRule>
    <cfRule type="cellIs" dxfId="1406" priority="1408" operator="greaterThan">
      <formula>0</formula>
    </cfRule>
  </conditionalFormatting>
  <conditionalFormatting sqref="F909">
    <cfRule type="cellIs" dxfId="1405" priority="1405" operator="lessThan">
      <formula>0</formula>
    </cfRule>
    <cfRule type="cellIs" dxfId="1404" priority="1406" operator="greaterThan">
      <formula>0</formula>
    </cfRule>
  </conditionalFormatting>
  <conditionalFormatting sqref="N908">
    <cfRule type="cellIs" dxfId="1403" priority="1403" operator="lessThan">
      <formula>0</formula>
    </cfRule>
    <cfRule type="cellIs" dxfId="1402" priority="1404" operator="greaterThan">
      <formula>0</formula>
    </cfRule>
  </conditionalFormatting>
  <conditionalFormatting sqref="F908">
    <cfRule type="cellIs" dxfId="1401" priority="1401" operator="lessThan">
      <formula>0</formula>
    </cfRule>
    <cfRule type="cellIs" dxfId="1400" priority="1402" operator="greaterThan">
      <formula>0</formula>
    </cfRule>
  </conditionalFormatting>
  <conditionalFormatting sqref="N907">
    <cfRule type="cellIs" dxfId="1399" priority="1399" operator="lessThan">
      <formula>0</formula>
    </cfRule>
    <cfRule type="cellIs" dxfId="1398" priority="1400" operator="greaterThan">
      <formula>0</formula>
    </cfRule>
  </conditionalFormatting>
  <conditionalFormatting sqref="F907">
    <cfRule type="cellIs" dxfId="1397" priority="1397" operator="lessThan">
      <formula>0</formula>
    </cfRule>
    <cfRule type="cellIs" dxfId="1396" priority="1398" operator="greaterThan">
      <formula>0</formula>
    </cfRule>
  </conditionalFormatting>
  <conditionalFormatting sqref="N906">
    <cfRule type="cellIs" dxfId="1395" priority="1395" operator="lessThan">
      <formula>0</formula>
    </cfRule>
    <cfRule type="cellIs" dxfId="1394" priority="1396" operator="greaterThan">
      <formula>0</formula>
    </cfRule>
  </conditionalFormatting>
  <conditionalFormatting sqref="F906">
    <cfRule type="cellIs" dxfId="1393" priority="1393" operator="lessThan">
      <formula>0</formula>
    </cfRule>
    <cfRule type="cellIs" dxfId="1392" priority="1394" operator="greaterThan">
      <formula>0</formula>
    </cfRule>
  </conditionalFormatting>
  <conditionalFormatting sqref="N905">
    <cfRule type="cellIs" dxfId="1391" priority="1391" operator="lessThan">
      <formula>0</formula>
    </cfRule>
    <cfRule type="cellIs" dxfId="1390" priority="1392" operator="greaterThan">
      <formula>0</formula>
    </cfRule>
  </conditionalFormatting>
  <conditionalFormatting sqref="F905">
    <cfRule type="cellIs" dxfId="1389" priority="1389" operator="lessThan">
      <formula>0</formula>
    </cfRule>
    <cfRule type="cellIs" dxfId="1388" priority="1390" operator="greaterThan">
      <formula>0</formula>
    </cfRule>
  </conditionalFormatting>
  <conditionalFormatting sqref="N903:N904">
    <cfRule type="cellIs" dxfId="1387" priority="1387" operator="lessThan">
      <formula>0</formula>
    </cfRule>
    <cfRule type="cellIs" dxfId="1386" priority="1388" operator="greaterThan">
      <formula>0</formula>
    </cfRule>
  </conditionalFormatting>
  <conditionalFormatting sqref="F903:F904">
    <cfRule type="cellIs" dxfId="1385" priority="1385" operator="lessThan">
      <formula>0</formula>
    </cfRule>
    <cfRule type="cellIs" dxfId="1384" priority="1386" operator="greaterThan">
      <formula>0</formula>
    </cfRule>
  </conditionalFormatting>
  <conditionalFormatting sqref="N902">
    <cfRule type="cellIs" dxfId="1383" priority="1383" operator="lessThan">
      <formula>0</formula>
    </cfRule>
    <cfRule type="cellIs" dxfId="1382" priority="1384" operator="greaterThan">
      <formula>0</formula>
    </cfRule>
  </conditionalFormatting>
  <conditionalFormatting sqref="F902">
    <cfRule type="cellIs" dxfId="1381" priority="1381" operator="lessThan">
      <formula>0</formula>
    </cfRule>
    <cfRule type="cellIs" dxfId="1380" priority="1382" operator="greaterThan">
      <formula>0</formula>
    </cfRule>
  </conditionalFormatting>
  <conditionalFormatting sqref="N901">
    <cfRule type="cellIs" dxfId="1379" priority="1379" operator="lessThan">
      <formula>0</formula>
    </cfRule>
    <cfRule type="cellIs" dxfId="1378" priority="1380" operator="greaterThan">
      <formula>0</formula>
    </cfRule>
  </conditionalFormatting>
  <conditionalFormatting sqref="F901">
    <cfRule type="cellIs" dxfId="1377" priority="1377" operator="lessThan">
      <formula>0</formula>
    </cfRule>
    <cfRule type="cellIs" dxfId="1376" priority="1378" operator="greaterThan">
      <formula>0</formula>
    </cfRule>
  </conditionalFormatting>
  <conditionalFormatting sqref="N900">
    <cfRule type="cellIs" dxfId="1375" priority="1375" operator="lessThan">
      <formula>0</formula>
    </cfRule>
    <cfRule type="cellIs" dxfId="1374" priority="1376" operator="greaterThan">
      <formula>0</formula>
    </cfRule>
  </conditionalFormatting>
  <conditionalFormatting sqref="F900">
    <cfRule type="cellIs" dxfId="1373" priority="1373" operator="lessThan">
      <formula>0</formula>
    </cfRule>
    <cfRule type="cellIs" dxfId="1372" priority="1374" operator="greaterThan">
      <formula>0</formula>
    </cfRule>
  </conditionalFormatting>
  <conditionalFormatting sqref="N899">
    <cfRule type="cellIs" dxfId="1371" priority="1371" operator="lessThan">
      <formula>0</formula>
    </cfRule>
    <cfRule type="cellIs" dxfId="1370" priority="1372" operator="greaterThan">
      <formula>0</formula>
    </cfRule>
  </conditionalFormatting>
  <conditionalFormatting sqref="F899">
    <cfRule type="cellIs" dxfId="1369" priority="1369" operator="lessThan">
      <formula>0</formula>
    </cfRule>
    <cfRule type="cellIs" dxfId="1368" priority="1370" operator="greaterThan">
      <formula>0</formula>
    </cfRule>
  </conditionalFormatting>
  <conditionalFormatting sqref="N898">
    <cfRule type="cellIs" dxfId="1367" priority="1367" operator="lessThan">
      <formula>0</formula>
    </cfRule>
    <cfRule type="cellIs" dxfId="1366" priority="1368" operator="greaterThan">
      <formula>0</formula>
    </cfRule>
  </conditionalFormatting>
  <conditionalFormatting sqref="F898">
    <cfRule type="cellIs" dxfId="1365" priority="1365" operator="lessThan">
      <formula>0</formula>
    </cfRule>
    <cfRule type="cellIs" dxfId="1364" priority="1366" operator="greaterThan">
      <formula>0</formula>
    </cfRule>
  </conditionalFormatting>
  <conditionalFormatting sqref="N897">
    <cfRule type="cellIs" dxfId="1363" priority="1363" operator="lessThan">
      <formula>0</formula>
    </cfRule>
    <cfRule type="cellIs" dxfId="1362" priority="1364" operator="greaterThan">
      <formula>0</formula>
    </cfRule>
  </conditionalFormatting>
  <conditionalFormatting sqref="F897">
    <cfRule type="cellIs" dxfId="1361" priority="1361" operator="lessThan">
      <formula>0</formula>
    </cfRule>
    <cfRule type="cellIs" dxfId="1360" priority="1362" operator="greaterThan">
      <formula>0</formula>
    </cfRule>
  </conditionalFormatting>
  <conditionalFormatting sqref="N896">
    <cfRule type="cellIs" dxfId="1359" priority="1359" operator="lessThan">
      <formula>0</formula>
    </cfRule>
    <cfRule type="cellIs" dxfId="1358" priority="1360" operator="greaterThan">
      <formula>0</formula>
    </cfRule>
  </conditionalFormatting>
  <conditionalFormatting sqref="F896">
    <cfRule type="cellIs" dxfId="1357" priority="1357" operator="lessThan">
      <formula>0</formula>
    </cfRule>
    <cfRule type="cellIs" dxfId="1356" priority="1358" operator="greaterThan">
      <formula>0</formula>
    </cfRule>
  </conditionalFormatting>
  <conditionalFormatting sqref="N895">
    <cfRule type="cellIs" dxfId="1355" priority="1355" operator="lessThan">
      <formula>0</formula>
    </cfRule>
    <cfRule type="cellIs" dxfId="1354" priority="1356" operator="greaterThan">
      <formula>0</formula>
    </cfRule>
  </conditionalFormatting>
  <conditionalFormatting sqref="F895">
    <cfRule type="cellIs" dxfId="1353" priority="1353" operator="lessThan">
      <formula>0</formula>
    </cfRule>
    <cfRule type="cellIs" dxfId="1352" priority="1354" operator="greaterThan">
      <formula>0</formula>
    </cfRule>
  </conditionalFormatting>
  <conditionalFormatting sqref="N894">
    <cfRule type="cellIs" dxfId="1351" priority="1351" operator="lessThan">
      <formula>0</formula>
    </cfRule>
    <cfRule type="cellIs" dxfId="1350" priority="1352" operator="greaterThan">
      <formula>0</formula>
    </cfRule>
  </conditionalFormatting>
  <conditionalFormatting sqref="F894">
    <cfRule type="cellIs" dxfId="1349" priority="1349" operator="lessThan">
      <formula>0</formula>
    </cfRule>
    <cfRule type="cellIs" dxfId="1348" priority="1350" operator="greaterThan">
      <formula>0</formula>
    </cfRule>
  </conditionalFormatting>
  <conditionalFormatting sqref="N893">
    <cfRule type="cellIs" dxfId="1347" priority="1347" operator="lessThan">
      <formula>0</formula>
    </cfRule>
    <cfRule type="cellIs" dxfId="1346" priority="1348" operator="greaterThan">
      <formula>0</formula>
    </cfRule>
  </conditionalFormatting>
  <conditionalFormatting sqref="F893">
    <cfRule type="cellIs" dxfId="1345" priority="1345" operator="lessThan">
      <formula>0</formula>
    </cfRule>
    <cfRule type="cellIs" dxfId="1344" priority="1346" operator="greaterThan">
      <formula>0</formula>
    </cfRule>
  </conditionalFormatting>
  <conditionalFormatting sqref="N892">
    <cfRule type="cellIs" dxfId="1343" priority="1343" operator="lessThan">
      <formula>0</formula>
    </cfRule>
    <cfRule type="cellIs" dxfId="1342" priority="1344" operator="greaterThan">
      <formula>0</formula>
    </cfRule>
  </conditionalFormatting>
  <conditionalFormatting sqref="F892">
    <cfRule type="cellIs" dxfId="1341" priority="1341" operator="lessThan">
      <formula>0</formula>
    </cfRule>
    <cfRule type="cellIs" dxfId="1340" priority="1342" operator="greaterThan">
      <formula>0</formula>
    </cfRule>
  </conditionalFormatting>
  <conditionalFormatting sqref="N890:N891">
    <cfRule type="cellIs" dxfId="1339" priority="1339" operator="lessThan">
      <formula>0</formula>
    </cfRule>
    <cfRule type="cellIs" dxfId="1338" priority="1340" operator="greaterThan">
      <formula>0</formula>
    </cfRule>
  </conditionalFormatting>
  <conditionalFormatting sqref="F890:F891">
    <cfRule type="cellIs" dxfId="1337" priority="1337" operator="lessThan">
      <formula>0</formula>
    </cfRule>
    <cfRule type="cellIs" dxfId="1336" priority="1338" operator="greaterThan">
      <formula>0</formula>
    </cfRule>
  </conditionalFormatting>
  <conditionalFormatting sqref="N889">
    <cfRule type="cellIs" dxfId="1335" priority="1335" operator="lessThan">
      <formula>0</formula>
    </cfRule>
    <cfRule type="cellIs" dxfId="1334" priority="1336" operator="greaterThan">
      <formula>0</formula>
    </cfRule>
  </conditionalFormatting>
  <conditionalFormatting sqref="F889">
    <cfRule type="cellIs" dxfId="1333" priority="1333" operator="lessThan">
      <formula>0</formula>
    </cfRule>
    <cfRule type="cellIs" dxfId="1332" priority="1334" operator="greaterThan">
      <formula>0</formula>
    </cfRule>
  </conditionalFormatting>
  <conditionalFormatting sqref="N888">
    <cfRule type="cellIs" dxfId="1331" priority="1331" operator="lessThan">
      <formula>0</formula>
    </cfRule>
    <cfRule type="cellIs" dxfId="1330" priority="1332" operator="greaterThan">
      <formula>0</formula>
    </cfRule>
  </conditionalFormatting>
  <conditionalFormatting sqref="F888">
    <cfRule type="cellIs" dxfId="1329" priority="1329" operator="lessThan">
      <formula>0</formula>
    </cfRule>
    <cfRule type="cellIs" dxfId="1328" priority="1330" operator="greaterThan">
      <formula>0</formula>
    </cfRule>
  </conditionalFormatting>
  <conditionalFormatting sqref="N887">
    <cfRule type="cellIs" dxfId="1327" priority="1327" operator="lessThan">
      <formula>0</formula>
    </cfRule>
    <cfRule type="cellIs" dxfId="1326" priority="1328" operator="greaterThan">
      <formula>0</formula>
    </cfRule>
  </conditionalFormatting>
  <conditionalFormatting sqref="F887">
    <cfRule type="cellIs" dxfId="1325" priority="1325" operator="lessThan">
      <formula>0</formula>
    </cfRule>
    <cfRule type="cellIs" dxfId="1324" priority="1326" operator="greaterThan">
      <formula>0</formula>
    </cfRule>
  </conditionalFormatting>
  <conditionalFormatting sqref="N886">
    <cfRule type="cellIs" dxfId="1323" priority="1323" operator="lessThan">
      <formula>0</formula>
    </cfRule>
    <cfRule type="cellIs" dxfId="1322" priority="1324" operator="greaterThan">
      <formula>0</formula>
    </cfRule>
  </conditionalFormatting>
  <conditionalFormatting sqref="F886">
    <cfRule type="cellIs" dxfId="1321" priority="1321" operator="lessThan">
      <formula>0</formula>
    </cfRule>
    <cfRule type="cellIs" dxfId="1320" priority="1322" operator="greaterThan">
      <formula>0</formula>
    </cfRule>
  </conditionalFormatting>
  <conditionalFormatting sqref="N885">
    <cfRule type="cellIs" dxfId="1319" priority="1319" operator="lessThan">
      <formula>0</formula>
    </cfRule>
    <cfRule type="cellIs" dxfId="1318" priority="1320" operator="greaterThan">
      <formula>0</formula>
    </cfRule>
  </conditionalFormatting>
  <conditionalFormatting sqref="F885">
    <cfRule type="cellIs" dxfId="1317" priority="1317" operator="lessThan">
      <formula>0</formula>
    </cfRule>
    <cfRule type="cellIs" dxfId="1316" priority="1318" operator="greaterThan">
      <formula>0</formula>
    </cfRule>
  </conditionalFormatting>
  <conditionalFormatting sqref="N884">
    <cfRule type="cellIs" dxfId="1315" priority="1315" operator="lessThan">
      <formula>0</formula>
    </cfRule>
    <cfRule type="cellIs" dxfId="1314" priority="1316" operator="greaterThan">
      <formula>0</formula>
    </cfRule>
  </conditionalFormatting>
  <conditionalFormatting sqref="F884">
    <cfRule type="cellIs" dxfId="1313" priority="1313" operator="lessThan">
      <formula>0</formula>
    </cfRule>
    <cfRule type="cellIs" dxfId="1312" priority="1314" operator="greaterThan">
      <formula>0</formula>
    </cfRule>
  </conditionalFormatting>
  <conditionalFormatting sqref="N883">
    <cfRule type="cellIs" dxfId="1311" priority="1311" operator="lessThan">
      <formula>0</formula>
    </cfRule>
    <cfRule type="cellIs" dxfId="1310" priority="1312" operator="greaterThan">
      <formula>0</formula>
    </cfRule>
  </conditionalFormatting>
  <conditionalFormatting sqref="F883">
    <cfRule type="cellIs" dxfId="1309" priority="1309" operator="lessThan">
      <formula>0</formula>
    </cfRule>
    <cfRule type="cellIs" dxfId="1308" priority="1310" operator="greaterThan">
      <formula>0</formula>
    </cfRule>
  </conditionalFormatting>
  <conditionalFormatting sqref="N882">
    <cfRule type="cellIs" dxfId="1307" priority="1307" operator="lessThan">
      <formula>0</formula>
    </cfRule>
    <cfRule type="cellIs" dxfId="1306" priority="1308" operator="greaterThan">
      <formula>0</formula>
    </cfRule>
  </conditionalFormatting>
  <conditionalFormatting sqref="F882">
    <cfRule type="cellIs" dxfId="1305" priority="1305" operator="lessThan">
      <formula>0</formula>
    </cfRule>
    <cfRule type="cellIs" dxfId="1304" priority="1306" operator="greaterThan">
      <formula>0</formula>
    </cfRule>
  </conditionalFormatting>
  <conditionalFormatting sqref="N881">
    <cfRule type="cellIs" dxfId="1303" priority="1303" operator="lessThan">
      <formula>0</formula>
    </cfRule>
    <cfRule type="cellIs" dxfId="1302" priority="1304" operator="greaterThan">
      <formula>0</formula>
    </cfRule>
  </conditionalFormatting>
  <conditionalFormatting sqref="F881">
    <cfRule type="cellIs" dxfId="1301" priority="1301" operator="lessThan">
      <formula>0</formula>
    </cfRule>
    <cfRule type="cellIs" dxfId="1300" priority="1302" operator="greaterThan">
      <formula>0</formula>
    </cfRule>
  </conditionalFormatting>
  <conditionalFormatting sqref="N880">
    <cfRule type="cellIs" dxfId="1299" priority="1299" operator="lessThan">
      <formula>0</formula>
    </cfRule>
    <cfRule type="cellIs" dxfId="1298" priority="1300" operator="greaterThan">
      <formula>0</formula>
    </cfRule>
  </conditionalFormatting>
  <conditionalFormatting sqref="F880">
    <cfRule type="cellIs" dxfId="1297" priority="1297" operator="lessThan">
      <formula>0</formula>
    </cfRule>
    <cfRule type="cellIs" dxfId="1296" priority="1298" operator="greaterThan">
      <formula>0</formula>
    </cfRule>
  </conditionalFormatting>
  <conditionalFormatting sqref="N879">
    <cfRule type="cellIs" dxfId="1295" priority="1295" operator="lessThan">
      <formula>0</formula>
    </cfRule>
    <cfRule type="cellIs" dxfId="1294" priority="1296" operator="greaterThan">
      <formula>0</formula>
    </cfRule>
  </conditionalFormatting>
  <conditionalFormatting sqref="F879">
    <cfRule type="cellIs" dxfId="1293" priority="1293" operator="lessThan">
      <formula>0</formula>
    </cfRule>
    <cfRule type="cellIs" dxfId="1292" priority="1294" operator="greaterThan">
      <formula>0</formula>
    </cfRule>
  </conditionalFormatting>
  <conditionalFormatting sqref="N877:N878">
    <cfRule type="cellIs" dxfId="1291" priority="1291" operator="lessThan">
      <formula>0</formula>
    </cfRule>
    <cfRule type="cellIs" dxfId="1290" priority="1292" operator="greaterThan">
      <formula>0</formula>
    </cfRule>
  </conditionalFormatting>
  <conditionalFormatting sqref="F877:F878">
    <cfRule type="cellIs" dxfId="1289" priority="1289" operator="lessThan">
      <formula>0</formula>
    </cfRule>
    <cfRule type="cellIs" dxfId="1288" priority="1290" operator="greaterThan">
      <formula>0</formula>
    </cfRule>
  </conditionalFormatting>
  <conditionalFormatting sqref="N876">
    <cfRule type="cellIs" dxfId="1287" priority="1287" operator="lessThan">
      <formula>0</formula>
    </cfRule>
    <cfRule type="cellIs" dxfId="1286" priority="1288" operator="greaterThan">
      <formula>0</formula>
    </cfRule>
  </conditionalFormatting>
  <conditionalFormatting sqref="F876">
    <cfRule type="cellIs" dxfId="1285" priority="1285" operator="lessThan">
      <formula>0</formula>
    </cfRule>
    <cfRule type="cellIs" dxfId="1284" priority="1286" operator="greaterThan">
      <formula>0</formula>
    </cfRule>
  </conditionalFormatting>
  <conditionalFormatting sqref="N875">
    <cfRule type="cellIs" dxfId="1283" priority="1283" operator="lessThan">
      <formula>0</formula>
    </cfRule>
    <cfRule type="cellIs" dxfId="1282" priority="1284" operator="greaterThan">
      <formula>0</formula>
    </cfRule>
  </conditionalFormatting>
  <conditionalFormatting sqref="F875">
    <cfRule type="cellIs" dxfId="1281" priority="1281" operator="lessThan">
      <formula>0</formula>
    </cfRule>
    <cfRule type="cellIs" dxfId="1280" priority="1282" operator="greaterThan">
      <formula>0</formula>
    </cfRule>
  </conditionalFormatting>
  <conditionalFormatting sqref="N874">
    <cfRule type="cellIs" dxfId="1279" priority="1279" operator="lessThan">
      <formula>0</formula>
    </cfRule>
    <cfRule type="cellIs" dxfId="1278" priority="1280" operator="greaterThan">
      <formula>0</formula>
    </cfRule>
  </conditionalFormatting>
  <conditionalFormatting sqref="F874">
    <cfRule type="cellIs" dxfId="1277" priority="1277" operator="lessThan">
      <formula>0</formula>
    </cfRule>
    <cfRule type="cellIs" dxfId="1276" priority="1278" operator="greaterThan">
      <formula>0</formula>
    </cfRule>
  </conditionalFormatting>
  <conditionalFormatting sqref="N873">
    <cfRule type="cellIs" dxfId="1275" priority="1275" operator="lessThan">
      <formula>0</formula>
    </cfRule>
    <cfRule type="cellIs" dxfId="1274" priority="1276" operator="greaterThan">
      <formula>0</formula>
    </cfRule>
  </conditionalFormatting>
  <conditionalFormatting sqref="F873">
    <cfRule type="cellIs" dxfId="1273" priority="1273" operator="lessThan">
      <formula>0</formula>
    </cfRule>
    <cfRule type="cellIs" dxfId="1272" priority="1274" operator="greaterThan">
      <formula>0</formula>
    </cfRule>
  </conditionalFormatting>
  <conditionalFormatting sqref="N872">
    <cfRule type="cellIs" dxfId="1271" priority="1271" operator="lessThan">
      <formula>0</formula>
    </cfRule>
    <cfRule type="cellIs" dxfId="1270" priority="1272" operator="greaterThan">
      <formula>0</formula>
    </cfRule>
  </conditionalFormatting>
  <conditionalFormatting sqref="F872">
    <cfRule type="cellIs" dxfId="1269" priority="1269" operator="lessThan">
      <formula>0</formula>
    </cfRule>
    <cfRule type="cellIs" dxfId="1268" priority="1270" operator="greaterThan">
      <formula>0</formula>
    </cfRule>
  </conditionalFormatting>
  <conditionalFormatting sqref="N871">
    <cfRule type="cellIs" dxfId="1267" priority="1267" operator="lessThan">
      <formula>0</formula>
    </cfRule>
    <cfRule type="cellIs" dxfId="1266" priority="1268" operator="greaterThan">
      <formula>0</formula>
    </cfRule>
  </conditionalFormatting>
  <conditionalFormatting sqref="F871">
    <cfRule type="cellIs" dxfId="1265" priority="1265" operator="lessThan">
      <formula>0</formula>
    </cfRule>
    <cfRule type="cellIs" dxfId="1264" priority="1266" operator="greaterThan">
      <formula>0</formula>
    </cfRule>
  </conditionalFormatting>
  <conditionalFormatting sqref="N870">
    <cfRule type="cellIs" dxfId="1263" priority="1263" operator="lessThan">
      <formula>0</formula>
    </cfRule>
    <cfRule type="cellIs" dxfId="1262" priority="1264" operator="greaterThan">
      <formula>0</formula>
    </cfRule>
  </conditionalFormatting>
  <conditionalFormatting sqref="F870">
    <cfRule type="cellIs" dxfId="1261" priority="1261" operator="lessThan">
      <formula>0</formula>
    </cfRule>
    <cfRule type="cellIs" dxfId="1260" priority="1262" operator="greaterThan">
      <formula>0</formula>
    </cfRule>
  </conditionalFormatting>
  <conditionalFormatting sqref="N869">
    <cfRule type="cellIs" dxfId="1259" priority="1259" operator="lessThan">
      <formula>0</formula>
    </cfRule>
    <cfRule type="cellIs" dxfId="1258" priority="1260" operator="greaterThan">
      <formula>0</formula>
    </cfRule>
  </conditionalFormatting>
  <conditionalFormatting sqref="F869">
    <cfRule type="cellIs" dxfId="1257" priority="1257" operator="lessThan">
      <formula>0</formula>
    </cfRule>
    <cfRule type="cellIs" dxfId="1256" priority="1258" operator="greaterThan">
      <formula>0</formula>
    </cfRule>
  </conditionalFormatting>
  <conditionalFormatting sqref="N868">
    <cfRule type="cellIs" dxfId="1255" priority="1255" operator="lessThan">
      <formula>0</formula>
    </cfRule>
    <cfRule type="cellIs" dxfId="1254" priority="1256" operator="greaterThan">
      <formula>0</formula>
    </cfRule>
  </conditionalFormatting>
  <conditionalFormatting sqref="F868">
    <cfRule type="cellIs" dxfId="1253" priority="1253" operator="lessThan">
      <formula>0</formula>
    </cfRule>
    <cfRule type="cellIs" dxfId="1252" priority="1254" operator="greaterThan">
      <formula>0</formula>
    </cfRule>
  </conditionalFormatting>
  <conditionalFormatting sqref="N867">
    <cfRule type="cellIs" dxfId="1251" priority="1251" operator="lessThan">
      <formula>0</formula>
    </cfRule>
    <cfRule type="cellIs" dxfId="1250" priority="1252" operator="greaterThan">
      <formula>0</formula>
    </cfRule>
  </conditionalFormatting>
  <conditionalFormatting sqref="F867">
    <cfRule type="cellIs" dxfId="1249" priority="1249" operator="lessThan">
      <formula>0</formula>
    </cfRule>
    <cfRule type="cellIs" dxfId="1248" priority="1250" operator="greaterThan">
      <formula>0</formula>
    </cfRule>
  </conditionalFormatting>
  <conditionalFormatting sqref="N866">
    <cfRule type="cellIs" dxfId="1247" priority="1247" operator="lessThan">
      <formula>0</formula>
    </cfRule>
    <cfRule type="cellIs" dxfId="1246" priority="1248" operator="greaterThan">
      <formula>0</formula>
    </cfRule>
  </conditionalFormatting>
  <conditionalFormatting sqref="F866">
    <cfRule type="cellIs" dxfId="1245" priority="1245" operator="lessThan">
      <formula>0</formula>
    </cfRule>
    <cfRule type="cellIs" dxfId="1244" priority="1246" operator="greaterThan">
      <formula>0</formula>
    </cfRule>
  </conditionalFormatting>
  <conditionalFormatting sqref="N864:N865">
    <cfRule type="cellIs" dxfId="1243" priority="1243" operator="lessThan">
      <formula>0</formula>
    </cfRule>
    <cfRule type="cellIs" dxfId="1242" priority="1244" operator="greaterThan">
      <formula>0</formula>
    </cfRule>
  </conditionalFormatting>
  <conditionalFormatting sqref="F864:F865">
    <cfRule type="cellIs" dxfId="1241" priority="1241" operator="lessThan">
      <formula>0</formula>
    </cfRule>
    <cfRule type="cellIs" dxfId="1240" priority="1242" operator="greaterThan">
      <formula>0</formula>
    </cfRule>
  </conditionalFormatting>
  <conditionalFormatting sqref="N863">
    <cfRule type="cellIs" dxfId="1239" priority="1239" operator="lessThan">
      <formula>0</formula>
    </cfRule>
    <cfRule type="cellIs" dxfId="1238" priority="1240" operator="greaterThan">
      <formula>0</formula>
    </cfRule>
  </conditionalFormatting>
  <conditionalFormatting sqref="F863">
    <cfRule type="cellIs" dxfId="1237" priority="1237" operator="lessThan">
      <formula>0</formula>
    </cfRule>
    <cfRule type="cellIs" dxfId="1236" priority="1238" operator="greaterThan">
      <formula>0</formula>
    </cfRule>
  </conditionalFormatting>
  <conditionalFormatting sqref="N862">
    <cfRule type="cellIs" dxfId="1235" priority="1235" operator="lessThan">
      <formula>0</formula>
    </cfRule>
    <cfRule type="cellIs" dxfId="1234" priority="1236" operator="greaterThan">
      <formula>0</formula>
    </cfRule>
  </conditionalFormatting>
  <conditionalFormatting sqref="F862">
    <cfRule type="cellIs" dxfId="1233" priority="1233" operator="lessThan">
      <formula>0</formula>
    </cfRule>
    <cfRule type="cellIs" dxfId="1232" priority="1234" operator="greaterThan">
      <formula>0</formula>
    </cfRule>
  </conditionalFormatting>
  <conditionalFormatting sqref="N861">
    <cfRule type="cellIs" dxfId="1231" priority="1231" operator="lessThan">
      <formula>0</formula>
    </cfRule>
    <cfRule type="cellIs" dxfId="1230" priority="1232" operator="greaterThan">
      <formula>0</formula>
    </cfRule>
  </conditionalFormatting>
  <conditionalFormatting sqref="F861">
    <cfRule type="cellIs" dxfId="1229" priority="1229" operator="lessThan">
      <formula>0</formula>
    </cfRule>
    <cfRule type="cellIs" dxfId="1228" priority="1230" operator="greaterThan">
      <formula>0</formula>
    </cfRule>
  </conditionalFormatting>
  <conditionalFormatting sqref="N860">
    <cfRule type="cellIs" dxfId="1227" priority="1227" operator="lessThan">
      <formula>0</formula>
    </cfRule>
    <cfRule type="cellIs" dxfId="1226" priority="1228" operator="greaterThan">
      <formula>0</formula>
    </cfRule>
  </conditionalFormatting>
  <conditionalFormatting sqref="F860">
    <cfRule type="cellIs" dxfId="1225" priority="1225" operator="lessThan">
      <formula>0</formula>
    </cfRule>
    <cfRule type="cellIs" dxfId="1224" priority="1226" operator="greaterThan">
      <formula>0</formula>
    </cfRule>
  </conditionalFormatting>
  <conditionalFormatting sqref="N859">
    <cfRule type="cellIs" dxfId="1223" priority="1223" operator="lessThan">
      <formula>0</formula>
    </cfRule>
    <cfRule type="cellIs" dxfId="1222" priority="1224" operator="greaterThan">
      <formula>0</formula>
    </cfRule>
  </conditionalFormatting>
  <conditionalFormatting sqref="F859">
    <cfRule type="cellIs" dxfId="1221" priority="1221" operator="lessThan">
      <formula>0</formula>
    </cfRule>
    <cfRule type="cellIs" dxfId="1220" priority="1222" operator="greaterThan">
      <formula>0</formula>
    </cfRule>
  </conditionalFormatting>
  <conditionalFormatting sqref="N858">
    <cfRule type="cellIs" dxfId="1219" priority="1219" operator="lessThan">
      <formula>0</formula>
    </cfRule>
    <cfRule type="cellIs" dxfId="1218" priority="1220" operator="greaterThan">
      <formula>0</formula>
    </cfRule>
  </conditionalFormatting>
  <conditionalFormatting sqref="F858">
    <cfRule type="cellIs" dxfId="1217" priority="1217" operator="lessThan">
      <formula>0</formula>
    </cfRule>
    <cfRule type="cellIs" dxfId="1216" priority="1218" operator="greaterThan">
      <formula>0</formula>
    </cfRule>
  </conditionalFormatting>
  <conditionalFormatting sqref="N857">
    <cfRule type="cellIs" dxfId="1215" priority="1215" operator="lessThan">
      <formula>0</formula>
    </cfRule>
    <cfRule type="cellIs" dxfId="1214" priority="1216" operator="greaterThan">
      <formula>0</formula>
    </cfRule>
  </conditionalFormatting>
  <conditionalFormatting sqref="F857">
    <cfRule type="cellIs" dxfId="1213" priority="1213" operator="lessThan">
      <formula>0</formula>
    </cfRule>
    <cfRule type="cellIs" dxfId="1212" priority="1214" operator="greaterThan">
      <formula>0</formula>
    </cfRule>
  </conditionalFormatting>
  <conditionalFormatting sqref="N856">
    <cfRule type="cellIs" dxfId="1211" priority="1211" operator="lessThan">
      <formula>0</formula>
    </cfRule>
    <cfRule type="cellIs" dxfId="1210" priority="1212" operator="greaterThan">
      <formula>0</formula>
    </cfRule>
  </conditionalFormatting>
  <conditionalFormatting sqref="F856">
    <cfRule type="cellIs" dxfId="1209" priority="1209" operator="lessThan">
      <formula>0</formula>
    </cfRule>
    <cfRule type="cellIs" dxfId="1208" priority="1210" operator="greaterThan">
      <formula>0</formula>
    </cfRule>
  </conditionalFormatting>
  <conditionalFormatting sqref="N855">
    <cfRule type="cellIs" dxfId="1207" priority="1207" operator="lessThan">
      <formula>0</formula>
    </cfRule>
    <cfRule type="cellIs" dxfId="1206" priority="1208" operator="greaterThan">
      <formula>0</formula>
    </cfRule>
  </conditionalFormatting>
  <conditionalFormatting sqref="F855">
    <cfRule type="cellIs" dxfId="1205" priority="1205" operator="lessThan">
      <formula>0</formula>
    </cfRule>
    <cfRule type="cellIs" dxfId="1204" priority="1206" operator="greaterThan">
      <formula>0</formula>
    </cfRule>
  </conditionalFormatting>
  <conditionalFormatting sqref="N854">
    <cfRule type="cellIs" dxfId="1203" priority="1203" operator="lessThan">
      <formula>0</formula>
    </cfRule>
    <cfRule type="cellIs" dxfId="1202" priority="1204" operator="greaterThan">
      <formula>0</formula>
    </cfRule>
  </conditionalFormatting>
  <conditionalFormatting sqref="F854">
    <cfRule type="cellIs" dxfId="1201" priority="1201" operator="lessThan">
      <formula>0</formula>
    </cfRule>
    <cfRule type="cellIs" dxfId="1200" priority="1202" operator="greaterThan">
      <formula>0</formula>
    </cfRule>
  </conditionalFormatting>
  <conditionalFormatting sqref="N853">
    <cfRule type="cellIs" dxfId="1199" priority="1199" operator="lessThan">
      <formula>0</formula>
    </cfRule>
    <cfRule type="cellIs" dxfId="1198" priority="1200" operator="greaterThan">
      <formula>0</formula>
    </cfRule>
  </conditionalFormatting>
  <conditionalFormatting sqref="F853">
    <cfRule type="cellIs" dxfId="1197" priority="1197" operator="lessThan">
      <formula>0</formula>
    </cfRule>
    <cfRule type="cellIs" dxfId="1196" priority="1198" operator="greaterThan">
      <formula>0</formula>
    </cfRule>
  </conditionalFormatting>
  <conditionalFormatting sqref="N851:N852">
    <cfRule type="cellIs" dxfId="1195" priority="1195" operator="lessThan">
      <formula>0</formula>
    </cfRule>
    <cfRule type="cellIs" dxfId="1194" priority="1196" operator="greaterThan">
      <formula>0</formula>
    </cfRule>
  </conditionalFormatting>
  <conditionalFormatting sqref="F851:F852">
    <cfRule type="cellIs" dxfId="1193" priority="1193" operator="lessThan">
      <formula>0</formula>
    </cfRule>
    <cfRule type="cellIs" dxfId="1192" priority="1194" operator="greaterThan">
      <formula>0</formula>
    </cfRule>
  </conditionalFormatting>
  <conditionalFormatting sqref="N850">
    <cfRule type="cellIs" dxfId="1191" priority="1191" operator="lessThan">
      <formula>0</formula>
    </cfRule>
    <cfRule type="cellIs" dxfId="1190" priority="1192" operator="greaterThan">
      <formula>0</formula>
    </cfRule>
  </conditionalFormatting>
  <conditionalFormatting sqref="F850">
    <cfRule type="cellIs" dxfId="1189" priority="1189" operator="lessThan">
      <formula>0</formula>
    </cfRule>
    <cfRule type="cellIs" dxfId="1188" priority="1190" operator="greaterThan">
      <formula>0</formula>
    </cfRule>
  </conditionalFormatting>
  <conditionalFormatting sqref="N849">
    <cfRule type="cellIs" dxfId="1187" priority="1187" operator="lessThan">
      <formula>0</formula>
    </cfRule>
    <cfRule type="cellIs" dxfId="1186" priority="1188" operator="greaterThan">
      <formula>0</formula>
    </cfRule>
  </conditionalFormatting>
  <conditionalFormatting sqref="F849">
    <cfRule type="cellIs" dxfId="1185" priority="1185" operator="lessThan">
      <formula>0</formula>
    </cfRule>
    <cfRule type="cellIs" dxfId="1184" priority="1186" operator="greaterThan">
      <formula>0</formula>
    </cfRule>
  </conditionalFormatting>
  <conditionalFormatting sqref="N848">
    <cfRule type="cellIs" dxfId="1183" priority="1183" operator="lessThan">
      <formula>0</formula>
    </cfRule>
    <cfRule type="cellIs" dxfId="1182" priority="1184" operator="greaterThan">
      <formula>0</formula>
    </cfRule>
  </conditionalFormatting>
  <conditionalFormatting sqref="F848">
    <cfRule type="cellIs" dxfId="1181" priority="1181" operator="lessThan">
      <formula>0</formula>
    </cfRule>
    <cfRule type="cellIs" dxfId="1180" priority="1182" operator="greaterThan">
      <formula>0</formula>
    </cfRule>
  </conditionalFormatting>
  <conditionalFormatting sqref="N847">
    <cfRule type="cellIs" dxfId="1179" priority="1179" operator="lessThan">
      <formula>0</formula>
    </cfRule>
    <cfRule type="cellIs" dxfId="1178" priority="1180" operator="greaterThan">
      <formula>0</formula>
    </cfRule>
  </conditionalFormatting>
  <conditionalFormatting sqref="F847">
    <cfRule type="cellIs" dxfId="1177" priority="1177" operator="lessThan">
      <formula>0</formula>
    </cfRule>
    <cfRule type="cellIs" dxfId="1176" priority="1178" operator="greaterThan">
      <formula>0</formula>
    </cfRule>
  </conditionalFormatting>
  <conditionalFormatting sqref="N846">
    <cfRule type="cellIs" dxfId="1175" priority="1175" operator="lessThan">
      <formula>0</formula>
    </cfRule>
    <cfRule type="cellIs" dxfId="1174" priority="1176" operator="greaterThan">
      <formula>0</formula>
    </cfRule>
  </conditionalFormatting>
  <conditionalFormatting sqref="F846">
    <cfRule type="cellIs" dxfId="1173" priority="1173" operator="lessThan">
      <formula>0</formula>
    </cfRule>
    <cfRule type="cellIs" dxfId="1172" priority="1174" operator="greaterThan">
      <formula>0</formula>
    </cfRule>
  </conditionalFormatting>
  <conditionalFormatting sqref="N845">
    <cfRule type="cellIs" dxfId="1171" priority="1171" operator="lessThan">
      <formula>0</formula>
    </cfRule>
    <cfRule type="cellIs" dxfId="1170" priority="1172" operator="greaterThan">
      <formula>0</formula>
    </cfRule>
  </conditionalFormatting>
  <conditionalFormatting sqref="F845">
    <cfRule type="cellIs" dxfId="1169" priority="1169" operator="lessThan">
      <formula>0</formula>
    </cfRule>
    <cfRule type="cellIs" dxfId="1168" priority="1170" operator="greaterThan">
      <formula>0</formula>
    </cfRule>
  </conditionalFormatting>
  <conditionalFormatting sqref="N844">
    <cfRule type="cellIs" dxfId="1167" priority="1167" operator="lessThan">
      <formula>0</formula>
    </cfRule>
    <cfRule type="cellIs" dxfId="1166" priority="1168" operator="greaterThan">
      <formula>0</formula>
    </cfRule>
  </conditionalFormatting>
  <conditionalFormatting sqref="F844">
    <cfRule type="cellIs" dxfId="1165" priority="1165" operator="lessThan">
      <formula>0</formula>
    </cfRule>
    <cfRule type="cellIs" dxfId="1164" priority="1166" operator="greaterThan">
      <formula>0</formula>
    </cfRule>
  </conditionalFormatting>
  <conditionalFormatting sqref="N843">
    <cfRule type="cellIs" dxfId="1163" priority="1163" operator="lessThan">
      <formula>0</formula>
    </cfRule>
    <cfRule type="cellIs" dxfId="1162" priority="1164" operator="greaterThan">
      <formula>0</formula>
    </cfRule>
  </conditionalFormatting>
  <conditionalFormatting sqref="F843">
    <cfRule type="cellIs" dxfId="1161" priority="1161" operator="lessThan">
      <formula>0</formula>
    </cfRule>
    <cfRule type="cellIs" dxfId="1160" priority="1162" operator="greaterThan">
      <formula>0</formula>
    </cfRule>
  </conditionalFormatting>
  <conditionalFormatting sqref="N842">
    <cfRule type="cellIs" dxfId="1159" priority="1159" operator="lessThan">
      <formula>0</formula>
    </cfRule>
    <cfRule type="cellIs" dxfId="1158" priority="1160" operator="greaterThan">
      <formula>0</formula>
    </cfRule>
  </conditionalFormatting>
  <conditionalFormatting sqref="F842">
    <cfRule type="cellIs" dxfId="1157" priority="1157" operator="lessThan">
      <formula>0</formula>
    </cfRule>
    <cfRule type="cellIs" dxfId="1156" priority="1158" operator="greaterThan">
      <formula>0</formula>
    </cfRule>
  </conditionalFormatting>
  <conditionalFormatting sqref="N841">
    <cfRule type="cellIs" dxfId="1155" priority="1155" operator="lessThan">
      <formula>0</formula>
    </cfRule>
    <cfRule type="cellIs" dxfId="1154" priority="1156" operator="greaterThan">
      <formula>0</formula>
    </cfRule>
  </conditionalFormatting>
  <conditionalFormatting sqref="F841">
    <cfRule type="cellIs" dxfId="1153" priority="1153" operator="lessThan">
      <formula>0</formula>
    </cfRule>
    <cfRule type="cellIs" dxfId="1152" priority="1154" operator="greaterThan">
      <formula>0</formula>
    </cfRule>
  </conditionalFormatting>
  <conditionalFormatting sqref="N840">
    <cfRule type="cellIs" dxfId="1151" priority="1151" operator="lessThan">
      <formula>0</formula>
    </cfRule>
    <cfRule type="cellIs" dxfId="1150" priority="1152" operator="greaterThan">
      <formula>0</formula>
    </cfRule>
  </conditionalFormatting>
  <conditionalFormatting sqref="F840">
    <cfRule type="cellIs" dxfId="1149" priority="1149" operator="lessThan">
      <formula>0</formula>
    </cfRule>
    <cfRule type="cellIs" dxfId="1148" priority="1150" operator="greaterThan">
      <formula>0</formula>
    </cfRule>
  </conditionalFormatting>
  <conditionalFormatting sqref="N838:N839">
    <cfRule type="cellIs" dxfId="1147" priority="1147" operator="lessThan">
      <formula>0</formula>
    </cfRule>
    <cfRule type="cellIs" dxfId="1146" priority="1148" operator="greaterThan">
      <formula>0</formula>
    </cfRule>
  </conditionalFormatting>
  <conditionalFormatting sqref="F838:F839">
    <cfRule type="cellIs" dxfId="1145" priority="1145" operator="lessThan">
      <formula>0</formula>
    </cfRule>
    <cfRule type="cellIs" dxfId="1144" priority="1146" operator="greaterThan">
      <formula>0</formula>
    </cfRule>
  </conditionalFormatting>
  <conditionalFormatting sqref="N837">
    <cfRule type="cellIs" dxfId="1143" priority="1143" operator="lessThan">
      <formula>0</formula>
    </cfRule>
    <cfRule type="cellIs" dxfId="1142" priority="1144" operator="greaterThan">
      <formula>0</formula>
    </cfRule>
  </conditionalFormatting>
  <conditionalFormatting sqref="F837">
    <cfRule type="cellIs" dxfId="1141" priority="1141" operator="lessThan">
      <formula>0</formula>
    </cfRule>
    <cfRule type="cellIs" dxfId="1140" priority="1142" operator="greaterThan">
      <formula>0</formula>
    </cfRule>
  </conditionalFormatting>
  <conditionalFormatting sqref="N836">
    <cfRule type="cellIs" dxfId="1139" priority="1139" operator="lessThan">
      <formula>0</formula>
    </cfRule>
    <cfRule type="cellIs" dxfId="1138" priority="1140" operator="greaterThan">
      <formula>0</formula>
    </cfRule>
  </conditionalFormatting>
  <conditionalFormatting sqref="F836">
    <cfRule type="cellIs" dxfId="1137" priority="1137" operator="lessThan">
      <formula>0</formula>
    </cfRule>
    <cfRule type="cellIs" dxfId="1136" priority="1138" operator="greaterThan">
      <formula>0</formula>
    </cfRule>
  </conditionalFormatting>
  <conditionalFormatting sqref="N835">
    <cfRule type="cellIs" dxfId="1135" priority="1135" operator="lessThan">
      <formula>0</formula>
    </cfRule>
    <cfRule type="cellIs" dxfId="1134" priority="1136" operator="greaterThan">
      <formula>0</formula>
    </cfRule>
  </conditionalFormatting>
  <conditionalFormatting sqref="F835">
    <cfRule type="cellIs" dxfId="1133" priority="1133" operator="lessThan">
      <formula>0</formula>
    </cfRule>
    <cfRule type="cellIs" dxfId="1132" priority="1134" operator="greaterThan">
      <formula>0</formula>
    </cfRule>
  </conditionalFormatting>
  <conditionalFormatting sqref="N834">
    <cfRule type="cellIs" dxfId="1131" priority="1131" operator="lessThan">
      <formula>0</formula>
    </cfRule>
    <cfRule type="cellIs" dxfId="1130" priority="1132" operator="greaterThan">
      <formula>0</formula>
    </cfRule>
  </conditionalFormatting>
  <conditionalFormatting sqref="F834">
    <cfRule type="cellIs" dxfId="1129" priority="1129" operator="lessThan">
      <formula>0</formula>
    </cfRule>
    <cfRule type="cellIs" dxfId="1128" priority="1130" operator="greaterThan">
      <formula>0</formula>
    </cfRule>
  </conditionalFormatting>
  <conditionalFormatting sqref="N833">
    <cfRule type="cellIs" dxfId="1127" priority="1127" operator="lessThan">
      <formula>0</formula>
    </cfRule>
    <cfRule type="cellIs" dxfId="1126" priority="1128" operator="greaterThan">
      <formula>0</formula>
    </cfRule>
  </conditionalFormatting>
  <conditionalFormatting sqref="F833">
    <cfRule type="cellIs" dxfId="1125" priority="1125" operator="lessThan">
      <formula>0</formula>
    </cfRule>
    <cfRule type="cellIs" dxfId="1124" priority="1126" operator="greaterThan">
      <formula>0</formula>
    </cfRule>
  </conditionalFormatting>
  <conditionalFormatting sqref="N832">
    <cfRule type="cellIs" dxfId="1123" priority="1123" operator="lessThan">
      <formula>0</formula>
    </cfRule>
    <cfRule type="cellIs" dxfId="1122" priority="1124" operator="greaterThan">
      <formula>0</formula>
    </cfRule>
  </conditionalFormatting>
  <conditionalFormatting sqref="F832">
    <cfRule type="cellIs" dxfId="1121" priority="1121" operator="lessThan">
      <formula>0</formula>
    </cfRule>
    <cfRule type="cellIs" dxfId="1120" priority="1122" operator="greaterThan">
      <formula>0</formula>
    </cfRule>
  </conditionalFormatting>
  <conditionalFormatting sqref="N831">
    <cfRule type="cellIs" dxfId="1119" priority="1119" operator="lessThan">
      <formula>0</formula>
    </cfRule>
    <cfRule type="cellIs" dxfId="1118" priority="1120" operator="greaterThan">
      <formula>0</formula>
    </cfRule>
  </conditionalFormatting>
  <conditionalFormatting sqref="F831">
    <cfRule type="cellIs" dxfId="1117" priority="1117" operator="lessThan">
      <formula>0</formula>
    </cfRule>
    <cfRule type="cellIs" dxfId="1116" priority="1118" operator="greaterThan">
      <formula>0</formula>
    </cfRule>
  </conditionalFormatting>
  <conditionalFormatting sqref="N830">
    <cfRule type="cellIs" dxfId="1115" priority="1115" operator="lessThan">
      <formula>0</formula>
    </cfRule>
    <cfRule type="cellIs" dxfId="1114" priority="1116" operator="greaterThan">
      <formula>0</formula>
    </cfRule>
  </conditionalFormatting>
  <conditionalFormatting sqref="F830">
    <cfRule type="cellIs" dxfId="1113" priority="1113" operator="lessThan">
      <formula>0</formula>
    </cfRule>
    <cfRule type="cellIs" dxfId="1112" priority="1114" operator="greaterThan">
      <formula>0</formula>
    </cfRule>
  </conditionalFormatting>
  <conditionalFormatting sqref="N829">
    <cfRule type="cellIs" dxfId="1111" priority="1111" operator="lessThan">
      <formula>0</formula>
    </cfRule>
    <cfRule type="cellIs" dxfId="1110" priority="1112" operator="greaterThan">
      <formula>0</formula>
    </cfRule>
  </conditionalFormatting>
  <conditionalFormatting sqref="F829">
    <cfRule type="cellIs" dxfId="1109" priority="1109" operator="lessThan">
      <formula>0</formula>
    </cfRule>
    <cfRule type="cellIs" dxfId="1108" priority="1110" operator="greaterThan">
      <formula>0</formula>
    </cfRule>
  </conditionalFormatting>
  <conditionalFormatting sqref="N828">
    <cfRule type="cellIs" dxfId="1107" priority="1107" operator="lessThan">
      <formula>0</formula>
    </cfRule>
    <cfRule type="cellIs" dxfId="1106" priority="1108" operator="greaterThan">
      <formula>0</formula>
    </cfRule>
  </conditionalFormatting>
  <conditionalFormatting sqref="F828">
    <cfRule type="cellIs" dxfId="1105" priority="1105" operator="lessThan">
      <formula>0</formula>
    </cfRule>
    <cfRule type="cellIs" dxfId="1104" priority="1106" operator="greaterThan">
      <formula>0</formula>
    </cfRule>
  </conditionalFormatting>
  <conditionalFormatting sqref="N827">
    <cfRule type="cellIs" dxfId="1103" priority="1103" operator="lessThan">
      <formula>0</formula>
    </cfRule>
    <cfRule type="cellIs" dxfId="1102" priority="1104" operator="greaterThan">
      <formula>0</formula>
    </cfRule>
  </conditionalFormatting>
  <conditionalFormatting sqref="F827">
    <cfRule type="cellIs" dxfId="1101" priority="1101" operator="lessThan">
      <formula>0</formula>
    </cfRule>
    <cfRule type="cellIs" dxfId="1100" priority="1102" operator="greaterThan">
      <formula>0</formula>
    </cfRule>
  </conditionalFormatting>
  <conditionalFormatting sqref="N825:N826">
    <cfRule type="cellIs" dxfId="1099" priority="1099" operator="lessThan">
      <formula>0</formula>
    </cfRule>
    <cfRule type="cellIs" dxfId="1098" priority="1100" operator="greaterThan">
      <formula>0</formula>
    </cfRule>
  </conditionalFormatting>
  <conditionalFormatting sqref="F825:F826">
    <cfRule type="cellIs" dxfId="1097" priority="1097" operator="lessThan">
      <formula>0</formula>
    </cfRule>
    <cfRule type="cellIs" dxfId="1096" priority="1098" operator="greaterThan">
      <formula>0</formula>
    </cfRule>
  </conditionalFormatting>
  <conditionalFormatting sqref="N824">
    <cfRule type="cellIs" dxfId="1095" priority="1095" operator="lessThan">
      <formula>0</formula>
    </cfRule>
    <cfRule type="cellIs" dxfId="1094" priority="1096" operator="greaterThan">
      <formula>0</formula>
    </cfRule>
  </conditionalFormatting>
  <conditionalFormatting sqref="F824">
    <cfRule type="cellIs" dxfId="1093" priority="1093" operator="lessThan">
      <formula>0</formula>
    </cfRule>
    <cfRule type="cellIs" dxfId="1092" priority="1094" operator="greaterThan">
      <formula>0</formula>
    </cfRule>
  </conditionalFormatting>
  <conditionalFormatting sqref="N823">
    <cfRule type="cellIs" dxfId="1091" priority="1091" operator="lessThan">
      <formula>0</formula>
    </cfRule>
    <cfRule type="cellIs" dxfId="1090" priority="1092" operator="greaterThan">
      <formula>0</formula>
    </cfRule>
  </conditionalFormatting>
  <conditionalFormatting sqref="F823">
    <cfRule type="cellIs" dxfId="1089" priority="1089" operator="lessThan">
      <formula>0</formula>
    </cfRule>
    <cfRule type="cellIs" dxfId="1088" priority="1090" operator="greaterThan">
      <formula>0</formula>
    </cfRule>
  </conditionalFormatting>
  <conditionalFormatting sqref="N822">
    <cfRule type="cellIs" dxfId="1087" priority="1087" operator="lessThan">
      <formula>0</formula>
    </cfRule>
    <cfRule type="cellIs" dxfId="1086" priority="1088" operator="greaterThan">
      <formula>0</formula>
    </cfRule>
  </conditionalFormatting>
  <conditionalFormatting sqref="F822">
    <cfRule type="cellIs" dxfId="1085" priority="1085" operator="lessThan">
      <formula>0</formula>
    </cfRule>
    <cfRule type="cellIs" dxfId="1084" priority="1086" operator="greaterThan">
      <formula>0</formula>
    </cfRule>
  </conditionalFormatting>
  <conditionalFormatting sqref="N821">
    <cfRule type="cellIs" dxfId="1083" priority="1083" operator="lessThan">
      <formula>0</formula>
    </cfRule>
    <cfRule type="cellIs" dxfId="1082" priority="1084" operator="greaterThan">
      <formula>0</formula>
    </cfRule>
  </conditionalFormatting>
  <conditionalFormatting sqref="F821">
    <cfRule type="cellIs" dxfId="1081" priority="1081" operator="lessThan">
      <formula>0</formula>
    </cfRule>
    <cfRule type="cellIs" dxfId="1080" priority="1082" operator="greaterThan">
      <formula>0</formula>
    </cfRule>
  </conditionalFormatting>
  <conditionalFormatting sqref="N820">
    <cfRule type="cellIs" dxfId="1079" priority="1079" operator="lessThan">
      <formula>0</formula>
    </cfRule>
    <cfRule type="cellIs" dxfId="1078" priority="1080" operator="greaterThan">
      <formula>0</formula>
    </cfRule>
  </conditionalFormatting>
  <conditionalFormatting sqref="F820">
    <cfRule type="cellIs" dxfId="1077" priority="1077" operator="lessThan">
      <formula>0</formula>
    </cfRule>
    <cfRule type="cellIs" dxfId="1076" priority="1078" operator="greaterThan">
      <formula>0</formula>
    </cfRule>
  </conditionalFormatting>
  <conditionalFormatting sqref="N819">
    <cfRule type="cellIs" dxfId="1075" priority="1075" operator="lessThan">
      <formula>0</formula>
    </cfRule>
    <cfRule type="cellIs" dxfId="1074" priority="1076" operator="greaterThan">
      <formula>0</formula>
    </cfRule>
  </conditionalFormatting>
  <conditionalFormatting sqref="F819">
    <cfRule type="cellIs" dxfId="1073" priority="1073" operator="lessThan">
      <formula>0</formula>
    </cfRule>
    <cfRule type="cellIs" dxfId="1072" priority="1074" operator="greaterThan">
      <formula>0</formula>
    </cfRule>
  </conditionalFormatting>
  <conditionalFormatting sqref="N818">
    <cfRule type="cellIs" dxfId="1071" priority="1071" operator="lessThan">
      <formula>0</formula>
    </cfRule>
    <cfRule type="cellIs" dxfId="1070" priority="1072" operator="greaterThan">
      <formula>0</formula>
    </cfRule>
  </conditionalFormatting>
  <conditionalFormatting sqref="F818">
    <cfRule type="cellIs" dxfId="1069" priority="1069" operator="lessThan">
      <formula>0</formula>
    </cfRule>
    <cfRule type="cellIs" dxfId="1068" priority="1070" operator="greaterThan">
      <formula>0</formula>
    </cfRule>
  </conditionalFormatting>
  <conditionalFormatting sqref="N817">
    <cfRule type="cellIs" dxfId="1067" priority="1067" operator="lessThan">
      <formula>0</formula>
    </cfRule>
    <cfRule type="cellIs" dxfId="1066" priority="1068" operator="greaterThan">
      <formula>0</formula>
    </cfRule>
  </conditionalFormatting>
  <conditionalFormatting sqref="F817">
    <cfRule type="cellIs" dxfId="1065" priority="1065" operator="lessThan">
      <formula>0</formula>
    </cfRule>
    <cfRule type="cellIs" dxfId="1064" priority="1066" operator="greaterThan">
      <formula>0</formula>
    </cfRule>
  </conditionalFormatting>
  <conditionalFormatting sqref="N816">
    <cfRule type="cellIs" dxfId="1063" priority="1063" operator="lessThan">
      <formula>0</formula>
    </cfRule>
    <cfRule type="cellIs" dxfId="1062" priority="1064" operator="greaterThan">
      <formula>0</formula>
    </cfRule>
  </conditionalFormatting>
  <conditionalFormatting sqref="F816">
    <cfRule type="cellIs" dxfId="1061" priority="1061" operator="lessThan">
      <formula>0</formula>
    </cfRule>
    <cfRule type="cellIs" dxfId="1060" priority="1062" operator="greaterThan">
      <formula>0</formula>
    </cfRule>
  </conditionalFormatting>
  <conditionalFormatting sqref="N815">
    <cfRule type="cellIs" dxfId="1059" priority="1059" operator="lessThan">
      <formula>0</formula>
    </cfRule>
    <cfRule type="cellIs" dxfId="1058" priority="1060" operator="greaterThan">
      <formula>0</formula>
    </cfRule>
  </conditionalFormatting>
  <conditionalFormatting sqref="F815">
    <cfRule type="cellIs" dxfId="1057" priority="1057" operator="lessThan">
      <formula>0</formula>
    </cfRule>
    <cfRule type="cellIs" dxfId="1056" priority="1058" operator="greaterThan">
      <formula>0</formula>
    </cfRule>
  </conditionalFormatting>
  <conditionalFormatting sqref="N814">
    <cfRule type="cellIs" dxfId="1055" priority="1055" operator="lessThan">
      <formula>0</formula>
    </cfRule>
    <cfRule type="cellIs" dxfId="1054" priority="1056" operator="greaterThan">
      <formula>0</formula>
    </cfRule>
  </conditionalFormatting>
  <conditionalFormatting sqref="F814">
    <cfRule type="cellIs" dxfId="1053" priority="1053" operator="lessThan">
      <formula>0</formula>
    </cfRule>
    <cfRule type="cellIs" dxfId="1052" priority="1054" operator="greaterThan">
      <formula>0</formula>
    </cfRule>
  </conditionalFormatting>
  <conditionalFormatting sqref="N812:N813">
    <cfRule type="cellIs" dxfId="1051" priority="1051" operator="lessThan">
      <formula>0</formula>
    </cfRule>
    <cfRule type="cellIs" dxfId="1050" priority="1052" operator="greaterThan">
      <formula>0</formula>
    </cfRule>
  </conditionalFormatting>
  <conditionalFormatting sqref="F812:F813">
    <cfRule type="cellIs" dxfId="1049" priority="1049" operator="lessThan">
      <formula>0</formula>
    </cfRule>
    <cfRule type="cellIs" dxfId="1048" priority="1050" operator="greaterThan">
      <formula>0</formula>
    </cfRule>
  </conditionalFormatting>
  <conditionalFormatting sqref="N811">
    <cfRule type="cellIs" dxfId="1047" priority="1047" operator="lessThan">
      <formula>0</formula>
    </cfRule>
    <cfRule type="cellIs" dxfId="1046" priority="1048" operator="greaterThan">
      <formula>0</formula>
    </cfRule>
  </conditionalFormatting>
  <conditionalFormatting sqref="F811">
    <cfRule type="cellIs" dxfId="1045" priority="1045" operator="lessThan">
      <formula>0</formula>
    </cfRule>
    <cfRule type="cellIs" dxfId="1044" priority="1046" operator="greaterThan">
      <formula>0</formula>
    </cfRule>
  </conditionalFormatting>
  <conditionalFormatting sqref="N810">
    <cfRule type="cellIs" dxfId="1043" priority="1043" operator="lessThan">
      <formula>0</formula>
    </cfRule>
    <cfRule type="cellIs" dxfId="1042" priority="1044" operator="greaterThan">
      <formula>0</formula>
    </cfRule>
  </conditionalFormatting>
  <conditionalFormatting sqref="F810">
    <cfRule type="cellIs" dxfId="1041" priority="1041" operator="lessThan">
      <formula>0</formula>
    </cfRule>
    <cfRule type="cellIs" dxfId="1040" priority="1042" operator="greaterThan">
      <formula>0</formula>
    </cfRule>
  </conditionalFormatting>
  <conditionalFormatting sqref="N809">
    <cfRule type="cellIs" dxfId="1039" priority="1039" operator="lessThan">
      <formula>0</formula>
    </cfRule>
    <cfRule type="cellIs" dxfId="1038" priority="1040" operator="greaterThan">
      <formula>0</formula>
    </cfRule>
  </conditionalFormatting>
  <conditionalFormatting sqref="F809">
    <cfRule type="cellIs" dxfId="1037" priority="1037" operator="lessThan">
      <formula>0</formula>
    </cfRule>
    <cfRule type="cellIs" dxfId="1036" priority="1038" operator="greaterThan">
      <formula>0</formula>
    </cfRule>
  </conditionalFormatting>
  <conditionalFormatting sqref="N808">
    <cfRule type="cellIs" dxfId="1035" priority="1035" operator="lessThan">
      <formula>0</formula>
    </cfRule>
    <cfRule type="cellIs" dxfId="1034" priority="1036" operator="greaterThan">
      <formula>0</formula>
    </cfRule>
  </conditionalFormatting>
  <conditionalFormatting sqref="F808">
    <cfRule type="cellIs" dxfId="1033" priority="1033" operator="lessThan">
      <formula>0</formula>
    </cfRule>
    <cfRule type="cellIs" dxfId="1032" priority="1034" operator="greaterThan">
      <formula>0</formula>
    </cfRule>
  </conditionalFormatting>
  <conditionalFormatting sqref="N807">
    <cfRule type="cellIs" dxfId="1031" priority="1031" operator="lessThan">
      <formula>0</formula>
    </cfRule>
    <cfRule type="cellIs" dxfId="1030" priority="1032" operator="greaterThan">
      <formula>0</formula>
    </cfRule>
  </conditionalFormatting>
  <conditionalFormatting sqref="F807">
    <cfRule type="cellIs" dxfId="1029" priority="1029" operator="lessThan">
      <formula>0</formula>
    </cfRule>
    <cfRule type="cellIs" dxfId="1028" priority="1030" operator="greaterThan">
      <formula>0</formula>
    </cfRule>
  </conditionalFormatting>
  <conditionalFormatting sqref="N806">
    <cfRule type="cellIs" dxfId="1027" priority="1027" operator="lessThan">
      <formula>0</formula>
    </cfRule>
    <cfRule type="cellIs" dxfId="1026" priority="1028" operator="greaterThan">
      <formula>0</formula>
    </cfRule>
  </conditionalFormatting>
  <conditionalFormatting sqref="F806">
    <cfRule type="cellIs" dxfId="1025" priority="1025" operator="lessThan">
      <formula>0</formula>
    </cfRule>
    <cfRule type="cellIs" dxfId="1024" priority="1026" operator="greaterThan">
      <formula>0</formula>
    </cfRule>
  </conditionalFormatting>
  <conditionalFormatting sqref="N805">
    <cfRule type="cellIs" dxfId="1023" priority="1023" operator="lessThan">
      <formula>0</formula>
    </cfRule>
    <cfRule type="cellIs" dxfId="1022" priority="1024" operator="greaterThan">
      <formula>0</formula>
    </cfRule>
  </conditionalFormatting>
  <conditionalFormatting sqref="F805">
    <cfRule type="cellIs" dxfId="1021" priority="1021" operator="lessThan">
      <formula>0</formula>
    </cfRule>
    <cfRule type="cellIs" dxfId="1020" priority="1022" operator="greaterThan">
      <formula>0</formula>
    </cfRule>
  </conditionalFormatting>
  <conditionalFormatting sqref="N804">
    <cfRule type="cellIs" dxfId="1019" priority="1019" operator="lessThan">
      <formula>0</formula>
    </cfRule>
    <cfRule type="cellIs" dxfId="1018" priority="1020" operator="greaterThan">
      <formula>0</formula>
    </cfRule>
  </conditionalFormatting>
  <conditionalFormatting sqref="F804">
    <cfRule type="cellIs" dxfId="1017" priority="1017" operator="lessThan">
      <formula>0</formula>
    </cfRule>
    <cfRule type="cellIs" dxfId="1016" priority="1018" operator="greaterThan">
      <formula>0</formula>
    </cfRule>
  </conditionalFormatting>
  <conditionalFormatting sqref="N803">
    <cfRule type="cellIs" dxfId="1015" priority="1015" operator="lessThan">
      <formula>0</formula>
    </cfRule>
    <cfRule type="cellIs" dxfId="1014" priority="1016" operator="greaterThan">
      <formula>0</formula>
    </cfRule>
  </conditionalFormatting>
  <conditionalFormatting sqref="F803">
    <cfRule type="cellIs" dxfId="1013" priority="1013" operator="lessThan">
      <formula>0</formula>
    </cfRule>
    <cfRule type="cellIs" dxfId="1012" priority="1014" operator="greaterThan">
      <formula>0</formula>
    </cfRule>
  </conditionalFormatting>
  <conditionalFormatting sqref="N802">
    <cfRule type="cellIs" dxfId="1011" priority="1011" operator="lessThan">
      <formula>0</formula>
    </cfRule>
    <cfRule type="cellIs" dxfId="1010" priority="1012" operator="greaterThan">
      <formula>0</formula>
    </cfRule>
  </conditionalFormatting>
  <conditionalFormatting sqref="F802">
    <cfRule type="cellIs" dxfId="1009" priority="1009" operator="lessThan">
      <formula>0</formula>
    </cfRule>
    <cfRule type="cellIs" dxfId="1008" priority="1010" operator="greaterThan">
      <formula>0</formula>
    </cfRule>
  </conditionalFormatting>
  <conditionalFormatting sqref="N801">
    <cfRule type="cellIs" dxfId="1007" priority="1007" operator="lessThan">
      <formula>0</formula>
    </cfRule>
    <cfRule type="cellIs" dxfId="1006" priority="1008" operator="greaterThan">
      <formula>0</formula>
    </cfRule>
  </conditionalFormatting>
  <conditionalFormatting sqref="F801">
    <cfRule type="cellIs" dxfId="1005" priority="1005" operator="lessThan">
      <formula>0</formula>
    </cfRule>
    <cfRule type="cellIs" dxfId="1004" priority="1006" operator="greaterThan">
      <formula>0</formula>
    </cfRule>
  </conditionalFormatting>
  <conditionalFormatting sqref="N799:N800">
    <cfRule type="cellIs" dxfId="1003" priority="1003" operator="lessThan">
      <formula>0</formula>
    </cfRule>
    <cfRule type="cellIs" dxfId="1002" priority="1004" operator="greaterThan">
      <formula>0</formula>
    </cfRule>
  </conditionalFormatting>
  <conditionalFormatting sqref="F799:F800">
    <cfRule type="cellIs" dxfId="1001" priority="1001" operator="lessThan">
      <formula>0</formula>
    </cfRule>
    <cfRule type="cellIs" dxfId="1000" priority="1002" operator="greaterThan">
      <formula>0</formula>
    </cfRule>
  </conditionalFormatting>
  <conditionalFormatting sqref="N798">
    <cfRule type="cellIs" dxfId="999" priority="999" operator="lessThan">
      <formula>0</formula>
    </cfRule>
    <cfRule type="cellIs" dxfId="998" priority="1000" operator="greaterThan">
      <formula>0</formula>
    </cfRule>
  </conditionalFormatting>
  <conditionalFormatting sqref="F798">
    <cfRule type="cellIs" dxfId="997" priority="997" operator="lessThan">
      <formula>0</formula>
    </cfRule>
    <cfRule type="cellIs" dxfId="996" priority="998" operator="greaterThan">
      <formula>0</formula>
    </cfRule>
  </conditionalFormatting>
  <conditionalFormatting sqref="N797">
    <cfRule type="cellIs" dxfId="995" priority="995" operator="lessThan">
      <formula>0</formula>
    </cfRule>
    <cfRule type="cellIs" dxfId="994" priority="996" operator="greaterThan">
      <formula>0</formula>
    </cfRule>
  </conditionalFormatting>
  <conditionalFormatting sqref="F797">
    <cfRule type="cellIs" dxfId="993" priority="993" operator="lessThan">
      <formula>0</formula>
    </cfRule>
    <cfRule type="cellIs" dxfId="992" priority="994" operator="greaterThan">
      <formula>0</formula>
    </cfRule>
  </conditionalFormatting>
  <conditionalFormatting sqref="N796">
    <cfRule type="cellIs" dxfId="991" priority="991" operator="lessThan">
      <formula>0</formula>
    </cfRule>
    <cfRule type="cellIs" dxfId="990" priority="992" operator="greaterThan">
      <formula>0</formula>
    </cfRule>
  </conditionalFormatting>
  <conditionalFormatting sqref="F796">
    <cfRule type="cellIs" dxfId="989" priority="989" operator="lessThan">
      <formula>0</formula>
    </cfRule>
    <cfRule type="cellIs" dxfId="988" priority="990" operator="greaterThan">
      <formula>0</formula>
    </cfRule>
  </conditionalFormatting>
  <conditionalFormatting sqref="N795">
    <cfRule type="cellIs" dxfId="987" priority="987" operator="lessThan">
      <formula>0</formula>
    </cfRule>
    <cfRule type="cellIs" dxfId="986" priority="988" operator="greaterThan">
      <formula>0</formula>
    </cfRule>
  </conditionalFormatting>
  <conditionalFormatting sqref="F795">
    <cfRule type="cellIs" dxfId="985" priority="985" operator="lessThan">
      <formula>0</formula>
    </cfRule>
    <cfRule type="cellIs" dxfId="984" priority="986" operator="greaterThan">
      <formula>0</formula>
    </cfRule>
  </conditionalFormatting>
  <conditionalFormatting sqref="N794">
    <cfRule type="cellIs" dxfId="983" priority="983" operator="lessThan">
      <formula>0</formula>
    </cfRule>
    <cfRule type="cellIs" dxfId="982" priority="984" operator="greaterThan">
      <formula>0</formula>
    </cfRule>
  </conditionalFormatting>
  <conditionalFormatting sqref="F794">
    <cfRule type="cellIs" dxfId="981" priority="981" operator="lessThan">
      <formula>0</formula>
    </cfRule>
    <cfRule type="cellIs" dxfId="980" priority="982" operator="greaterThan">
      <formula>0</formula>
    </cfRule>
  </conditionalFormatting>
  <conditionalFormatting sqref="N793">
    <cfRule type="cellIs" dxfId="979" priority="979" operator="lessThan">
      <formula>0</formula>
    </cfRule>
    <cfRule type="cellIs" dxfId="978" priority="980" operator="greaterThan">
      <formula>0</formula>
    </cfRule>
  </conditionalFormatting>
  <conditionalFormatting sqref="F793">
    <cfRule type="cellIs" dxfId="977" priority="977" operator="lessThan">
      <formula>0</formula>
    </cfRule>
    <cfRule type="cellIs" dxfId="976" priority="978" operator="greaterThan">
      <formula>0</formula>
    </cfRule>
  </conditionalFormatting>
  <conditionalFormatting sqref="N792">
    <cfRule type="cellIs" dxfId="975" priority="975" operator="lessThan">
      <formula>0</formula>
    </cfRule>
    <cfRule type="cellIs" dxfId="974" priority="976" operator="greaterThan">
      <formula>0</formula>
    </cfRule>
  </conditionalFormatting>
  <conditionalFormatting sqref="F792">
    <cfRule type="cellIs" dxfId="973" priority="973" operator="lessThan">
      <formula>0</formula>
    </cfRule>
    <cfRule type="cellIs" dxfId="972" priority="974" operator="greaterThan">
      <formula>0</formula>
    </cfRule>
  </conditionalFormatting>
  <conditionalFormatting sqref="N791">
    <cfRule type="cellIs" dxfId="971" priority="971" operator="lessThan">
      <formula>0</formula>
    </cfRule>
    <cfRule type="cellIs" dxfId="970" priority="972" operator="greaterThan">
      <formula>0</formula>
    </cfRule>
  </conditionalFormatting>
  <conditionalFormatting sqref="F791">
    <cfRule type="cellIs" dxfId="969" priority="969" operator="lessThan">
      <formula>0</formula>
    </cfRule>
    <cfRule type="cellIs" dxfId="968" priority="970" operator="greaterThan">
      <formula>0</formula>
    </cfRule>
  </conditionalFormatting>
  <conditionalFormatting sqref="N790">
    <cfRule type="cellIs" dxfId="967" priority="967" operator="lessThan">
      <formula>0</formula>
    </cfRule>
    <cfRule type="cellIs" dxfId="966" priority="968" operator="greaterThan">
      <formula>0</formula>
    </cfRule>
  </conditionalFormatting>
  <conditionalFormatting sqref="F790">
    <cfRule type="cellIs" dxfId="965" priority="965" operator="lessThan">
      <formula>0</formula>
    </cfRule>
    <cfRule type="cellIs" dxfId="964" priority="966" operator="greaterThan">
      <formula>0</formula>
    </cfRule>
  </conditionalFormatting>
  <conditionalFormatting sqref="N789">
    <cfRule type="cellIs" dxfId="963" priority="963" operator="lessThan">
      <formula>0</formula>
    </cfRule>
    <cfRule type="cellIs" dxfId="962" priority="964" operator="greaterThan">
      <formula>0</formula>
    </cfRule>
  </conditionalFormatting>
  <conditionalFormatting sqref="F789">
    <cfRule type="cellIs" dxfId="961" priority="961" operator="lessThan">
      <formula>0</formula>
    </cfRule>
    <cfRule type="cellIs" dxfId="960" priority="962" operator="greaterThan">
      <formula>0</formula>
    </cfRule>
  </conditionalFormatting>
  <conditionalFormatting sqref="N788">
    <cfRule type="cellIs" dxfId="959" priority="959" operator="lessThan">
      <formula>0</formula>
    </cfRule>
    <cfRule type="cellIs" dxfId="958" priority="960" operator="greaterThan">
      <formula>0</formula>
    </cfRule>
  </conditionalFormatting>
  <conditionalFormatting sqref="F788">
    <cfRule type="cellIs" dxfId="957" priority="957" operator="lessThan">
      <formula>0</formula>
    </cfRule>
    <cfRule type="cellIs" dxfId="956" priority="958" operator="greaterThan">
      <formula>0</formula>
    </cfRule>
  </conditionalFormatting>
  <conditionalFormatting sqref="N786:N787">
    <cfRule type="cellIs" dxfId="955" priority="955" operator="lessThan">
      <formula>0</formula>
    </cfRule>
    <cfRule type="cellIs" dxfId="954" priority="956" operator="greaterThan">
      <formula>0</formula>
    </cfRule>
  </conditionalFormatting>
  <conditionalFormatting sqref="F786:F787">
    <cfRule type="cellIs" dxfId="953" priority="953" operator="lessThan">
      <formula>0</formula>
    </cfRule>
    <cfRule type="cellIs" dxfId="952" priority="954" operator="greaterThan">
      <formula>0</formula>
    </cfRule>
  </conditionalFormatting>
  <conditionalFormatting sqref="N785">
    <cfRule type="cellIs" dxfId="951" priority="951" operator="lessThan">
      <formula>0</formula>
    </cfRule>
    <cfRule type="cellIs" dxfId="950" priority="952" operator="greaterThan">
      <formula>0</formula>
    </cfRule>
  </conditionalFormatting>
  <conditionalFormatting sqref="F785">
    <cfRule type="cellIs" dxfId="949" priority="949" operator="lessThan">
      <formula>0</formula>
    </cfRule>
    <cfRule type="cellIs" dxfId="948" priority="950" operator="greaterThan">
      <formula>0</formula>
    </cfRule>
  </conditionalFormatting>
  <conditionalFormatting sqref="N784">
    <cfRule type="cellIs" dxfId="947" priority="947" operator="lessThan">
      <formula>0</formula>
    </cfRule>
    <cfRule type="cellIs" dxfId="946" priority="948" operator="greaterThan">
      <formula>0</formula>
    </cfRule>
  </conditionalFormatting>
  <conditionalFormatting sqref="F784">
    <cfRule type="cellIs" dxfId="945" priority="945" operator="lessThan">
      <formula>0</formula>
    </cfRule>
    <cfRule type="cellIs" dxfId="944" priority="946" operator="greaterThan">
      <formula>0</formula>
    </cfRule>
  </conditionalFormatting>
  <conditionalFormatting sqref="N783">
    <cfRule type="cellIs" dxfId="943" priority="943" operator="lessThan">
      <formula>0</formula>
    </cfRule>
    <cfRule type="cellIs" dxfId="942" priority="944" operator="greaterThan">
      <formula>0</formula>
    </cfRule>
  </conditionalFormatting>
  <conditionalFormatting sqref="F783">
    <cfRule type="cellIs" dxfId="941" priority="941" operator="lessThan">
      <formula>0</formula>
    </cfRule>
    <cfRule type="cellIs" dxfId="940" priority="942" operator="greaterThan">
      <formula>0</formula>
    </cfRule>
  </conditionalFormatting>
  <conditionalFormatting sqref="N782">
    <cfRule type="cellIs" dxfId="939" priority="939" operator="lessThan">
      <formula>0</formula>
    </cfRule>
    <cfRule type="cellIs" dxfId="938" priority="940" operator="greaterThan">
      <formula>0</formula>
    </cfRule>
  </conditionalFormatting>
  <conditionalFormatting sqref="F782">
    <cfRule type="cellIs" dxfId="937" priority="937" operator="lessThan">
      <formula>0</formula>
    </cfRule>
    <cfRule type="cellIs" dxfId="936" priority="938" operator="greaterThan">
      <formula>0</formula>
    </cfRule>
  </conditionalFormatting>
  <conditionalFormatting sqref="N781">
    <cfRule type="cellIs" dxfId="935" priority="935" operator="lessThan">
      <formula>0</formula>
    </cfRule>
    <cfRule type="cellIs" dxfId="934" priority="936" operator="greaterThan">
      <formula>0</formula>
    </cfRule>
  </conditionalFormatting>
  <conditionalFormatting sqref="F781">
    <cfRule type="cellIs" dxfId="933" priority="933" operator="lessThan">
      <formula>0</formula>
    </cfRule>
    <cfRule type="cellIs" dxfId="932" priority="934" operator="greaterThan">
      <formula>0</formula>
    </cfRule>
  </conditionalFormatting>
  <conditionalFormatting sqref="N780">
    <cfRule type="cellIs" dxfId="931" priority="931" operator="lessThan">
      <formula>0</formula>
    </cfRule>
    <cfRule type="cellIs" dxfId="930" priority="932" operator="greaterThan">
      <formula>0</formula>
    </cfRule>
  </conditionalFormatting>
  <conditionalFormatting sqref="F780">
    <cfRule type="cellIs" dxfId="929" priority="929" operator="lessThan">
      <formula>0</formula>
    </cfRule>
    <cfRule type="cellIs" dxfId="928" priority="930" operator="greaterThan">
      <formula>0</formula>
    </cfRule>
  </conditionalFormatting>
  <conditionalFormatting sqref="N779">
    <cfRule type="cellIs" dxfId="927" priority="927" operator="lessThan">
      <formula>0</formula>
    </cfRule>
    <cfRule type="cellIs" dxfId="926" priority="928" operator="greaterThan">
      <formula>0</formula>
    </cfRule>
  </conditionalFormatting>
  <conditionalFormatting sqref="F779">
    <cfRule type="cellIs" dxfId="925" priority="925" operator="lessThan">
      <formula>0</formula>
    </cfRule>
    <cfRule type="cellIs" dxfId="924" priority="926" operator="greaterThan">
      <formula>0</formula>
    </cfRule>
  </conditionalFormatting>
  <conditionalFormatting sqref="N778">
    <cfRule type="cellIs" dxfId="923" priority="923" operator="lessThan">
      <formula>0</formula>
    </cfRule>
    <cfRule type="cellIs" dxfId="922" priority="924" operator="greaterThan">
      <formula>0</formula>
    </cfRule>
  </conditionalFormatting>
  <conditionalFormatting sqref="F778">
    <cfRule type="cellIs" dxfId="921" priority="921" operator="lessThan">
      <formula>0</formula>
    </cfRule>
    <cfRule type="cellIs" dxfId="920" priority="922" operator="greaterThan">
      <formula>0</formula>
    </cfRule>
  </conditionalFormatting>
  <conditionalFormatting sqref="N777">
    <cfRule type="cellIs" dxfId="919" priority="919" operator="lessThan">
      <formula>0</formula>
    </cfRule>
    <cfRule type="cellIs" dxfId="918" priority="920" operator="greaterThan">
      <formula>0</formula>
    </cfRule>
  </conditionalFormatting>
  <conditionalFormatting sqref="F777">
    <cfRule type="cellIs" dxfId="917" priority="917" operator="lessThan">
      <formula>0</formula>
    </cfRule>
    <cfRule type="cellIs" dxfId="916" priority="918" operator="greaterThan">
      <formula>0</formula>
    </cfRule>
  </conditionalFormatting>
  <conditionalFormatting sqref="N776">
    <cfRule type="cellIs" dxfId="915" priority="915" operator="lessThan">
      <formula>0</formula>
    </cfRule>
    <cfRule type="cellIs" dxfId="914" priority="916" operator="greaterThan">
      <formula>0</formula>
    </cfRule>
  </conditionalFormatting>
  <conditionalFormatting sqref="F776">
    <cfRule type="cellIs" dxfId="913" priority="913" operator="lessThan">
      <formula>0</formula>
    </cfRule>
    <cfRule type="cellIs" dxfId="912" priority="914" operator="greaterThan">
      <formula>0</formula>
    </cfRule>
  </conditionalFormatting>
  <conditionalFormatting sqref="N775">
    <cfRule type="cellIs" dxfId="911" priority="911" operator="lessThan">
      <formula>0</formula>
    </cfRule>
    <cfRule type="cellIs" dxfId="910" priority="912" operator="greaterThan">
      <formula>0</formula>
    </cfRule>
  </conditionalFormatting>
  <conditionalFormatting sqref="F775">
    <cfRule type="cellIs" dxfId="909" priority="909" operator="lessThan">
      <formula>0</formula>
    </cfRule>
    <cfRule type="cellIs" dxfId="908" priority="910" operator="greaterThan">
      <formula>0</formula>
    </cfRule>
  </conditionalFormatting>
  <conditionalFormatting sqref="N773:N774">
    <cfRule type="cellIs" dxfId="907" priority="907" operator="lessThan">
      <formula>0</formula>
    </cfRule>
    <cfRule type="cellIs" dxfId="906" priority="908" operator="greaterThan">
      <formula>0</formula>
    </cfRule>
  </conditionalFormatting>
  <conditionalFormatting sqref="F773:F774">
    <cfRule type="cellIs" dxfId="905" priority="905" operator="lessThan">
      <formula>0</formula>
    </cfRule>
    <cfRule type="cellIs" dxfId="904" priority="906" operator="greaterThan">
      <formula>0</formula>
    </cfRule>
  </conditionalFormatting>
  <conditionalFormatting sqref="N772">
    <cfRule type="cellIs" dxfId="903" priority="903" operator="lessThan">
      <formula>0</formula>
    </cfRule>
    <cfRule type="cellIs" dxfId="902" priority="904" operator="greaterThan">
      <formula>0</formula>
    </cfRule>
  </conditionalFormatting>
  <conditionalFormatting sqref="F772">
    <cfRule type="cellIs" dxfId="901" priority="901" operator="lessThan">
      <formula>0</formula>
    </cfRule>
    <cfRule type="cellIs" dxfId="900" priority="902" operator="greaterThan">
      <formula>0</formula>
    </cfRule>
  </conditionalFormatting>
  <conditionalFormatting sqref="N771">
    <cfRule type="cellIs" dxfId="899" priority="899" operator="lessThan">
      <formula>0</formula>
    </cfRule>
    <cfRule type="cellIs" dxfId="898" priority="900" operator="greaterThan">
      <formula>0</formula>
    </cfRule>
  </conditionalFormatting>
  <conditionalFormatting sqref="F771">
    <cfRule type="cellIs" dxfId="897" priority="897" operator="lessThan">
      <formula>0</formula>
    </cfRule>
    <cfRule type="cellIs" dxfId="896" priority="898" operator="greaterThan">
      <formula>0</formula>
    </cfRule>
  </conditionalFormatting>
  <conditionalFormatting sqref="N770">
    <cfRule type="cellIs" dxfId="895" priority="895" operator="lessThan">
      <formula>0</formula>
    </cfRule>
    <cfRule type="cellIs" dxfId="894" priority="896" operator="greaterThan">
      <formula>0</formula>
    </cfRule>
  </conditionalFormatting>
  <conditionalFormatting sqref="F770">
    <cfRule type="cellIs" dxfId="893" priority="893" operator="lessThan">
      <formula>0</formula>
    </cfRule>
    <cfRule type="cellIs" dxfId="892" priority="894" operator="greaterThan">
      <formula>0</formula>
    </cfRule>
  </conditionalFormatting>
  <conditionalFormatting sqref="N769">
    <cfRule type="cellIs" dxfId="891" priority="891" operator="lessThan">
      <formula>0</formula>
    </cfRule>
    <cfRule type="cellIs" dxfId="890" priority="892" operator="greaterThan">
      <formula>0</formula>
    </cfRule>
  </conditionalFormatting>
  <conditionalFormatting sqref="F769">
    <cfRule type="cellIs" dxfId="889" priority="889" operator="lessThan">
      <formula>0</formula>
    </cfRule>
    <cfRule type="cellIs" dxfId="888" priority="890" operator="greaterThan">
      <formula>0</formula>
    </cfRule>
  </conditionalFormatting>
  <conditionalFormatting sqref="N768">
    <cfRule type="cellIs" dxfId="887" priority="887" operator="lessThan">
      <formula>0</formula>
    </cfRule>
    <cfRule type="cellIs" dxfId="886" priority="888" operator="greaterThan">
      <formula>0</formula>
    </cfRule>
  </conditionalFormatting>
  <conditionalFormatting sqref="F768">
    <cfRule type="cellIs" dxfId="885" priority="885" operator="lessThan">
      <formula>0</formula>
    </cfRule>
    <cfRule type="cellIs" dxfId="884" priority="886" operator="greaterThan">
      <formula>0</formula>
    </cfRule>
  </conditionalFormatting>
  <conditionalFormatting sqref="N767">
    <cfRule type="cellIs" dxfId="883" priority="883" operator="lessThan">
      <formula>0</formula>
    </cfRule>
    <cfRule type="cellIs" dxfId="882" priority="884" operator="greaterThan">
      <formula>0</formula>
    </cfRule>
  </conditionalFormatting>
  <conditionalFormatting sqref="F767">
    <cfRule type="cellIs" dxfId="881" priority="881" operator="lessThan">
      <formula>0</formula>
    </cfRule>
    <cfRule type="cellIs" dxfId="880" priority="882" operator="greaterThan">
      <formula>0</formula>
    </cfRule>
  </conditionalFormatting>
  <conditionalFormatting sqref="N766">
    <cfRule type="cellIs" dxfId="879" priority="879" operator="lessThan">
      <formula>0</formula>
    </cfRule>
    <cfRule type="cellIs" dxfId="878" priority="880" operator="greaterThan">
      <formula>0</formula>
    </cfRule>
  </conditionalFormatting>
  <conditionalFormatting sqref="F766">
    <cfRule type="cellIs" dxfId="877" priority="877" operator="lessThan">
      <formula>0</formula>
    </cfRule>
    <cfRule type="cellIs" dxfId="876" priority="878" operator="greaterThan">
      <formula>0</formula>
    </cfRule>
  </conditionalFormatting>
  <conditionalFormatting sqref="N765">
    <cfRule type="cellIs" dxfId="875" priority="875" operator="lessThan">
      <formula>0</formula>
    </cfRule>
    <cfRule type="cellIs" dxfId="874" priority="876" operator="greaterThan">
      <formula>0</formula>
    </cfRule>
  </conditionalFormatting>
  <conditionalFormatting sqref="F765">
    <cfRule type="cellIs" dxfId="873" priority="873" operator="lessThan">
      <formula>0</formula>
    </cfRule>
    <cfRule type="cellIs" dxfId="872" priority="874" operator="greaterThan">
      <formula>0</formula>
    </cfRule>
  </conditionalFormatting>
  <conditionalFormatting sqref="N764">
    <cfRule type="cellIs" dxfId="871" priority="871" operator="lessThan">
      <formula>0</formula>
    </cfRule>
    <cfRule type="cellIs" dxfId="870" priority="872" operator="greaterThan">
      <formula>0</formula>
    </cfRule>
  </conditionalFormatting>
  <conditionalFormatting sqref="F764">
    <cfRule type="cellIs" dxfId="869" priority="869" operator="lessThan">
      <formula>0</formula>
    </cfRule>
    <cfRule type="cellIs" dxfId="868" priority="870" operator="greaterThan">
      <formula>0</formula>
    </cfRule>
  </conditionalFormatting>
  <conditionalFormatting sqref="N763">
    <cfRule type="cellIs" dxfId="867" priority="867" operator="lessThan">
      <formula>0</formula>
    </cfRule>
    <cfRule type="cellIs" dxfId="866" priority="868" operator="greaterThan">
      <formula>0</formula>
    </cfRule>
  </conditionalFormatting>
  <conditionalFormatting sqref="F763">
    <cfRule type="cellIs" dxfId="865" priority="865" operator="lessThan">
      <formula>0</formula>
    </cfRule>
    <cfRule type="cellIs" dxfId="864" priority="866" operator="greaterThan">
      <formula>0</formula>
    </cfRule>
  </conditionalFormatting>
  <conditionalFormatting sqref="N762">
    <cfRule type="cellIs" dxfId="863" priority="863" operator="lessThan">
      <formula>0</formula>
    </cfRule>
    <cfRule type="cellIs" dxfId="862" priority="864" operator="greaterThan">
      <formula>0</formula>
    </cfRule>
  </conditionalFormatting>
  <conditionalFormatting sqref="F762">
    <cfRule type="cellIs" dxfId="861" priority="861" operator="lessThan">
      <formula>0</formula>
    </cfRule>
    <cfRule type="cellIs" dxfId="860" priority="862" operator="greaterThan">
      <formula>0</formula>
    </cfRule>
  </conditionalFormatting>
  <conditionalFormatting sqref="N760:N761">
    <cfRule type="cellIs" dxfId="859" priority="859" operator="lessThan">
      <formula>0</formula>
    </cfRule>
    <cfRule type="cellIs" dxfId="858" priority="860" operator="greaterThan">
      <formula>0</formula>
    </cfRule>
  </conditionalFormatting>
  <conditionalFormatting sqref="F760:F761">
    <cfRule type="cellIs" dxfId="857" priority="857" operator="lessThan">
      <formula>0</formula>
    </cfRule>
    <cfRule type="cellIs" dxfId="856" priority="858" operator="greaterThan">
      <formula>0</formula>
    </cfRule>
  </conditionalFormatting>
  <conditionalFormatting sqref="N759">
    <cfRule type="cellIs" dxfId="855" priority="855" operator="lessThan">
      <formula>0</formula>
    </cfRule>
    <cfRule type="cellIs" dxfId="854" priority="856" operator="greaterThan">
      <formula>0</formula>
    </cfRule>
  </conditionalFormatting>
  <conditionalFormatting sqref="F759">
    <cfRule type="cellIs" dxfId="853" priority="853" operator="lessThan">
      <formula>0</formula>
    </cfRule>
    <cfRule type="cellIs" dxfId="852" priority="854" operator="greaterThan">
      <formula>0</formula>
    </cfRule>
  </conditionalFormatting>
  <conditionalFormatting sqref="N758">
    <cfRule type="cellIs" dxfId="851" priority="851" operator="lessThan">
      <formula>0</formula>
    </cfRule>
    <cfRule type="cellIs" dxfId="850" priority="852" operator="greaterThan">
      <formula>0</formula>
    </cfRule>
  </conditionalFormatting>
  <conditionalFormatting sqref="F758">
    <cfRule type="cellIs" dxfId="849" priority="849" operator="lessThan">
      <formula>0</formula>
    </cfRule>
    <cfRule type="cellIs" dxfId="848" priority="850" operator="greaterThan">
      <formula>0</formula>
    </cfRule>
  </conditionalFormatting>
  <conditionalFormatting sqref="N757">
    <cfRule type="cellIs" dxfId="847" priority="847" operator="lessThan">
      <formula>0</formula>
    </cfRule>
    <cfRule type="cellIs" dxfId="846" priority="848" operator="greaterThan">
      <formula>0</formula>
    </cfRule>
  </conditionalFormatting>
  <conditionalFormatting sqref="F757">
    <cfRule type="cellIs" dxfId="845" priority="845" operator="lessThan">
      <formula>0</formula>
    </cfRule>
    <cfRule type="cellIs" dxfId="844" priority="846" operator="greaterThan">
      <formula>0</formula>
    </cfRule>
  </conditionalFormatting>
  <conditionalFormatting sqref="N756">
    <cfRule type="cellIs" dxfId="843" priority="843" operator="lessThan">
      <formula>0</formula>
    </cfRule>
    <cfRule type="cellIs" dxfId="842" priority="844" operator="greaterThan">
      <formula>0</formula>
    </cfRule>
  </conditionalFormatting>
  <conditionalFormatting sqref="F756">
    <cfRule type="cellIs" dxfId="841" priority="841" operator="lessThan">
      <formula>0</formula>
    </cfRule>
    <cfRule type="cellIs" dxfId="840" priority="842" operator="greaterThan">
      <formula>0</formula>
    </cfRule>
  </conditionalFormatting>
  <conditionalFormatting sqref="N755">
    <cfRule type="cellIs" dxfId="839" priority="839" operator="lessThan">
      <formula>0</formula>
    </cfRule>
    <cfRule type="cellIs" dxfId="838" priority="840" operator="greaterThan">
      <formula>0</formula>
    </cfRule>
  </conditionalFormatting>
  <conditionalFormatting sqref="F755">
    <cfRule type="cellIs" dxfId="837" priority="837" operator="lessThan">
      <formula>0</formula>
    </cfRule>
    <cfRule type="cellIs" dxfId="836" priority="838" operator="greaterThan">
      <formula>0</formula>
    </cfRule>
  </conditionalFormatting>
  <conditionalFormatting sqref="N754">
    <cfRule type="cellIs" dxfId="835" priority="835" operator="lessThan">
      <formula>0</formula>
    </cfRule>
    <cfRule type="cellIs" dxfId="834" priority="836" operator="greaterThan">
      <formula>0</formula>
    </cfRule>
  </conditionalFormatting>
  <conditionalFormatting sqref="F754">
    <cfRule type="cellIs" dxfId="833" priority="833" operator="lessThan">
      <formula>0</formula>
    </cfRule>
    <cfRule type="cellIs" dxfId="832" priority="834" operator="greaterThan">
      <formula>0</formula>
    </cfRule>
  </conditionalFormatting>
  <conditionalFormatting sqref="N753">
    <cfRule type="cellIs" dxfId="831" priority="831" operator="lessThan">
      <formula>0</formula>
    </cfRule>
    <cfRule type="cellIs" dxfId="830" priority="832" operator="greaterThan">
      <formula>0</formula>
    </cfRule>
  </conditionalFormatting>
  <conditionalFormatting sqref="F753">
    <cfRule type="cellIs" dxfId="829" priority="829" operator="lessThan">
      <formula>0</formula>
    </cfRule>
    <cfRule type="cellIs" dxfId="828" priority="830" operator="greaterThan">
      <formula>0</formula>
    </cfRule>
  </conditionalFormatting>
  <conditionalFormatting sqref="N752">
    <cfRule type="cellIs" dxfId="827" priority="827" operator="lessThan">
      <formula>0</formula>
    </cfRule>
    <cfRule type="cellIs" dxfId="826" priority="828" operator="greaterThan">
      <formula>0</formula>
    </cfRule>
  </conditionalFormatting>
  <conditionalFormatting sqref="F752">
    <cfRule type="cellIs" dxfId="825" priority="825" operator="lessThan">
      <formula>0</formula>
    </cfRule>
    <cfRule type="cellIs" dxfId="824" priority="826" operator="greaterThan">
      <formula>0</formula>
    </cfRule>
  </conditionalFormatting>
  <conditionalFormatting sqref="N751">
    <cfRule type="cellIs" dxfId="823" priority="823" operator="lessThan">
      <formula>0</formula>
    </cfRule>
    <cfRule type="cellIs" dxfId="822" priority="824" operator="greaterThan">
      <formula>0</formula>
    </cfRule>
  </conditionalFormatting>
  <conditionalFormatting sqref="F751">
    <cfRule type="cellIs" dxfId="821" priority="821" operator="lessThan">
      <formula>0</formula>
    </cfRule>
    <cfRule type="cellIs" dxfId="820" priority="822" operator="greaterThan">
      <formula>0</formula>
    </cfRule>
  </conditionalFormatting>
  <conditionalFormatting sqref="N750">
    <cfRule type="cellIs" dxfId="819" priority="819" operator="lessThan">
      <formula>0</formula>
    </cfRule>
    <cfRule type="cellIs" dxfId="818" priority="820" operator="greaterThan">
      <formula>0</formula>
    </cfRule>
  </conditionalFormatting>
  <conditionalFormatting sqref="F750">
    <cfRule type="cellIs" dxfId="817" priority="817" operator="lessThan">
      <formula>0</formula>
    </cfRule>
    <cfRule type="cellIs" dxfId="816" priority="818" operator="greaterThan">
      <formula>0</formula>
    </cfRule>
  </conditionalFormatting>
  <conditionalFormatting sqref="N749">
    <cfRule type="cellIs" dxfId="815" priority="815" operator="lessThan">
      <formula>0</formula>
    </cfRule>
    <cfRule type="cellIs" dxfId="814" priority="816" operator="greaterThan">
      <formula>0</formula>
    </cfRule>
  </conditionalFormatting>
  <conditionalFormatting sqref="F749">
    <cfRule type="cellIs" dxfId="813" priority="813" operator="lessThan">
      <formula>0</formula>
    </cfRule>
    <cfRule type="cellIs" dxfId="812" priority="814" operator="greaterThan">
      <formula>0</formula>
    </cfRule>
  </conditionalFormatting>
  <conditionalFormatting sqref="N747:N748">
    <cfRule type="cellIs" dxfId="811" priority="811" operator="lessThan">
      <formula>0</formula>
    </cfRule>
    <cfRule type="cellIs" dxfId="810" priority="812" operator="greaterThan">
      <formula>0</formula>
    </cfRule>
  </conditionalFormatting>
  <conditionalFormatting sqref="F747:F748">
    <cfRule type="cellIs" dxfId="809" priority="809" operator="lessThan">
      <formula>0</formula>
    </cfRule>
    <cfRule type="cellIs" dxfId="808" priority="810" operator="greaterThan">
      <formula>0</formula>
    </cfRule>
  </conditionalFormatting>
  <conditionalFormatting sqref="N746">
    <cfRule type="cellIs" dxfId="807" priority="807" operator="lessThan">
      <formula>0</formula>
    </cfRule>
    <cfRule type="cellIs" dxfId="806" priority="808" operator="greaterThan">
      <formula>0</formula>
    </cfRule>
  </conditionalFormatting>
  <conditionalFormatting sqref="F746">
    <cfRule type="cellIs" dxfId="805" priority="805" operator="lessThan">
      <formula>0</formula>
    </cfRule>
    <cfRule type="cellIs" dxfId="804" priority="806" operator="greaterThan">
      <formula>0</formula>
    </cfRule>
  </conditionalFormatting>
  <conditionalFormatting sqref="N745">
    <cfRule type="cellIs" dxfId="803" priority="803" operator="lessThan">
      <formula>0</formula>
    </cfRule>
    <cfRule type="cellIs" dxfId="802" priority="804" operator="greaterThan">
      <formula>0</formula>
    </cfRule>
  </conditionalFormatting>
  <conditionalFormatting sqref="F745">
    <cfRule type="cellIs" dxfId="801" priority="801" operator="lessThan">
      <formula>0</formula>
    </cfRule>
    <cfRule type="cellIs" dxfId="800" priority="802" operator="greaterThan">
      <formula>0</formula>
    </cfRule>
  </conditionalFormatting>
  <conditionalFormatting sqref="N744">
    <cfRule type="cellIs" dxfId="799" priority="799" operator="lessThan">
      <formula>0</formula>
    </cfRule>
    <cfRule type="cellIs" dxfId="798" priority="800" operator="greaterThan">
      <formula>0</formula>
    </cfRule>
  </conditionalFormatting>
  <conditionalFormatting sqref="F744">
    <cfRule type="cellIs" dxfId="797" priority="797" operator="lessThan">
      <formula>0</formula>
    </cfRule>
    <cfRule type="cellIs" dxfId="796" priority="798" operator="greaterThan">
      <formula>0</formula>
    </cfRule>
  </conditionalFormatting>
  <conditionalFormatting sqref="N743">
    <cfRule type="cellIs" dxfId="795" priority="795" operator="lessThan">
      <formula>0</formula>
    </cfRule>
    <cfRule type="cellIs" dxfId="794" priority="796" operator="greaterThan">
      <formula>0</formula>
    </cfRule>
  </conditionalFormatting>
  <conditionalFormatting sqref="F743">
    <cfRule type="cellIs" dxfId="793" priority="793" operator="lessThan">
      <formula>0</formula>
    </cfRule>
    <cfRule type="cellIs" dxfId="792" priority="794" operator="greaterThan">
      <formula>0</formula>
    </cfRule>
  </conditionalFormatting>
  <conditionalFormatting sqref="N742">
    <cfRule type="cellIs" dxfId="791" priority="791" operator="lessThan">
      <formula>0</formula>
    </cfRule>
    <cfRule type="cellIs" dxfId="790" priority="792" operator="greaterThan">
      <formula>0</formula>
    </cfRule>
  </conditionalFormatting>
  <conditionalFormatting sqref="F742">
    <cfRule type="cellIs" dxfId="789" priority="789" operator="lessThan">
      <formula>0</formula>
    </cfRule>
    <cfRule type="cellIs" dxfId="788" priority="790" operator="greaterThan">
      <formula>0</formula>
    </cfRule>
  </conditionalFormatting>
  <conditionalFormatting sqref="N741">
    <cfRule type="cellIs" dxfId="787" priority="787" operator="lessThan">
      <formula>0</formula>
    </cfRule>
    <cfRule type="cellIs" dxfId="786" priority="788" operator="greaterThan">
      <formula>0</formula>
    </cfRule>
  </conditionalFormatting>
  <conditionalFormatting sqref="F741">
    <cfRule type="cellIs" dxfId="785" priority="785" operator="lessThan">
      <formula>0</formula>
    </cfRule>
    <cfRule type="cellIs" dxfId="784" priority="786" operator="greaterThan">
      <formula>0</formula>
    </cfRule>
  </conditionalFormatting>
  <conditionalFormatting sqref="N740">
    <cfRule type="cellIs" dxfId="783" priority="783" operator="lessThan">
      <formula>0</formula>
    </cfRule>
    <cfRule type="cellIs" dxfId="782" priority="784" operator="greaterThan">
      <formula>0</formula>
    </cfRule>
  </conditionalFormatting>
  <conditionalFormatting sqref="F740">
    <cfRule type="cellIs" dxfId="781" priority="781" operator="lessThan">
      <formula>0</formula>
    </cfRule>
    <cfRule type="cellIs" dxfId="780" priority="782" operator="greaterThan">
      <formula>0</formula>
    </cfRule>
  </conditionalFormatting>
  <conditionalFormatting sqref="N739">
    <cfRule type="cellIs" dxfId="779" priority="779" operator="lessThan">
      <formula>0</formula>
    </cfRule>
    <cfRule type="cellIs" dxfId="778" priority="780" operator="greaterThan">
      <formula>0</formula>
    </cfRule>
  </conditionalFormatting>
  <conditionalFormatting sqref="F739">
    <cfRule type="cellIs" dxfId="777" priority="777" operator="lessThan">
      <formula>0</formula>
    </cfRule>
    <cfRule type="cellIs" dxfId="776" priority="778" operator="greaterThan">
      <formula>0</formula>
    </cfRule>
  </conditionalFormatting>
  <conditionalFormatting sqref="N738">
    <cfRule type="cellIs" dxfId="775" priority="775" operator="lessThan">
      <formula>0</formula>
    </cfRule>
    <cfRule type="cellIs" dxfId="774" priority="776" operator="greaterThan">
      <formula>0</formula>
    </cfRule>
  </conditionalFormatting>
  <conditionalFormatting sqref="F738">
    <cfRule type="cellIs" dxfId="773" priority="773" operator="lessThan">
      <formula>0</formula>
    </cfRule>
    <cfRule type="cellIs" dxfId="772" priority="774" operator="greaterThan">
      <formula>0</formula>
    </cfRule>
  </conditionalFormatting>
  <conditionalFormatting sqref="N737">
    <cfRule type="cellIs" dxfId="771" priority="771" operator="lessThan">
      <formula>0</formula>
    </cfRule>
    <cfRule type="cellIs" dxfId="770" priority="772" operator="greaterThan">
      <formula>0</formula>
    </cfRule>
  </conditionalFormatting>
  <conditionalFormatting sqref="F737">
    <cfRule type="cellIs" dxfId="769" priority="769" operator="lessThan">
      <formula>0</formula>
    </cfRule>
    <cfRule type="cellIs" dxfId="768" priority="770" operator="greaterThan">
      <formula>0</formula>
    </cfRule>
  </conditionalFormatting>
  <conditionalFormatting sqref="N736">
    <cfRule type="cellIs" dxfId="767" priority="767" operator="lessThan">
      <formula>0</formula>
    </cfRule>
    <cfRule type="cellIs" dxfId="766" priority="768" operator="greaterThan">
      <formula>0</formula>
    </cfRule>
  </conditionalFormatting>
  <conditionalFormatting sqref="F736">
    <cfRule type="cellIs" dxfId="765" priority="765" operator="lessThan">
      <formula>0</formula>
    </cfRule>
    <cfRule type="cellIs" dxfId="764" priority="766" operator="greaterThan">
      <formula>0</formula>
    </cfRule>
  </conditionalFormatting>
  <conditionalFormatting sqref="N734:N735">
    <cfRule type="cellIs" dxfId="763" priority="763" operator="lessThan">
      <formula>0</formula>
    </cfRule>
    <cfRule type="cellIs" dxfId="762" priority="764" operator="greaterThan">
      <formula>0</formula>
    </cfRule>
  </conditionalFormatting>
  <conditionalFormatting sqref="F734:F735">
    <cfRule type="cellIs" dxfId="761" priority="761" operator="lessThan">
      <formula>0</formula>
    </cfRule>
    <cfRule type="cellIs" dxfId="760" priority="762" operator="greaterThan">
      <formula>0</formula>
    </cfRule>
  </conditionalFormatting>
  <conditionalFormatting sqref="N733">
    <cfRule type="cellIs" dxfId="759" priority="759" operator="lessThan">
      <formula>0</formula>
    </cfRule>
    <cfRule type="cellIs" dxfId="758" priority="760" operator="greaterThan">
      <formula>0</formula>
    </cfRule>
  </conditionalFormatting>
  <conditionalFormatting sqref="F733">
    <cfRule type="cellIs" dxfId="757" priority="757" operator="lessThan">
      <formula>0</formula>
    </cfRule>
    <cfRule type="cellIs" dxfId="756" priority="758" operator="greaterThan">
      <formula>0</formula>
    </cfRule>
  </conditionalFormatting>
  <conditionalFormatting sqref="N732">
    <cfRule type="cellIs" dxfId="755" priority="755" operator="lessThan">
      <formula>0</formula>
    </cfRule>
    <cfRule type="cellIs" dxfId="754" priority="756" operator="greaterThan">
      <formula>0</formula>
    </cfRule>
  </conditionalFormatting>
  <conditionalFormatting sqref="F732">
    <cfRule type="cellIs" dxfId="753" priority="753" operator="lessThan">
      <formula>0</formula>
    </cfRule>
    <cfRule type="cellIs" dxfId="752" priority="754" operator="greaterThan">
      <formula>0</formula>
    </cfRule>
  </conditionalFormatting>
  <conditionalFormatting sqref="N731">
    <cfRule type="cellIs" dxfId="751" priority="751" operator="lessThan">
      <formula>0</formula>
    </cfRule>
    <cfRule type="cellIs" dxfId="750" priority="752" operator="greaterThan">
      <formula>0</formula>
    </cfRule>
  </conditionalFormatting>
  <conditionalFormatting sqref="F731">
    <cfRule type="cellIs" dxfId="749" priority="749" operator="lessThan">
      <formula>0</formula>
    </cfRule>
    <cfRule type="cellIs" dxfId="748" priority="750" operator="greaterThan">
      <formula>0</formula>
    </cfRule>
  </conditionalFormatting>
  <conditionalFormatting sqref="N730">
    <cfRule type="cellIs" dxfId="747" priority="747" operator="lessThan">
      <formula>0</formula>
    </cfRule>
    <cfRule type="cellIs" dxfId="746" priority="748" operator="greaterThan">
      <formula>0</formula>
    </cfRule>
  </conditionalFormatting>
  <conditionalFormatting sqref="F730">
    <cfRule type="cellIs" dxfId="745" priority="745" operator="lessThan">
      <formula>0</formula>
    </cfRule>
    <cfRule type="cellIs" dxfId="744" priority="746" operator="greaterThan">
      <formula>0</formula>
    </cfRule>
  </conditionalFormatting>
  <conditionalFormatting sqref="N729">
    <cfRule type="cellIs" dxfId="743" priority="743" operator="lessThan">
      <formula>0</formula>
    </cfRule>
    <cfRule type="cellIs" dxfId="742" priority="744" operator="greaterThan">
      <formula>0</formula>
    </cfRule>
  </conditionalFormatting>
  <conditionalFormatting sqref="F729">
    <cfRule type="cellIs" dxfId="741" priority="741" operator="lessThan">
      <formula>0</formula>
    </cfRule>
    <cfRule type="cellIs" dxfId="740" priority="742" operator="greaterThan">
      <formula>0</formula>
    </cfRule>
  </conditionalFormatting>
  <conditionalFormatting sqref="N728">
    <cfRule type="cellIs" dxfId="739" priority="739" operator="lessThan">
      <formula>0</formula>
    </cfRule>
    <cfRule type="cellIs" dxfId="738" priority="740" operator="greaterThan">
      <formula>0</formula>
    </cfRule>
  </conditionalFormatting>
  <conditionalFormatting sqref="F728">
    <cfRule type="cellIs" dxfId="737" priority="737" operator="lessThan">
      <formula>0</formula>
    </cfRule>
    <cfRule type="cellIs" dxfId="736" priority="738" operator="greaterThan">
      <formula>0</formula>
    </cfRule>
  </conditionalFormatting>
  <conditionalFormatting sqref="N727">
    <cfRule type="cellIs" dxfId="735" priority="735" operator="lessThan">
      <formula>0</formula>
    </cfRule>
    <cfRule type="cellIs" dxfId="734" priority="736" operator="greaterThan">
      <formula>0</formula>
    </cfRule>
  </conditionalFormatting>
  <conditionalFormatting sqref="F727">
    <cfRule type="cellIs" dxfId="733" priority="733" operator="lessThan">
      <formula>0</formula>
    </cfRule>
    <cfRule type="cellIs" dxfId="732" priority="734" operator="greaterThan">
      <formula>0</formula>
    </cfRule>
  </conditionalFormatting>
  <conditionalFormatting sqref="N726">
    <cfRule type="cellIs" dxfId="731" priority="731" operator="lessThan">
      <formula>0</formula>
    </cfRule>
    <cfRule type="cellIs" dxfId="730" priority="732" operator="greaterThan">
      <formula>0</formula>
    </cfRule>
  </conditionalFormatting>
  <conditionalFormatting sqref="F726">
    <cfRule type="cellIs" dxfId="729" priority="729" operator="lessThan">
      <formula>0</formula>
    </cfRule>
    <cfRule type="cellIs" dxfId="728" priority="730" operator="greaterThan">
      <formula>0</formula>
    </cfRule>
  </conditionalFormatting>
  <conditionalFormatting sqref="N725">
    <cfRule type="cellIs" dxfId="727" priority="727" operator="lessThan">
      <formula>0</formula>
    </cfRule>
    <cfRule type="cellIs" dxfId="726" priority="728" operator="greaterThan">
      <formula>0</formula>
    </cfRule>
  </conditionalFormatting>
  <conditionalFormatting sqref="F725">
    <cfRule type="cellIs" dxfId="725" priority="725" operator="lessThan">
      <formula>0</formula>
    </cfRule>
    <cfRule type="cellIs" dxfId="724" priority="726" operator="greaterThan">
      <formula>0</formula>
    </cfRule>
  </conditionalFormatting>
  <conditionalFormatting sqref="N724">
    <cfRule type="cellIs" dxfId="723" priority="723" operator="lessThan">
      <formula>0</formula>
    </cfRule>
    <cfRule type="cellIs" dxfId="722" priority="724" operator="greaterThan">
      <formula>0</formula>
    </cfRule>
  </conditionalFormatting>
  <conditionalFormatting sqref="F724">
    <cfRule type="cellIs" dxfId="721" priority="721" operator="lessThan">
      <formula>0</formula>
    </cfRule>
    <cfRule type="cellIs" dxfId="720" priority="722" operator="greaterThan">
      <formula>0</formula>
    </cfRule>
  </conditionalFormatting>
  <conditionalFormatting sqref="N723">
    <cfRule type="cellIs" dxfId="719" priority="719" operator="lessThan">
      <formula>0</formula>
    </cfRule>
    <cfRule type="cellIs" dxfId="718" priority="720" operator="greaterThan">
      <formula>0</formula>
    </cfRule>
  </conditionalFormatting>
  <conditionalFormatting sqref="F723">
    <cfRule type="cellIs" dxfId="717" priority="717" operator="lessThan">
      <formula>0</formula>
    </cfRule>
    <cfRule type="cellIs" dxfId="716" priority="718" operator="greaterThan">
      <formula>0</formula>
    </cfRule>
  </conditionalFormatting>
  <conditionalFormatting sqref="N721:N722">
    <cfRule type="cellIs" dxfId="715" priority="715" operator="lessThan">
      <formula>0</formula>
    </cfRule>
    <cfRule type="cellIs" dxfId="714" priority="716" operator="greaterThan">
      <formula>0</formula>
    </cfRule>
  </conditionalFormatting>
  <conditionalFormatting sqref="F721:F722">
    <cfRule type="cellIs" dxfId="713" priority="713" operator="lessThan">
      <formula>0</formula>
    </cfRule>
    <cfRule type="cellIs" dxfId="712" priority="714" operator="greaterThan">
      <formula>0</formula>
    </cfRule>
  </conditionalFormatting>
  <conditionalFormatting sqref="N720">
    <cfRule type="cellIs" dxfId="711" priority="711" operator="lessThan">
      <formula>0</formula>
    </cfRule>
    <cfRule type="cellIs" dxfId="710" priority="712" operator="greaterThan">
      <formula>0</formula>
    </cfRule>
  </conditionalFormatting>
  <conditionalFormatting sqref="F720">
    <cfRule type="cellIs" dxfId="709" priority="709" operator="lessThan">
      <formula>0</formula>
    </cfRule>
    <cfRule type="cellIs" dxfId="708" priority="710" operator="greaterThan">
      <formula>0</formula>
    </cfRule>
  </conditionalFormatting>
  <conditionalFormatting sqref="N719">
    <cfRule type="cellIs" dxfId="707" priority="707" operator="lessThan">
      <formula>0</formula>
    </cfRule>
    <cfRule type="cellIs" dxfId="706" priority="708" operator="greaterThan">
      <formula>0</formula>
    </cfRule>
  </conditionalFormatting>
  <conditionalFormatting sqref="F719">
    <cfRule type="cellIs" dxfId="705" priority="705" operator="lessThan">
      <formula>0</formula>
    </cfRule>
    <cfRule type="cellIs" dxfId="704" priority="706" operator="greaterThan">
      <formula>0</formula>
    </cfRule>
  </conditionalFormatting>
  <conditionalFormatting sqref="N718">
    <cfRule type="cellIs" dxfId="703" priority="703" operator="lessThan">
      <formula>0</formula>
    </cfRule>
    <cfRule type="cellIs" dxfId="702" priority="704" operator="greaterThan">
      <formula>0</formula>
    </cfRule>
  </conditionalFormatting>
  <conditionalFormatting sqref="F718">
    <cfRule type="cellIs" dxfId="701" priority="701" operator="lessThan">
      <formula>0</formula>
    </cfRule>
    <cfRule type="cellIs" dxfId="700" priority="702" operator="greaterThan">
      <formula>0</formula>
    </cfRule>
  </conditionalFormatting>
  <conditionalFormatting sqref="N717">
    <cfRule type="cellIs" dxfId="699" priority="699" operator="lessThan">
      <formula>0</formula>
    </cfRule>
    <cfRule type="cellIs" dxfId="698" priority="700" operator="greaterThan">
      <formula>0</formula>
    </cfRule>
  </conditionalFormatting>
  <conditionalFormatting sqref="F717">
    <cfRule type="cellIs" dxfId="697" priority="697" operator="lessThan">
      <formula>0</formula>
    </cfRule>
    <cfRule type="cellIs" dxfId="696" priority="698" operator="greaterThan">
      <formula>0</formula>
    </cfRule>
  </conditionalFormatting>
  <conditionalFormatting sqref="N716">
    <cfRule type="cellIs" dxfId="695" priority="695" operator="lessThan">
      <formula>0</formula>
    </cfRule>
    <cfRule type="cellIs" dxfId="694" priority="696" operator="greaterThan">
      <formula>0</formula>
    </cfRule>
  </conditionalFormatting>
  <conditionalFormatting sqref="F716">
    <cfRule type="cellIs" dxfId="693" priority="693" operator="lessThan">
      <formula>0</formula>
    </cfRule>
    <cfRule type="cellIs" dxfId="692" priority="694" operator="greaterThan">
      <formula>0</formula>
    </cfRule>
  </conditionalFormatting>
  <conditionalFormatting sqref="N715">
    <cfRule type="cellIs" dxfId="691" priority="691" operator="lessThan">
      <formula>0</formula>
    </cfRule>
    <cfRule type="cellIs" dxfId="690" priority="692" operator="greaterThan">
      <formula>0</formula>
    </cfRule>
  </conditionalFormatting>
  <conditionalFormatting sqref="F715">
    <cfRule type="cellIs" dxfId="689" priority="689" operator="lessThan">
      <formula>0</formula>
    </cfRule>
    <cfRule type="cellIs" dxfId="688" priority="690" operator="greaterThan">
      <formula>0</formula>
    </cfRule>
  </conditionalFormatting>
  <conditionalFormatting sqref="N714">
    <cfRule type="cellIs" dxfId="687" priority="687" operator="lessThan">
      <formula>0</formula>
    </cfRule>
    <cfRule type="cellIs" dxfId="686" priority="688" operator="greaterThan">
      <formula>0</formula>
    </cfRule>
  </conditionalFormatting>
  <conditionalFormatting sqref="F714">
    <cfRule type="cellIs" dxfId="685" priority="685" operator="lessThan">
      <formula>0</formula>
    </cfRule>
    <cfRule type="cellIs" dxfId="684" priority="686" operator="greaterThan">
      <formula>0</formula>
    </cfRule>
  </conditionalFormatting>
  <conditionalFormatting sqref="N713">
    <cfRule type="cellIs" dxfId="683" priority="683" operator="lessThan">
      <formula>0</formula>
    </cfRule>
    <cfRule type="cellIs" dxfId="682" priority="684" operator="greaterThan">
      <formula>0</formula>
    </cfRule>
  </conditionalFormatting>
  <conditionalFormatting sqref="F713">
    <cfRule type="cellIs" dxfId="681" priority="681" operator="lessThan">
      <formula>0</formula>
    </cfRule>
    <cfRule type="cellIs" dxfId="680" priority="682" operator="greaterThan">
      <formula>0</formula>
    </cfRule>
  </conditionalFormatting>
  <conditionalFormatting sqref="N712">
    <cfRule type="cellIs" dxfId="679" priority="679" operator="lessThan">
      <formula>0</formula>
    </cfRule>
    <cfRule type="cellIs" dxfId="678" priority="680" operator="greaterThan">
      <formula>0</formula>
    </cfRule>
  </conditionalFormatting>
  <conditionalFormatting sqref="F712">
    <cfRule type="cellIs" dxfId="677" priority="677" operator="lessThan">
      <formula>0</formula>
    </cfRule>
    <cfRule type="cellIs" dxfId="676" priority="678" operator="greaterThan">
      <formula>0</formula>
    </cfRule>
  </conditionalFormatting>
  <conditionalFormatting sqref="N711">
    <cfRule type="cellIs" dxfId="675" priority="675" operator="lessThan">
      <formula>0</formula>
    </cfRule>
    <cfRule type="cellIs" dxfId="674" priority="676" operator="greaterThan">
      <formula>0</formula>
    </cfRule>
  </conditionalFormatting>
  <conditionalFormatting sqref="F711">
    <cfRule type="cellIs" dxfId="673" priority="673" operator="lessThan">
      <formula>0</formula>
    </cfRule>
    <cfRule type="cellIs" dxfId="672" priority="674" operator="greaterThan">
      <formula>0</formula>
    </cfRule>
  </conditionalFormatting>
  <conditionalFormatting sqref="N710">
    <cfRule type="cellIs" dxfId="671" priority="671" operator="lessThan">
      <formula>0</formula>
    </cfRule>
    <cfRule type="cellIs" dxfId="670" priority="672" operator="greaterThan">
      <formula>0</formula>
    </cfRule>
  </conditionalFormatting>
  <conditionalFormatting sqref="F710">
    <cfRule type="cellIs" dxfId="669" priority="669" operator="lessThan">
      <formula>0</formula>
    </cfRule>
    <cfRule type="cellIs" dxfId="668" priority="670" operator="greaterThan">
      <formula>0</formula>
    </cfRule>
  </conditionalFormatting>
  <conditionalFormatting sqref="N708:N709">
    <cfRule type="cellIs" dxfId="667" priority="667" operator="lessThan">
      <formula>0</formula>
    </cfRule>
    <cfRule type="cellIs" dxfId="666" priority="668" operator="greaterThan">
      <formula>0</formula>
    </cfRule>
  </conditionalFormatting>
  <conditionalFormatting sqref="F708:F709">
    <cfRule type="cellIs" dxfId="665" priority="665" operator="lessThan">
      <formula>0</formula>
    </cfRule>
    <cfRule type="cellIs" dxfId="664" priority="666" operator="greaterThan">
      <formula>0</formula>
    </cfRule>
  </conditionalFormatting>
  <conditionalFormatting sqref="N707">
    <cfRule type="cellIs" dxfId="663" priority="663" operator="lessThan">
      <formula>0</formula>
    </cfRule>
    <cfRule type="cellIs" dxfId="662" priority="664" operator="greaterThan">
      <formula>0</formula>
    </cfRule>
  </conditionalFormatting>
  <conditionalFormatting sqref="F707">
    <cfRule type="cellIs" dxfId="661" priority="661" operator="lessThan">
      <formula>0</formula>
    </cfRule>
    <cfRule type="cellIs" dxfId="660" priority="662" operator="greaterThan">
      <formula>0</formula>
    </cfRule>
  </conditionalFormatting>
  <conditionalFormatting sqref="N706">
    <cfRule type="cellIs" dxfId="659" priority="659" operator="lessThan">
      <formula>0</formula>
    </cfRule>
    <cfRule type="cellIs" dxfId="658" priority="660" operator="greaterThan">
      <formula>0</formula>
    </cfRule>
  </conditionalFormatting>
  <conditionalFormatting sqref="F706">
    <cfRule type="cellIs" dxfId="657" priority="657" operator="lessThan">
      <formula>0</formula>
    </cfRule>
    <cfRule type="cellIs" dxfId="656" priority="658" operator="greaterThan">
      <formula>0</formula>
    </cfRule>
  </conditionalFormatting>
  <conditionalFormatting sqref="N705">
    <cfRule type="cellIs" dxfId="655" priority="655" operator="lessThan">
      <formula>0</formula>
    </cfRule>
    <cfRule type="cellIs" dxfId="654" priority="656" operator="greaterThan">
      <formula>0</formula>
    </cfRule>
  </conditionalFormatting>
  <conditionalFormatting sqref="F705">
    <cfRule type="cellIs" dxfId="653" priority="653" operator="lessThan">
      <formula>0</formula>
    </cfRule>
    <cfRule type="cellIs" dxfId="652" priority="654" operator="greaterThan">
      <formula>0</formula>
    </cfRule>
  </conditionalFormatting>
  <conditionalFormatting sqref="N704">
    <cfRule type="cellIs" dxfId="651" priority="651" operator="lessThan">
      <formula>0</formula>
    </cfRule>
    <cfRule type="cellIs" dxfId="650" priority="652" operator="greaterThan">
      <formula>0</formula>
    </cfRule>
  </conditionalFormatting>
  <conditionalFormatting sqref="F704">
    <cfRule type="cellIs" dxfId="649" priority="649" operator="lessThan">
      <formula>0</formula>
    </cfRule>
    <cfRule type="cellIs" dxfId="648" priority="650" operator="greaterThan">
      <formula>0</formula>
    </cfRule>
  </conditionalFormatting>
  <conditionalFormatting sqref="N703">
    <cfRule type="cellIs" dxfId="647" priority="647" operator="lessThan">
      <formula>0</formula>
    </cfRule>
    <cfRule type="cellIs" dxfId="646" priority="648" operator="greaterThan">
      <formula>0</formula>
    </cfRule>
  </conditionalFormatting>
  <conditionalFormatting sqref="F703">
    <cfRule type="cellIs" dxfId="645" priority="645" operator="lessThan">
      <formula>0</formula>
    </cfRule>
    <cfRule type="cellIs" dxfId="644" priority="646" operator="greaterThan">
      <formula>0</formula>
    </cfRule>
  </conditionalFormatting>
  <conditionalFormatting sqref="N702">
    <cfRule type="cellIs" dxfId="643" priority="643" operator="lessThan">
      <formula>0</formula>
    </cfRule>
    <cfRule type="cellIs" dxfId="642" priority="644" operator="greaterThan">
      <formula>0</formula>
    </cfRule>
  </conditionalFormatting>
  <conditionalFormatting sqref="F702">
    <cfRule type="cellIs" dxfId="641" priority="641" operator="lessThan">
      <formula>0</formula>
    </cfRule>
    <cfRule type="cellIs" dxfId="640" priority="642" operator="greaterThan">
      <formula>0</formula>
    </cfRule>
  </conditionalFormatting>
  <conditionalFormatting sqref="N701">
    <cfRule type="cellIs" dxfId="639" priority="639" operator="lessThan">
      <formula>0</formula>
    </cfRule>
    <cfRule type="cellIs" dxfId="638" priority="640" operator="greaterThan">
      <formula>0</formula>
    </cfRule>
  </conditionalFormatting>
  <conditionalFormatting sqref="F701">
    <cfRule type="cellIs" dxfId="637" priority="637" operator="lessThan">
      <formula>0</formula>
    </cfRule>
    <cfRule type="cellIs" dxfId="636" priority="638" operator="greaterThan">
      <formula>0</formula>
    </cfRule>
  </conditionalFormatting>
  <conditionalFormatting sqref="N700">
    <cfRule type="cellIs" dxfId="635" priority="635" operator="lessThan">
      <formula>0</formula>
    </cfRule>
    <cfRule type="cellIs" dxfId="634" priority="636" operator="greaterThan">
      <formula>0</formula>
    </cfRule>
  </conditionalFormatting>
  <conditionalFormatting sqref="F700">
    <cfRule type="cellIs" dxfId="633" priority="633" operator="lessThan">
      <formula>0</formula>
    </cfRule>
    <cfRule type="cellIs" dxfId="632" priority="634" operator="greaterThan">
      <formula>0</formula>
    </cfRule>
  </conditionalFormatting>
  <conditionalFormatting sqref="N699">
    <cfRule type="cellIs" dxfId="631" priority="631" operator="lessThan">
      <formula>0</formula>
    </cfRule>
    <cfRule type="cellIs" dxfId="630" priority="632" operator="greaterThan">
      <formula>0</formula>
    </cfRule>
  </conditionalFormatting>
  <conditionalFormatting sqref="F699">
    <cfRule type="cellIs" dxfId="629" priority="629" operator="lessThan">
      <formula>0</formula>
    </cfRule>
    <cfRule type="cellIs" dxfId="628" priority="630" operator="greaterThan">
      <formula>0</formula>
    </cfRule>
  </conditionalFormatting>
  <conditionalFormatting sqref="N698">
    <cfRule type="cellIs" dxfId="627" priority="627" operator="lessThan">
      <formula>0</formula>
    </cfRule>
    <cfRule type="cellIs" dxfId="626" priority="628" operator="greaterThan">
      <formula>0</formula>
    </cfRule>
  </conditionalFormatting>
  <conditionalFormatting sqref="F698">
    <cfRule type="cellIs" dxfId="625" priority="625" operator="lessThan">
      <formula>0</formula>
    </cfRule>
    <cfRule type="cellIs" dxfId="624" priority="626" operator="greaterThan">
      <formula>0</formula>
    </cfRule>
  </conditionalFormatting>
  <conditionalFormatting sqref="N697">
    <cfRule type="cellIs" dxfId="623" priority="623" operator="lessThan">
      <formula>0</formula>
    </cfRule>
    <cfRule type="cellIs" dxfId="622" priority="624" operator="greaterThan">
      <formula>0</formula>
    </cfRule>
  </conditionalFormatting>
  <conditionalFormatting sqref="F697">
    <cfRule type="cellIs" dxfId="621" priority="621" operator="lessThan">
      <formula>0</formula>
    </cfRule>
    <cfRule type="cellIs" dxfId="620" priority="622" operator="greaterThan">
      <formula>0</formula>
    </cfRule>
  </conditionalFormatting>
  <conditionalFormatting sqref="N695:N696">
    <cfRule type="cellIs" dxfId="619" priority="619" operator="lessThan">
      <formula>0</formula>
    </cfRule>
    <cfRule type="cellIs" dxfId="618" priority="620" operator="greaterThan">
      <formula>0</formula>
    </cfRule>
  </conditionalFormatting>
  <conditionalFormatting sqref="F695:F696">
    <cfRule type="cellIs" dxfId="617" priority="617" operator="lessThan">
      <formula>0</formula>
    </cfRule>
    <cfRule type="cellIs" dxfId="616" priority="618" operator="greaterThan">
      <formula>0</formula>
    </cfRule>
  </conditionalFormatting>
  <conditionalFormatting sqref="N694">
    <cfRule type="cellIs" dxfId="615" priority="615" operator="lessThan">
      <formula>0</formula>
    </cfRule>
    <cfRule type="cellIs" dxfId="614" priority="616" operator="greaterThan">
      <formula>0</formula>
    </cfRule>
  </conditionalFormatting>
  <conditionalFormatting sqref="F694">
    <cfRule type="cellIs" dxfId="613" priority="613" operator="lessThan">
      <formula>0</formula>
    </cfRule>
    <cfRule type="cellIs" dxfId="612" priority="614" operator="greaterThan">
      <formula>0</formula>
    </cfRule>
  </conditionalFormatting>
  <conditionalFormatting sqref="N693">
    <cfRule type="cellIs" dxfId="611" priority="611" operator="lessThan">
      <formula>0</formula>
    </cfRule>
    <cfRule type="cellIs" dxfId="610" priority="612" operator="greaterThan">
      <formula>0</formula>
    </cfRule>
  </conditionalFormatting>
  <conditionalFormatting sqref="F693">
    <cfRule type="cellIs" dxfId="609" priority="609" operator="lessThan">
      <formula>0</formula>
    </cfRule>
    <cfRule type="cellIs" dxfId="608" priority="610" operator="greaterThan">
      <formula>0</formula>
    </cfRule>
  </conditionalFormatting>
  <conditionalFormatting sqref="N692">
    <cfRule type="cellIs" dxfId="607" priority="607" operator="lessThan">
      <formula>0</formula>
    </cfRule>
    <cfRule type="cellIs" dxfId="606" priority="608" operator="greaterThan">
      <formula>0</formula>
    </cfRule>
  </conditionalFormatting>
  <conditionalFormatting sqref="F692">
    <cfRule type="cellIs" dxfId="605" priority="605" operator="lessThan">
      <formula>0</formula>
    </cfRule>
    <cfRule type="cellIs" dxfId="604" priority="606" operator="greaterThan">
      <formula>0</formula>
    </cfRule>
  </conditionalFormatting>
  <conditionalFormatting sqref="N691">
    <cfRule type="cellIs" dxfId="603" priority="603" operator="lessThan">
      <formula>0</formula>
    </cfRule>
    <cfRule type="cellIs" dxfId="602" priority="604" operator="greaterThan">
      <formula>0</formula>
    </cfRule>
  </conditionalFormatting>
  <conditionalFormatting sqref="F691">
    <cfRule type="cellIs" dxfId="601" priority="601" operator="lessThan">
      <formula>0</formula>
    </cfRule>
    <cfRule type="cellIs" dxfId="600" priority="602" operator="greaterThan">
      <formula>0</formula>
    </cfRule>
  </conditionalFormatting>
  <conditionalFormatting sqref="N690">
    <cfRule type="cellIs" dxfId="599" priority="599" operator="lessThan">
      <formula>0</formula>
    </cfRule>
    <cfRule type="cellIs" dxfId="598" priority="600" operator="greaterThan">
      <formula>0</formula>
    </cfRule>
  </conditionalFormatting>
  <conditionalFormatting sqref="F690">
    <cfRule type="cellIs" dxfId="597" priority="597" operator="lessThan">
      <formula>0</formula>
    </cfRule>
    <cfRule type="cellIs" dxfId="596" priority="598" operator="greaterThan">
      <formula>0</formula>
    </cfRule>
  </conditionalFormatting>
  <conditionalFormatting sqref="N689">
    <cfRule type="cellIs" dxfId="595" priority="595" operator="lessThan">
      <formula>0</formula>
    </cfRule>
    <cfRule type="cellIs" dxfId="594" priority="596" operator="greaterThan">
      <formula>0</formula>
    </cfRule>
  </conditionalFormatting>
  <conditionalFormatting sqref="F689">
    <cfRule type="cellIs" dxfId="593" priority="593" operator="lessThan">
      <formula>0</formula>
    </cfRule>
    <cfRule type="cellIs" dxfId="592" priority="594" operator="greaterThan">
      <formula>0</formula>
    </cfRule>
  </conditionalFormatting>
  <conditionalFormatting sqref="N688">
    <cfRule type="cellIs" dxfId="591" priority="591" operator="lessThan">
      <formula>0</formula>
    </cfRule>
    <cfRule type="cellIs" dxfId="590" priority="592" operator="greaterThan">
      <formula>0</formula>
    </cfRule>
  </conditionalFormatting>
  <conditionalFormatting sqref="F688">
    <cfRule type="cellIs" dxfId="589" priority="589" operator="lessThan">
      <formula>0</formula>
    </cfRule>
    <cfRule type="cellIs" dxfId="588" priority="590" operator="greaterThan">
      <formula>0</formula>
    </cfRule>
  </conditionalFormatting>
  <conditionalFormatting sqref="N687">
    <cfRule type="cellIs" dxfId="587" priority="587" operator="lessThan">
      <formula>0</formula>
    </cfRule>
    <cfRule type="cellIs" dxfId="586" priority="588" operator="greaterThan">
      <formula>0</formula>
    </cfRule>
  </conditionalFormatting>
  <conditionalFormatting sqref="F687">
    <cfRule type="cellIs" dxfId="585" priority="585" operator="lessThan">
      <formula>0</formula>
    </cfRule>
    <cfRule type="cellIs" dxfId="584" priority="586" operator="greaterThan">
      <formula>0</formula>
    </cfRule>
  </conditionalFormatting>
  <conditionalFormatting sqref="N686">
    <cfRule type="cellIs" dxfId="583" priority="583" operator="lessThan">
      <formula>0</formula>
    </cfRule>
    <cfRule type="cellIs" dxfId="582" priority="584" operator="greaterThan">
      <formula>0</formula>
    </cfRule>
  </conditionalFormatting>
  <conditionalFormatting sqref="F686">
    <cfRule type="cellIs" dxfId="581" priority="581" operator="lessThan">
      <formula>0</formula>
    </cfRule>
    <cfRule type="cellIs" dxfId="580" priority="582" operator="greaterThan">
      <formula>0</formula>
    </cfRule>
  </conditionalFormatting>
  <conditionalFormatting sqref="N685">
    <cfRule type="cellIs" dxfId="579" priority="579" operator="lessThan">
      <formula>0</formula>
    </cfRule>
    <cfRule type="cellIs" dxfId="578" priority="580" operator="greaterThan">
      <formula>0</formula>
    </cfRule>
  </conditionalFormatting>
  <conditionalFormatting sqref="F685">
    <cfRule type="cellIs" dxfId="577" priority="577" operator="lessThan">
      <formula>0</formula>
    </cfRule>
    <cfRule type="cellIs" dxfId="576" priority="578" operator="greaterThan">
      <formula>0</formula>
    </cfRule>
  </conditionalFormatting>
  <conditionalFormatting sqref="N684">
    <cfRule type="cellIs" dxfId="575" priority="575" operator="lessThan">
      <formula>0</formula>
    </cfRule>
    <cfRule type="cellIs" dxfId="574" priority="576" operator="greaterThan">
      <formula>0</formula>
    </cfRule>
  </conditionalFormatting>
  <conditionalFormatting sqref="F684">
    <cfRule type="cellIs" dxfId="573" priority="573" operator="lessThan">
      <formula>0</formula>
    </cfRule>
    <cfRule type="cellIs" dxfId="572" priority="574" operator="greaterThan">
      <formula>0</formula>
    </cfRule>
  </conditionalFormatting>
  <conditionalFormatting sqref="N682:N683">
    <cfRule type="cellIs" dxfId="571" priority="571" operator="lessThan">
      <formula>0</formula>
    </cfRule>
    <cfRule type="cellIs" dxfId="570" priority="572" operator="greaterThan">
      <formula>0</formula>
    </cfRule>
  </conditionalFormatting>
  <conditionalFormatting sqref="F682:F683">
    <cfRule type="cellIs" dxfId="569" priority="569" operator="lessThan">
      <formula>0</formula>
    </cfRule>
    <cfRule type="cellIs" dxfId="568" priority="570" operator="greaterThan">
      <formula>0</formula>
    </cfRule>
  </conditionalFormatting>
  <conditionalFormatting sqref="N681">
    <cfRule type="cellIs" dxfId="567" priority="567" operator="lessThan">
      <formula>0</formula>
    </cfRule>
    <cfRule type="cellIs" dxfId="566" priority="568" operator="greaterThan">
      <formula>0</formula>
    </cfRule>
  </conditionalFormatting>
  <conditionalFormatting sqref="F681">
    <cfRule type="cellIs" dxfId="565" priority="565" operator="lessThan">
      <formula>0</formula>
    </cfRule>
    <cfRule type="cellIs" dxfId="564" priority="566" operator="greaterThan">
      <formula>0</formula>
    </cfRule>
  </conditionalFormatting>
  <conditionalFormatting sqref="N680">
    <cfRule type="cellIs" dxfId="563" priority="563" operator="lessThan">
      <formula>0</formula>
    </cfRule>
    <cfRule type="cellIs" dxfId="562" priority="564" operator="greaterThan">
      <formula>0</formula>
    </cfRule>
  </conditionalFormatting>
  <conditionalFormatting sqref="F680">
    <cfRule type="cellIs" dxfId="561" priority="561" operator="lessThan">
      <formula>0</formula>
    </cfRule>
    <cfRule type="cellIs" dxfId="560" priority="562" operator="greaterThan">
      <formula>0</formula>
    </cfRule>
  </conditionalFormatting>
  <conditionalFormatting sqref="N679">
    <cfRule type="cellIs" dxfId="559" priority="559" operator="lessThan">
      <formula>0</formula>
    </cfRule>
    <cfRule type="cellIs" dxfId="558" priority="560" operator="greaterThan">
      <formula>0</formula>
    </cfRule>
  </conditionalFormatting>
  <conditionalFormatting sqref="F679">
    <cfRule type="cellIs" dxfId="557" priority="557" operator="lessThan">
      <formula>0</formula>
    </cfRule>
    <cfRule type="cellIs" dxfId="556" priority="558" operator="greaterThan">
      <formula>0</formula>
    </cfRule>
  </conditionalFormatting>
  <conditionalFormatting sqref="N678">
    <cfRule type="cellIs" dxfId="555" priority="555" operator="lessThan">
      <formula>0</formula>
    </cfRule>
    <cfRule type="cellIs" dxfId="554" priority="556" operator="greaterThan">
      <formula>0</formula>
    </cfRule>
  </conditionalFormatting>
  <conditionalFormatting sqref="F678">
    <cfRule type="cellIs" dxfId="553" priority="553" operator="lessThan">
      <formula>0</formula>
    </cfRule>
    <cfRule type="cellIs" dxfId="552" priority="554" operator="greaterThan">
      <formula>0</formula>
    </cfRule>
  </conditionalFormatting>
  <conditionalFormatting sqref="N677">
    <cfRule type="cellIs" dxfId="551" priority="551" operator="lessThan">
      <formula>0</formula>
    </cfRule>
    <cfRule type="cellIs" dxfId="550" priority="552" operator="greaterThan">
      <formula>0</formula>
    </cfRule>
  </conditionalFormatting>
  <conditionalFormatting sqref="F677">
    <cfRule type="cellIs" dxfId="549" priority="549" operator="lessThan">
      <formula>0</formula>
    </cfRule>
    <cfRule type="cellIs" dxfId="548" priority="550" operator="greaterThan">
      <formula>0</formula>
    </cfRule>
  </conditionalFormatting>
  <conditionalFormatting sqref="N676">
    <cfRule type="cellIs" dxfId="547" priority="547" operator="lessThan">
      <formula>0</formula>
    </cfRule>
    <cfRule type="cellIs" dxfId="546" priority="548" operator="greaterThan">
      <formula>0</formula>
    </cfRule>
  </conditionalFormatting>
  <conditionalFormatting sqref="F676">
    <cfRule type="cellIs" dxfId="545" priority="545" operator="lessThan">
      <formula>0</formula>
    </cfRule>
    <cfRule type="cellIs" dxfId="544" priority="546" operator="greaterThan">
      <formula>0</formula>
    </cfRule>
  </conditionalFormatting>
  <conditionalFormatting sqref="N675">
    <cfRule type="cellIs" dxfId="543" priority="543" operator="lessThan">
      <formula>0</formula>
    </cfRule>
    <cfRule type="cellIs" dxfId="542" priority="544" operator="greaterThan">
      <formula>0</formula>
    </cfRule>
  </conditionalFormatting>
  <conditionalFormatting sqref="F675">
    <cfRule type="cellIs" dxfId="541" priority="541" operator="lessThan">
      <formula>0</formula>
    </cfRule>
    <cfRule type="cellIs" dxfId="540" priority="542" operator="greaterThan">
      <formula>0</formula>
    </cfRule>
  </conditionalFormatting>
  <conditionalFormatting sqref="N674">
    <cfRule type="cellIs" dxfId="539" priority="539" operator="lessThan">
      <formula>0</formula>
    </cfRule>
    <cfRule type="cellIs" dxfId="538" priority="540" operator="greaterThan">
      <formula>0</formula>
    </cfRule>
  </conditionalFormatting>
  <conditionalFormatting sqref="F674">
    <cfRule type="cellIs" dxfId="537" priority="537" operator="lessThan">
      <formula>0</formula>
    </cfRule>
    <cfRule type="cellIs" dxfId="536" priority="538" operator="greaterThan">
      <formula>0</formula>
    </cfRule>
  </conditionalFormatting>
  <conditionalFormatting sqref="N673">
    <cfRule type="cellIs" dxfId="535" priority="535" operator="lessThan">
      <formula>0</formula>
    </cfRule>
    <cfRule type="cellIs" dxfId="534" priority="536" operator="greaterThan">
      <formula>0</formula>
    </cfRule>
  </conditionalFormatting>
  <conditionalFormatting sqref="F673">
    <cfRule type="cellIs" dxfId="533" priority="533" operator="lessThan">
      <formula>0</formula>
    </cfRule>
    <cfRule type="cellIs" dxfId="532" priority="534" operator="greaterThan">
      <formula>0</formula>
    </cfRule>
  </conditionalFormatting>
  <conditionalFormatting sqref="N672">
    <cfRule type="cellIs" dxfId="531" priority="531" operator="lessThan">
      <formula>0</formula>
    </cfRule>
    <cfRule type="cellIs" dxfId="530" priority="532" operator="greaterThan">
      <formula>0</formula>
    </cfRule>
  </conditionalFormatting>
  <conditionalFormatting sqref="F672">
    <cfRule type="cellIs" dxfId="529" priority="529" operator="lessThan">
      <formula>0</formula>
    </cfRule>
    <cfRule type="cellIs" dxfId="528" priority="530" operator="greaterThan">
      <formula>0</formula>
    </cfRule>
  </conditionalFormatting>
  <conditionalFormatting sqref="N671">
    <cfRule type="cellIs" dxfId="527" priority="527" operator="lessThan">
      <formula>0</formula>
    </cfRule>
    <cfRule type="cellIs" dxfId="526" priority="528" operator="greaterThan">
      <formula>0</formula>
    </cfRule>
  </conditionalFormatting>
  <conditionalFormatting sqref="F671">
    <cfRule type="cellIs" dxfId="525" priority="525" operator="lessThan">
      <formula>0</formula>
    </cfRule>
    <cfRule type="cellIs" dxfId="524" priority="526" operator="greaterThan">
      <formula>0</formula>
    </cfRule>
  </conditionalFormatting>
  <conditionalFormatting sqref="N669:N670">
    <cfRule type="cellIs" dxfId="523" priority="523" operator="lessThan">
      <formula>0</formula>
    </cfRule>
    <cfRule type="cellIs" dxfId="522" priority="524" operator="greaterThan">
      <formula>0</formula>
    </cfRule>
  </conditionalFormatting>
  <conditionalFormatting sqref="F669:F670">
    <cfRule type="cellIs" dxfId="521" priority="521" operator="lessThan">
      <formula>0</formula>
    </cfRule>
    <cfRule type="cellIs" dxfId="520" priority="522" operator="greaterThan">
      <formula>0</formula>
    </cfRule>
  </conditionalFormatting>
  <conditionalFormatting sqref="N668">
    <cfRule type="cellIs" dxfId="519" priority="519" operator="lessThan">
      <formula>0</formula>
    </cfRule>
    <cfRule type="cellIs" dxfId="518" priority="520" operator="greaterThan">
      <formula>0</formula>
    </cfRule>
  </conditionalFormatting>
  <conditionalFormatting sqref="F668">
    <cfRule type="cellIs" dxfId="517" priority="517" operator="lessThan">
      <formula>0</formula>
    </cfRule>
    <cfRule type="cellIs" dxfId="516" priority="518" operator="greaterThan">
      <formula>0</formula>
    </cfRule>
  </conditionalFormatting>
  <conditionalFormatting sqref="N667">
    <cfRule type="cellIs" dxfId="515" priority="515" operator="lessThan">
      <formula>0</formula>
    </cfRule>
    <cfRule type="cellIs" dxfId="514" priority="516" operator="greaterThan">
      <formula>0</formula>
    </cfRule>
  </conditionalFormatting>
  <conditionalFormatting sqref="F667">
    <cfRule type="cellIs" dxfId="513" priority="513" operator="lessThan">
      <formula>0</formula>
    </cfRule>
    <cfRule type="cellIs" dxfId="512" priority="514" operator="greaterThan">
      <formula>0</formula>
    </cfRule>
  </conditionalFormatting>
  <conditionalFormatting sqref="N666">
    <cfRule type="cellIs" dxfId="511" priority="511" operator="lessThan">
      <formula>0</formula>
    </cfRule>
    <cfRule type="cellIs" dxfId="510" priority="512" operator="greaterThan">
      <formula>0</formula>
    </cfRule>
  </conditionalFormatting>
  <conditionalFormatting sqref="F666">
    <cfRule type="cellIs" dxfId="509" priority="509" operator="lessThan">
      <formula>0</formula>
    </cfRule>
    <cfRule type="cellIs" dxfId="508" priority="510" operator="greaterThan">
      <formula>0</formula>
    </cfRule>
  </conditionalFormatting>
  <conditionalFormatting sqref="N665">
    <cfRule type="cellIs" dxfId="507" priority="507" operator="lessThan">
      <formula>0</formula>
    </cfRule>
    <cfRule type="cellIs" dxfId="506" priority="508" operator="greaterThan">
      <formula>0</formula>
    </cfRule>
  </conditionalFormatting>
  <conditionalFormatting sqref="F665">
    <cfRule type="cellIs" dxfId="505" priority="505" operator="lessThan">
      <formula>0</formula>
    </cfRule>
    <cfRule type="cellIs" dxfId="504" priority="506" operator="greaterThan">
      <formula>0</formula>
    </cfRule>
  </conditionalFormatting>
  <conditionalFormatting sqref="N664">
    <cfRule type="cellIs" dxfId="503" priority="503" operator="lessThan">
      <formula>0</formula>
    </cfRule>
    <cfRule type="cellIs" dxfId="502" priority="504" operator="greaterThan">
      <formula>0</formula>
    </cfRule>
  </conditionalFormatting>
  <conditionalFormatting sqref="F664">
    <cfRule type="cellIs" dxfId="501" priority="501" operator="lessThan">
      <formula>0</formula>
    </cfRule>
    <cfRule type="cellIs" dxfId="500" priority="502" operator="greaterThan">
      <formula>0</formula>
    </cfRule>
  </conditionalFormatting>
  <conditionalFormatting sqref="N663">
    <cfRule type="cellIs" dxfId="499" priority="499" operator="lessThan">
      <formula>0</formula>
    </cfRule>
    <cfRule type="cellIs" dxfId="498" priority="500" operator="greaterThan">
      <formula>0</formula>
    </cfRule>
  </conditionalFormatting>
  <conditionalFormatting sqref="F663">
    <cfRule type="cellIs" dxfId="497" priority="497" operator="lessThan">
      <formula>0</formula>
    </cfRule>
    <cfRule type="cellIs" dxfId="496" priority="498" operator="greaterThan">
      <formula>0</formula>
    </cfRule>
  </conditionalFormatting>
  <conditionalFormatting sqref="N662">
    <cfRule type="cellIs" dxfId="495" priority="495" operator="lessThan">
      <formula>0</formula>
    </cfRule>
    <cfRule type="cellIs" dxfId="494" priority="496" operator="greaterThan">
      <formula>0</formula>
    </cfRule>
  </conditionalFormatting>
  <conditionalFormatting sqref="F662">
    <cfRule type="cellIs" dxfId="493" priority="493" operator="lessThan">
      <formula>0</formula>
    </cfRule>
    <cfRule type="cellIs" dxfId="492" priority="494" operator="greaterThan">
      <formula>0</formula>
    </cfRule>
  </conditionalFormatting>
  <conditionalFormatting sqref="N661">
    <cfRule type="cellIs" dxfId="491" priority="491" operator="lessThan">
      <formula>0</formula>
    </cfRule>
    <cfRule type="cellIs" dxfId="490" priority="492" operator="greaterThan">
      <formula>0</formula>
    </cfRule>
  </conditionalFormatting>
  <conditionalFormatting sqref="F661">
    <cfRule type="cellIs" dxfId="489" priority="489" operator="lessThan">
      <formula>0</formula>
    </cfRule>
    <cfRule type="cellIs" dxfId="488" priority="490" operator="greaterThan">
      <formula>0</formula>
    </cfRule>
  </conditionalFormatting>
  <conditionalFormatting sqref="N660">
    <cfRule type="cellIs" dxfId="487" priority="487" operator="lessThan">
      <formula>0</formula>
    </cfRule>
    <cfRule type="cellIs" dxfId="486" priority="488" operator="greaterThan">
      <formula>0</formula>
    </cfRule>
  </conditionalFormatting>
  <conditionalFormatting sqref="F660">
    <cfRule type="cellIs" dxfId="485" priority="485" operator="lessThan">
      <formula>0</formula>
    </cfRule>
    <cfRule type="cellIs" dxfId="484" priority="486" operator="greaterThan">
      <formula>0</formula>
    </cfRule>
  </conditionalFormatting>
  <conditionalFormatting sqref="N659">
    <cfRule type="cellIs" dxfId="483" priority="483" operator="lessThan">
      <formula>0</formula>
    </cfRule>
    <cfRule type="cellIs" dxfId="482" priority="484" operator="greaterThan">
      <formula>0</formula>
    </cfRule>
  </conditionalFormatting>
  <conditionalFormatting sqref="F659">
    <cfRule type="cellIs" dxfId="481" priority="481" operator="lessThan">
      <formula>0</formula>
    </cfRule>
    <cfRule type="cellIs" dxfId="480" priority="482" operator="greaterThan">
      <formula>0</formula>
    </cfRule>
  </conditionalFormatting>
  <conditionalFormatting sqref="N658">
    <cfRule type="cellIs" dxfId="479" priority="479" operator="lessThan">
      <formula>0</formula>
    </cfRule>
    <cfRule type="cellIs" dxfId="478" priority="480" operator="greaterThan">
      <formula>0</formula>
    </cfRule>
  </conditionalFormatting>
  <conditionalFormatting sqref="F658">
    <cfRule type="cellIs" dxfId="477" priority="477" operator="lessThan">
      <formula>0</formula>
    </cfRule>
    <cfRule type="cellIs" dxfId="476" priority="478" operator="greaterThan">
      <formula>0</formula>
    </cfRule>
  </conditionalFormatting>
  <conditionalFormatting sqref="N656:N657">
    <cfRule type="cellIs" dxfId="475" priority="475" operator="lessThan">
      <formula>0</formula>
    </cfRule>
    <cfRule type="cellIs" dxfId="474" priority="476" operator="greaterThan">
      <formula>0</formula>
    </cfRule>
  </conditionalFormatting>
  <conditionalFormatting sqref="F656:F657">
    <cfRule type="cellIs" dxfId="473" priority="473" operator="lessThan">
      <formula>0</formula>
    </cfRule>
    <cfRule type="cellIs" dxfId="472" priority="474" operator="greaterThan">
      <formula>0</formula>
    </cfRule>
  </conditionalFormatting>
  <conditionalFormatting sqref="N655">
    <cfRule type="cellIs" dxfId="471" priority="471" operator="lessThan">
      <formula>0</formula>
    </cfRule>
    <cfRule type="cellIs" dxfId="470" priority="472" operator="greaterThan">
      <formula>0</formula>
    </cfRule>
  </conditionalFormatting>
  <conditionalFormatting sqref="F655">
    <cfRule type="cellIs" dxfId="469" priority="469" operator="lessThan">
      <formula>0</formula>
    </cfRule>
    <cfRule type="cellIs" dxfId="468" priority="470" operator="greaterThan">
      <formula>0</formula>
    </cfRule>
  </conditionalFormatting>
  <conditionalFormatting sqref="N654">
    <cfRule type="cellIs" dxfId="467" priority="467" operator="lessThan">
      <formula>0</formula>
    </cfRule>
    <cfRule type="cellIs" dxfId="466" priority="468" operator="greaterThan">
      <formula>0</formula>
    </cfRule>
  </conditionalFormatting>
  <conditionalFormatting sqref="F654">
    <cfRule type="cellIs" dxfId="465" priority="465" operator="lessThan">
      <formula>0</formula>
    </cfRule>
    <cfRule type="cellIs" dxfId="464" priority="466" operator="greaterThan">
      <formula>0</formula>
    </cfRule>
  </conditionalFormatting>
  <conditionalFormatting sqref="N653">
    <cfRule type="cellIs" dxfId="463" priority="463" operator="lessThan">
      <formula>0</formula>
    </cfRule>
    <cfRule type="cellIs" dxfId="462" priority="464" operator="greaterThan">
      <formula>0</formula>
    </cfRule>
  </conditionalFormatting>
  <conditionalFormatting sqref="F653">
    <cfRule type="cellIs" dxfId="461" priority="461" operator="lessThan">
      <formula>0</formula>
    </cfRule>
    <cfRule type="cellIs" dxfId="460" priority="462" operator="greaterThan">
      <formula>0</formula>
    </cfRule>
  </conditionalFormatting>
  <conditionalFormatting sqref="N652">
    <cfRule type="cellIs" dxfId="459" priority="459" operator="lessThan">
      <formula>0</formula>
    </cfRule>
    <cfRule type="cellIs" dxfId="458" priority="460" operator="greaterThan">
      <formula>0</formula>
    </cfRule>
  </conditionalFormatting>
  <conditionalFormatting sqref="F652">
    <cfRule type="cellIs" dxfId="457" priority="457" operator="lessThan">
      <formula>0</formula>
    </cfRule>
    <cfRule type="cellIs" dxfId="456" priority="458" operator="greaterThan">
      <formula>0</formula>
    </cfRule>
  </conditionalFormatting>
  <conditionalFormatting sqref="N651">
    <cfRule type="cellIs" dxfId="455" priority="455" operator="lessThan">
      <formula>0</formula>
    </cfRule>
    <cfRule type="cellIs" dxfId="454" priority="456" operator="greaterThan">
      <formula>0</formula>
    </cfRule>
  </conditionalFormatting>
  <conditionalFormatting sqref="F651">
    <cfRule type="cellIs" dxfId="453" priority="453" operator="lessThan">
      <formula>0</formula>
    </cfRule>
    <cfRule type="cellIs" dxfId="452" priority="454" operator="greaterThan">
      <formula>0</formula>
    </cfRule>
  </conditionalFormatting>
  <conditionalFormatting sqref="N650">
    <cfRule type="cellIs" dxfId="451" priority="451" operator="lessThan">
      <formula>0</formula>
    </cfRule>
    <cfRule type="cellIs" dxfId="450" priority="452" operator="greaterThan">
      <formula>0</formula>
    </cfRule>
  </conditionalFormatting>
  <conditionalFormatting sqref="F650">
    <cfRule type="cellIs" dxfId="449" priority="449" operator="lessThan">
      <formula>0</formula>
    </cfRule>
    <cfRule type="cellIs" dxfId="448" priority="450" operator="greaterThan">
      <formula>0</formula>
    </cfRule>
  </conditionalFormatting>
  <conditionalFormatting sqref="N649">
    <cfRule type="cellIs" dxfId="447" priority="447" operator="lessThan">
      <formula>0</formula>
    </cfRule>
    <cfRule type="cellIs" dxfId="446" priority="448" operator="greaterThan">
      <formula>0</formula>
    </cfRule>
  </conditionalFormatting>
  <conditionalFormatting sqref="F649">
    <cfRule type="cellIs" dxfId="445" priority="445" operator="lessThan">
      <formula>0</formula>
    </cfRule>
    <cfRule type="cellIs" dxfId="444" priority="446" operator="greaterThan">
      <formula>0</formula>
    </cfRule>
  </conditionalFormatting>
  <conditionalFormatting sqref="N648">
    <cfRule type="cellIs" dxfId="443" priority="443" operator="lessThan">
      <formula>0</formula>
    </cfRule>
    <cfRule type="cellIs" dxfId="442" priority="444" operator="greaterThan">
      <formula>0</formula>
    </cfRule>
  </conditionalFormatting>
  <conditionalFormatting sqref="F648">
    <cfRule type="cellIs" dxfId="441" priority="441" operator="lessThan">
      <formula>0</formula>
    </cfRule>
    <cfRule type="cellIs" dxfId="440" priority="442" operator="greaterThan">
      <formula>0</formula>
    </cfRule>
  </conditionalFormatting>
  <conditionalFormatting sqref="N647">
    <cfRule type="cellIs" dxfId="439" priority="439" operator="lessThan">
      <formula>0</formula>
    </cfRule>
    <cfRule type="cellIs" dxfId="438" priority="440" operator="greaterThan">
      <formula>0</formula>
    </cfRule>
  </conditionalFormatting>
  <conditionalFormatting sqref="F647">
    <cfRule type="cellIs" dxfId="437" priority="437" operator="lessThan">
      <formula>0</formula>
    </cfRule>
    <cfRule type="cellIs" dxfId="436" priority="438" operator="greaterThan">
      <formula>0</formula>
    </cfRule>
  </conditionalFormatting>
  <conditionalFormatting sqref="N646">
    <cfRule type="cellIs" dxfId="435" priority="435" operator="lessThan">
      <formula>0</formula>
    </cfRule>
    <cfRule type="cellIs" dxfId="434" priority="436" operator="greaterThan">
      <formula>0</formula>
    </cfRule>
  </conditionalFormatting>
  <conditionalFormatting sqref="F646">
    <cfRule type="cellIs" dxfId="433" priority="433" operator="lessThan">
      <formula>0</formula>
    </cfRule>
    <cfRule type="cellIs" dxfId="432" priority="434" operator="greaterThan">
      <formula>0</formula>
    </cfRule>
  </conditionalFormatting>
  <conditionalFormatting sqref="N645">
    <cfRule type="cellIs" dxfId="431" priority="431" operator="lessThan">
      <formula>0</formula>
    </cfRule>
    <cfRule type="cellIs" dxfId="430" priority="432" operator="greaterThan">
      <formula>0</formula>
    </cfRule>
  </conditionalFormatting>
  <conditionalFormatting sqref="F645">
    <cfRule type="cellIs" dxfId="429" priority="429" operator="lessThan">
      <formula>0</formula>
    </cfRule>
    <cfRule type="cellIs" dxfId="428" priority="430" operator="greaterThan">
      <formula>0</formula>
    </cfRule>
  </conditionalFormatting>
  <conditionalFormatting sqref="N643:N644">
    <cfRule type="cellIs" dxfId="427" priority="427" operator="lessThan">
      <formula>0</formula>
    </cfRule>
    <cfRule type="cellIs" dxfId="426" priority="428" operator="greaterThan">
      <formula>0</formula>
    </cfRule>
  </conditionalFormatting>
  <conditionalFormatting sqref="F643:F644">
    <cfRule type="cellIs" dxfId="425" priority="425" operator="lessThan">
      <formula>0</formula>
    </cfRule>
    <cfRule type="cellIs" dxfId="424" priority="426" operator="greaterThan">
      <formula>0</formula>
    </cfRule>
  </conditionalFormatting>
  <conditionalFormatting sqref="N642">
    <cfRule type="cellIs" dxfId="423" priority="423" operator="lessThan">
      <formula>0</formula>
    </cfRule>
    <cfRule type="cellIs" dxfId="422" priority="424" operator="greaterThan">
      <formula>0</formula>
    </cfRule>
  </conditionalFormatting>
  <conditionalFormatting sqref="F642">
    <cfRule type="cellIs" dxfId="421" priority="421" operator="lessThan">
      <formula>0</formula>
    </cfRule>
    <cfRule type="cellIs" dxfId="420" priority="422" operator="greaterThan">
      <formula>0</formula>
    </cfRule>
  </conditionalFormatting>
  <conditionalFormatting sqref="N641">
    <cfRule type="cellIs" dxfId="419" priority="419" operator="lessThan">
      <formula>0</formula>
    </cfRule>
    <cfRule type="cellIs" dxfId="418" priority="420" operator="greaterThan">
      <formula>0</formula>
    </cfRule>
  </conditionalFormatting>
  <conditionalFormatting sqref="F641">
    <cfRule type="cellIs" dxfId="417" priority="417" operator="lessThan">
      <formula>0</formula>
    </cfRule>
    <cfRule type="cellIs" dxfId="416" priority="418" operator="greaterThan">
      <formula>0</formula>
    </cfRule>
  </conditionalFormatting>
  <conditionalFormatting sqref="N640">
    <cfRule type="cellIs" dxfId="415" priority="415" operator="lessThan">
      <formula>0</formula>
    </cfRule>
    <cfRule type="cellIs" dxfId="414" priority="416" operator="greaterThan">
      <formula>0</formula>
    </cfRule>
  </conditionalFormatting>
  <conditionalFormatting sqref="F640">
    <cfRule type="cellIs" dxfId="413" priority="413" operator="lessThan">
      <formula>0</formula>
    </cfRule>
    <cfRule type="cellIs" dxfId="412" priority="414" operator="greaterThan">
      <formula>0</formula>
    </cfRule>
  </conditionalFormatting>
  <conditionalFormatting sqref="N639">
    <cfRule type="cellIs" dxfId="411" priority="411" operator="lessThan">
      <formula>0</formula>
    </cfRule>
    <cfRule type="cellIs" dxfId="410" priority="412" operator="greaterThan">
      <formula>0</formula>
    </cfRule>
  </conditionalFormatting>
  <conditionalFormatting sqref="F639">
    <cfRule type="cellIs" dxfId="409" priority="409" operator="lessThan">
      <formula>0</formula>
    </cfRule>
    <cfRule type="cellIs" dxfId="408" priority="410" operator="greaterThan">
      <formula>0</formula>
    </cfRule>
  </conditionalFormatting>
  <conditionalFormatting sqref="N638">
    <cfRule type="cellIs" dxfId="407" priority="407" operator="lessThan">
      <formula>0</formula>
    </cfRule>
    <cfRule type="cellIs" dxfId="406" priority="408" operator="greaterThan">
      <formula>0</formula>
    </cfRule>
  </conditionalFormatting>
  <conditionalFormatting sqref="F638">
    <cfRule type="cellIs" dxfId="405" priority="405" operator="lessThan">
      <formula>0</formula>
    </cfRule>
    <cfRule type="cellIs" dxfId="404" priority="406" operator="greaterThan">
      <formula>0</formula>
    </cfRule>
  </conditionalFormatting>
  <conditionalFormatting sqref="N637">
    <cfRule type="cellIs" dxfId="403" priority="403" operator="lessThan">
      <formula>0</formula>
    </cfRule>
    <cfRule type="cellIs" dxfId="402" priority="404" operator="greaterThan">
      <formula>0</formula>
    </cfRule>
  </conditionalFormatting>
  <conditionalFormatting sqref="F637">
    <cfRule type="cellIs" dxfId="401" priority="401" operator="lessThan">
      <formula>0</formula>
    </cfRule>
    <cfRule type="cellIs" dxfId="400" priority="402" operator="greaterThan">
      <formula>0</formula>
    </cfRule>
  </conditionalFormatting>
  <conditionalFormatting sqref="N636">
    <cfRule type="cellIs" dxfId="399" priority="399" operator="lessThan">
      <formula>0</formula>
    </cfRule>
    <cfRule type="cellIs" dxfId="398" priority="400" operator="greaterThan">
      <formula>0</formula>
    </cfRule>
  </conditionalFormatting>
  <conditionalFormatting sqref="F636">
    <cfRule type="cellIs" dxfId="397" priority="397" operator="lessThan">
      <formula>0</formula>
    </cfRule>
    <cfRule type="cellIs" dxfId="396" priority="398" operator="greaterThan">
      <formula>0</formula>
    </cfRule>
  </conditionalFormatting>
  <conditionalFormatting sqref="N635">
    <cfRule type="cellIs" dxfId="395" priority="395" operator="lessThan">
      <formula>0</formula>
    </cfRule>
    <cfRule type="cellIs" dxfId="394" priority="396" operator="greaterThan">
      <formula>0</formula>
    </cfRule>
  </conditionalFormatting>
  <conditionalFormatting sqref="F635">
    <cfRule type="cellIs" dxfId="393" priority="393" operator="lessThan">
      <formula>0</formula>
    </cfRule>
    <cfRule type="cellIs" dxfId="392" priority="394" operator="greaterThan">
      <formula>0</formula>
    </cfRule>
  </conditionalFormatting>
  <conditionalFormatting sqref="N634">
    <cfRule type="cellIs" dxfId="391" priority="391" operator="lessThan">
      <formula>0</formula>
    </cfRule>
    <cfRule type="cellIs" dxfId="390" priority="392" operator="greaterThan">
      <formula>0</formula>
    </cfRule>
  </conditionalFormatting>
  <conditionalFormatting sqref="F634">
    <cfRule type="cellIs" dxfId="389" priority="389" operator="lessThan">
      <formula>0</formula>
    </cfRule>
    <cfRule type="cellIs" dxfId="388" priority="390" operator="greaterThan">
      <formula>0</formula>
    </cfRule>
  </conditionalFormatting>
  <conditionalFormatting sqref="N633">
    <cfRule type="cellIs" dxfId="387" priority="387" operator="lessThan">
      <formula>0</formula>
    </cfRule>
    <cfRule type="cellIs" dxfId="386" priority="388" operator="greaterThan">
      <formula>0</formula>
    </cfRule>
  </conditionalFormatting>
  <conditionalFormatting sqref="F633">
    <cfRule type="cellIs" dxfId="385" priority="385" operator="lessThan">
      <formula>0</formula>
    </cfRule>
    <cfRule type="cellIs" dxfId="384" priority="386" operator="greaterThan">
      <formula>0</formula>
    </cfRule>
  </conditionalFormatting>
  <conditionalFormatting sqref="N632">
    <cfRule type="cellIs" dxfId="383" priority="383" operator="lessThan">
      <formula>0</formula>
    </cfRule>
    <cfRule type="cellIs" dxfId="382" priority="384" operator="greaterThan">
      <formula>0</formula>
    </cfRule>
  </conditionalFormatting>
  <conditionalFormatting sqref="F632">
    <cfRule type="cellIs" dxfId="381" priority="381" operator="lessThan">
      <formula>0</formula>
    </cfRule>
    <cfRule type="cellIs" dxfId="380" priority="382" operator="greaterThan">
      <formula>0</formula>
    </cfRule>
  </conditionalFormatting>
  <conditionalFormatting sqref="N630:N631">
    <cfRule type="cellIs" dxfId="379" priority="379" operator="lessThan">
      <formula>0</formula>
    </cfRule>
    <cfRule type="cellIs" dxfId="378" priority="380" operator="greaterThan">
      <formula>0</formula>
    </cfRule>
  </conditionalFormatting>
  <conditionalFormatting sqref="F630:F631">
    <cfRule type="cellIs" dxfId="377" priority="377" operator="lessThan">
      <formula>0</formula>
    </cfRule>
    <cfRule type="cellIs" dxfId="376" priority="378" operator="greaterThan">
      <formula>0</formula>
    </cfRule>
  </conditionalFormatting>
  <conditionalFormatting sqref="N629">
    <cfRule type="cellIs" dxfId="375" priority="375" operator="lessThan">
      <formula>0</formula>
    </cfRule>
    <cfRule type="cellIs" dxfId="374" priority="376" operator="greaterThan">
      <formula>0</formula>
    </cfRule>
  </conditionalFormatting>
  <conditionalFormatting sqref="F629">
    <cfRule type="cellIs" dxfId="373" priority="373" operator="lessThan">
      <formula>0</formula>
    </cfRule>
    <cfRule type="cellIs" dxfId="372" priority="374" operator="greaterThan">
      <formula>0</formula>
    </cfRule>
  </conditionalFormatting>
  <conditionalFormatting sqref="N628">
    <cfRule type="cellIs" dxfId="371" priority="371" operator="lessThan">
      <formula>0</formula>
    </cfRule>
    <cfRule type="cellIs" dxfId="370" priority="372" operator="greaterThan">
      <formula>0</formula>
    </cfRule>
  </conditionalFormatting>
  <conditionalFormatting sqref="F628">
    <cfRule type="cellIs" dxfId="369" priority="369" operator="lessThan">
      <formula>0</formula>
    </cfRule>
    <cfRule type="cellIs" dxfId="368" priority="370" operator="greaterThan">
      <formula>0</formula>
    </cfRule>
  </conditionalFormatting>
  <conditionalFormatting sqref="N627">
    <cfRule type="cellIs" dxfId="367" priority="367" operator="lessThan">
      <formula>0</formula>
    </cfRule>
    <cfRule type="cellIs" dxfId="366" priority="368" operator="greaterThan">
      <formula>0</formula>
    </cfRule>
  </conditionalFormatting>
  <conditionalFormatting sqref="F627">
    <cfRule type="cellIs" dxfId="365" priority="365" operator="lessThan">
      <formula>0</formula>
    </cfRule>
    <cfRule type="cellIs" dxfId="364" priority="366" operator="greaterThan">
      <formula>0</formula>
    </cfRule>
  </conditionalFormatting>
  <conditionalFormatting sqref="N626">
    <cfRule type="cellIs" dxfId="363" priority="363" operator="lessThan">
      <formula>0</formula>
    </cfRule>
    <cfRule type="cellIs" dxfId="362" priority="364" operator="greaterThan">
      <formula>0</formula>
    </cfRule>
  </conditionalFormatting>
  <conditionalFormatting sqref="F626">
    <cfRule type="cellIs" dxfId="361" priority="361" operator="lessThan">
      <formula>0</formula>
    </cfRule>
    <cfRule type="cellIs" dxfId="360" priority="362" operator="greaterThan">
      <formula>0</formula>
    </cfRule>
  </conditionalFormatting>
  <conditionalFormatting sqref="N625">
    <cfRule type="cellIs" dxfId="359" priority="359" operator="lessThan">
      <formula>0</formula>
    </cfRule>
    <cfRule type="cellIs" dxfId="358" priority="360" operator="greaterThan">
      <formula>0</formula>
    </cfRule>
  </conditionalFormatting>
  <conditionalFormatting sqref="F625">
    <cfRule type="cellIs" dxfId="357" priority="357" operator="lessThan">
      <formula>0</formula>
    </cfRule>
    <cfRule type="cellIs" dxfId="356" priority="358" operator="greaterThan">
      <formula>0</formula>
    </cfRule>
  </conditionalFormatting>
  <conditionalFormatting sqref="N624">
    <cfRule type="cellIs" dxfId="355" priority="355" operator="lessThan">
      <formula>0</formula>
    </cfRule>
    <cfRule type="cellIs" dxfId="354" priority="356" operator="greaterThan">
      <formula>0</formula>
    </cfRule>
  </conditionalFormatting>
  <conditionalFormatting sqref="F624">
    <cfRule type="cellIs" dxfId="353" priority="353" operator="lessThan">
      <formula>0</formula>
    </cfRule>
    <cfRule type="cellIs" dxfId="352" priority="354" operator="greaterThan">
      <formula>0</formula>
    </cfRule>
  </conditionalFormatting>
  <conditionalFormatting sqref="N623">
    <cfRule type="cellIs" dxfId="351" priority="351" operator="lessThan">
      <formula>0</formula>
    </cfRule>
    <cfRule type="cellIs" dxfId="350" priority="352" operator="greaterThan">
      <formula>0</formula>
    </cfRule>
  </conditionalFormatting>
  <conditionalFormatting sqref="F623">
    <cfRule type="cellIs" dxfId="349" priority="349" operator="lessThan">
      <formula>0</formula>
    </cfRule>
    <cfRule type="cellIs" dxfId="348" priority="350" operator="greaterThan">
      <formula>0</formula>
    </cfRule>
  </conditionalFormatting>
  <conditionalFormatting sqref="N622">
    <cfRule type="cellIs" dxfId="347" priority="347" operator="lessThan">
      <formula>0</formula>
    </cfRule>
    <cfRule type="cellIs" dxfId="346" priority="348" operator="greaterThan">
      <formula>0</formula>
    </cfRule>
  </conditionalFormatting>
  <conditionalFormatting sqref="F622">
    <cfRule type="cellIs" dxfId="345" priority="345" operator="lessThan">
      <formula>0</formula>
    </cfRule>
    <cfRule type="cellIs" dxfId="344" priority="346" operator="greaterThan">
      <formula>0</formula>
    </cfRule>
  </conditionalFormatting>
  <conditionalFormatting sqref="N621">
    <cfRule type="cellIs" dxfId="343" priority="343" operator="lessThan">
      <formula>0</formula>
    </cfRule>
    <cfRule type="cellIs" dxfId="342" priority="344" operator="greaterThan">
      <formula>0</formula>
    </cfRule>
  </conditionalFormatting>
  <conditionalFormatting sqref="F621">
    <cfRule type="cellIs" dxfId="341" priority="341" operator="lessThan">
      <formula>0</formula>
    </cfRule>
    <cfRule type="cellIs" dxfId="340" priority="342" operator="greaterThan">
      <formula>0</formula>
    </cfRule>
  </conditionalFormatting>
  <conditionalFormatting sqref="N620">
    <cfRule type="cellIs" dxfId="339" priority="339" operator="lessThan">
      <formula>0</formula>
    </cfRule>
    <cfRule type="cellIs" dxfId="338" priority="340" operator="greaterThan">
      <formula>0</formula>
    </cfRule>
  </conditionalFormatting>
  <conditionalFormatting sqref="F620">
    <cfRule type="cellIs" dxfId="337" priority="337" operator="lessThan">
      <formula>0</formula>
    </cfRule>
    <cfRule type="cellIs" dxfId="336" priority="338" operator="greaterThan">
      <formula>0</formula>
    </cfRule>
  </conditionalFormatting>
  <conditionalFormatting sqref="N619">
    <cfRule type="cellIs" dxfId="335" priority="335" operator="lessThan">
      <formula>0</formula>
    </cfRule>
    <cfRule type="cellIs" dxfId="334" priority="336" operator="greaterThan">
      <formula>0</formula>
    </cfRule>
  </conditionalFormatting>
  <conditionalFormatting sqref="F619">
    <cfRule type="cellIs" dxfId="333" priority="333" operator="lessThan">
      <formula>0</formula>
    </cfRule>
    <cfRule type="cellIs" dxfId="332" priority="334" operator="greaterThan">
      <formula>0</formula>
    </cfRule>
  </conditionalFormatting>
  <conditionalFormatting sqref="N617:N618">
    <cfRule type="cellIs" dxfId="331" priority="331" operator="lessThan">
      <formula>0</formula>
    </cfRule>
    <cfRule type="cellIs" dxfId="330" priority="332" operator="greaterThan">
      <formula>0</formula>
    </cfRule>
  </conditionalFormatting>
  <conditionalFormatting sqref="F617:F618">
    <cfRule type="cellIs" dxfId="329" priority="329" operator="lessThan">
      <formula>0</formula>
    </cfRule>
    <cfRule type="cellIs" dxfId="328" priority="330" operator="greaterThan">
      <formula>0</formula>
    </cfRule>
  </conditionalFormatting>
  <conditionalFormatting sqref="N616">
    <cfRule type="cellIs" dxfId="327" priority="327" operator="lessThan">
      <formula>0</formula>
    </cfRule>
    <cfRule type="cellIs" dxfId="326" priority="328" operator="greaterThan">
      <formula>0</formula>
    </cfRule>
  </conditionalFormatting>
  <conditionalFormatting sqref="F616">
    <cfRule type="cellIs" dxfId="325" priority="325" operator="lessThan">
      <formula>0</formula>
    </cfRule>
    <cfRule type="cellIs" dxfId="324" priority="326" operator="greaterThan">
      <formula>0</formula>
    </cfRule>
  </conditionalFormatting>
  <conditionalFormatting sqref="N615">
    <cfRule type="cellIs" dxfId="323" priority="323" operator="lessThan">
      <formula>0</formula>
    </cfRule>
    <cfRule type="cellIs" dxfId="322" priority="324" operator="greaterThan">
      <formula>0</formula>
    </cfRule>
  </conditionalFormatting>
  <conditionalFormatting sqref="F615">
    <cfRule type="cellIs" dxfId="321" priority="321" operator="lessThan">
      <formula>0</formula>
    </cfRule>
    <cfRule type="cellIs" dxfId="320" priority="322" operator="greaterThan">
      <formula>0</formula>
    </cfRule>
  </conditionalFormatting>
  <conditionalFormatting sqref="N614">
    <cfRule type="cellIs" dxfId="319" priority="319" operator="lessThan">
      <formula>0</formula>
    </cfRule>
    <cfRule type="cellIs" dxfId="318" priority="320" operator="greaterThan">
      <formula>0</formula>
    </cfRule>
  </conditionalFormatting>
  <conditionalFormatting sqref="F614">
    <cfRule type="cellIs" dxfId="317" priority="317" operator="lessThan">
      <formula>0</formula>
    </cfRule>
    <cfRule type="cellIs" dxfId="316" priority="318" operator="greaterThan">
      <formula>0</formula>
    </cfRule>
  </conditionalFormatting>
  <conditionalFormatting sqref="N613">
    <cfRule type="cellIs" dxfId="315" priority="315" operator="lessThan">
      <formula>0</formula>
    </cfRule>
    <cfRule type="cellIs" dxfId="314" priority="316" operator="greaterThan">
      <formula>0</formula>
    </cfRule>
  </conditionalFormatting>
  <conditionalFormatting sqref="F613">
    <cfRule type="cellIs" dxfId="313" priority="313" operator="lessThan">
      <formula>0</formula>
    </cfRule>
    <cfRule type="cellIs" dxfId="312" priority="314" operator="greaterThan">
      <formula>0</formula>
    </cfRule>
  </conditionalFormatting>
  <conditionalFormatting sqref="N612">
    <cfRule type="cellIs" dxfId="311" priority="311" operator="lessThan">
      <formula>0</formula>
    </cfRule>
    <cfRule type="cellIs" dxfId="310" priority="312" operator="greaterThan">
      <formula>0</formula>
    </cfRule>
  </conditionalFormatting>
  <conditionalFormatting sqref="F612">
    <cfRule type="cellIs" dxfId="309" priority="309" operator="lessThan">
      <formula>0</formula>
    </cfRule>
    <cfRule type="cellIs" dxfId="308" priority="310" operator="greaterThan">
      <formula>0</formula>
    </cfRule>
  </conditionalFormatting>
  <conditionalFormatting sqref="N611">
    <cfRule type="cellIs" dxfId="307" priority="307" operator="lessThan">
      <formula>0</formula>
    </cfRule>
    <cfRule type="cellIs" dxfId="306" priority="308" operator="greaterThan">
      <formula>0</formula>
    </cfRule>
  </conditionalFormatting>
  <conditionalFormatting sqref="F611">
    <cfRule type="cellIs" dxfId="305" priority="305" operator="lessThan">
      <formula>0</formula>
    </cfRule>
    <cfRule type="cellIs" dxfId="304" priority="306" operator="greaterThan">
      <formula>0</formula>
    </cfRule>
  </conditionalFormatting>
  <conditionalFormatting sqref="N610">
    <cfRule type="cellIs" dxfId="303" priority="303" operator="lessThan">
      <formula>0</formula>
    </cfRule>
    <cfRule type="cellIs" dxfId="302" priority="304" operator="greaterThan">
      <formula>0</formula>
    </cfRule>
  </conditionalFormatting>
  <conditionalFormatting sqref="F610">
    <cfRule type="cellIs" dxfId="301" priority="301" operator="lessThan">
      <formula>0</formula>
    </cfRule>
    <cfRule type="cellIs" dxfId="300" priority="302" operator="greaterThan">
      <formula>0</formula>
    </cfRule>
  </conditionalFormatting>
  <conditionalFormatting sqref="N609">
    <cfRule type="cellIs" dxfId="299" priority="299" operator="lessThan">
      <formula>0</formula>
    </cfRule>
    <cfRule type="cellIs" dxfId="298" priority="300" operator="greaterThan">
      <formula>0</formula>
    </cfRule>
  </conditionalFormatting>
  <conditionalFormatting sqref="F609">
    <cfRule type="cellIs" dxfId="297" priority="297" operator="lessThan">
      <formula>0</formula>
    </cfRule>
    <cfRule type="cellIs" dxfId="296" priority="298" operator="greaterThan">
      <formula>0</formula>
    </cfRule>
  </conditionalFormatting>
  <conditionalFormatting sqref="N608">
    <cfRule type="cellIs" dxfId="295" priority="295" operator="lessThan">
      <formula>0</formula>
    </cfRule>
    <cfRule type="cellIs" dxfId="294" priority="296" operator="greaterThan">
      <formula>0</formula>
    </cfRule>
  </conditionalFormatting>
  <conditionalFormatting sqref="F608">
    <cfRule type="cellIs" dxfId="293" priority="293" operator="lessThan">
      <formula>0</formula>
    </cfRule>
    <cfRule type="cellIs" dxfId="292" priority="294" operator="greaterThan">
      <formula>0</formula>
    </cfRule>
  </conditionalFormatting>
  <conditionalFormatting sqref="N607">
    <cfRule type="cellIs" dxfId="291" priority="291" operator="lessThan">
      <formula>0</formula>
    </cfRule>
    <cfRule type="cellIs" dxfId="290" priority="292" operator="greaterThan">
      <formula>0</formula>
    </cfRule>
  </conditionalFormatting>
  <conditionalFormatting sqref="F607">
    <cfRule type="cellIs" dxfId="289" priority="289" operator="lessThan">
      <formula>0</formula>
    </cfRule>
    <cfRule type="cellIs" dxfId="288" priority="290" operator="greaterThan">
      <formula>0</formula>
    </cfRule>
  </conditionalFormatting>
  <conditionalFormatting sqref="N606">
    <cfRule type="cellIs" dxfId="287" priority="287" operator="lessThan">
      <formula>0</formula>
    </cfRule>
    <cfRule type="cellIs" dxfId="286" priority="288" operator="greaterThan">
      <formula>0</formula>
    </cfRule>
  </conditionalFormatting>
  <conditionalFormatting sqref="F606">
    <cfRule type="cellIs" dxfId="285" priority="285" operator="lessThan">
      <formula>0</formula>
    </cfRule>
    <cfRule type="cellIs" dxfId="284" priority="286" operator="greaterThan">
      <formula>0</formula>
    </cfRule>
  </conditionalFormatting>
  <conditionalFormatting sqref="N604:N605">
    <cfRule type="cellIs" dxfId="283" priority="283" operator="lessThan">
      <formula>0</formula>
    </cfRule>
    <cfRule type="cellIs" dxfId="282" priority="284" operator="greaterThan">
      <formula>0</formula>
    </cfRule>
  </conditionalFormatting>
  <conditionalFormatting sqref="F604:F605">
    <cfRule type="cellIs" dxfId="281" priority="281" operator="lessThan">
      <formula>0</formula>
    </cfRule>
    <cfRule type="cellIs" dxfId="280" priority="282" operator="greaterThan">
      <formula>0</formula>
    </cfRule>
  </conditionalFormatting>
  <conditionalFormatting sqref="N603">
    <cfRule type="cellIs" dxfId="279" priority="279" operator="lessThan">
      <formula>0</formula>
    </cfRule>
    <cfRule type="cellIs" dxfId="278" priority="280" operator="greaterThan">
      <formula>0</formula>
    </cfRule>
  </conditionalFormatting>
  <conditionalFormatting sqref="F603">
    <cfRule type="cellIs" dxfId="277" priority="277" operator="lessThan">
      <formula>0</formula>
    </cfRule>
    <cfRule type="cellIs" dxfId="276" priority="278" operator="greaterThan">
      <formula>0</formula>
    </cfRule>
  </conditionalFormatting>
  <conditionalFormatting sqref="N602">
    <cfRule type="cellIs" dxfId="275" priority="275" operator="lessThan">
      <formula>0</formula>
    </cfRule>
    <cfRule type="cellIs" dxfId="274" priority="276" operator="greaterThan">
      <formula>0</formula>
    </cfRule>
  </conditionalFormatting>
  <conditionalFormatting sqref="F602">
    <cfRule type="cellIs" dxfId="273" priority="273" operator="lessThan">
      <formula>0</formula>
    </cfRule>
    <cfRule type="cellIs" dxfId="272" priority="274" operator="greaterThan">
      <formula>0</formula>
    </cfRule>
  </conditionalFormatting>
  <conditionalFormatting sqref="N601">
    <cfRule type="cellIs" dxfId="271" priority="271" operator="lessThan">
      <formula>0</formula>
    </cfRule>
    <cfRule type="cellIs" dxfId="270" priority="272" operator="greaterThan">
      <formula>0</formula>
    </cfRule>
  </conditionalFormatting>
  <conditionalFormatting sqref="F601">
    <cfRule type="cellIs" dxfId="269" priority="269" operator="lessThan">
      <formula>0</formula>
    </cfRule>
    <cfRule type="cellIs" dxfId="268" priority="270" operator="greaterThan">
      <formula>0</formula>
    </cfRule>
  </conditionalFormatting>
  <conditionalFormatting sqref="N600">
    <cfRule type="cellIs" dxfId="267" priority="267" operator="lessThan">
      <formula>0</formula>
    </cfRule>
    <cfRule type="cellIs" dxfId="266" priority="268" operator="greaterThan">
      <formula>0</formula>
    </cfRule>
  </conditionalFormatting>
  <conditionalFormatting sqref="F600">
    <cfRule type="cellIs" dxfId="265" priority="265" operator="lessThan">
      <formula>0</formula>
    </cfRule>
    <cfRule type="cellIs" dxfId="264" priority="266" operator="greaterThan">
      <formula>0</formula>
    </cfRule>
  </conditionalFormatting>
  <conditionalFormatting sqref="N599">
    <cfRule type="cellIs" dxfId="263" priority="263" operator="lessThan">
      <formula>0</formula>
    </cfRule>
    <cfRule type="cellIs" dxfId="262" priority="264" operator="greaterThan">
      <formula>0</formula>
    </cfRule>
  </conditionalFormatting>
  <conditionalFormatting sqref="F599">
    <cfRule type="cellIs" dxfId="261" priority="261" operator="lessThan">
      <formula>0</formula>
    </cfRule>
    <cfRule type="cellIs" dxfId="260" priority="262" operator="greaterThan">
      <formula>0</formula>
    </cfRule>
  </conditionalFormatting>
  <conditionalFormatting sqref="N598">
    <cfRule type="cellIs" dxfId="259" priority="259" operator="lessThan">
      <formula>0</formula>
    </cfRule>
    <cfRule type="cellIs" dxfId="258" priority="260" operator="greaterThan">
      <formula>0</formula>
    </cfRule>
  </conditionalFormatting>
  <conditionalFormatting sqref="F598">
    <cfRule type="cellIs" dxfId="257" priority="257" operator="lessThan">
      <formula>0</formula>
    </cfRule>
    <cfRule type="cellIs" dxfId="256" priority="258" operator="greaterThan">
      <formula>0</formula>
    </cfRule>
  </conditionalFormatting>
  <conditionalFormatting sqref="N597">
    <cfRule type="cellIs" dxfId="255" priority="255" operator="lessThan">
      <formula>0</formula>
    </cfRule>
    <cfRule type="cellIs" dxfId="254" priority="256" operator="greaterThan">
      <formula>0</formula>
    </cfRule>
  </conditionalFormatting>
  <conditionalFormatting sqref="F597">
    <cfRule type="cellIs" dxfId="253" priority="253" operator="lessThan">
      <formula>0</formula>
    </cfRule>
    <cfRule type="cellIs" dxfId="252" priority="254" operator="greaterThan">
      <formula>0</formula>
    </cfRule>
  </conditionalFormatting>
  <conditionalFormatting sqref="N596">
    <cfRule type="cellIs" dxfId="251" priority="251" operator="lessThan">
      <formula>0</formula>
    </cfRule>
    <cfRule type="cellIs" dxfId="250" priority="252" operator="greaterThan">
      <formula>0</formula>
    </cfRule>
  </conditionalFormatting>
  <conditionalFormatting sqref="F596">
    <cfRule type="cellIs" dxfId="249" priority="249" operator="lessThan">
      <formula>0</formula>
    </cfRule>
    <cfRule type="cellIs" dxfId="248" priority="250" operator="greaterThan">
      <formula>0</formula>
    </cfRule>
  </conditionalFormatting>
  <conditionalFormatting sqref="N595">
    <cfRule type="cellIs" dxfId="247" priority="247" operator="lessThan">
      <formula>0</formula>
    </cfRule>
    <cfRule type="cellIs" dxfId="246" priority="248" operator="greaterThan">
      <formula>0</formula>
    </cfRule>
  </conditionalFormatting>
  <conditionalFormatting sqref="F595">
    <cfRule type="cellIs" dxfId="245" priority="245" operator="lessThan">
      <formula>0</formula>
    </cfRule>
    <cfRule type="cellIs" dxfId="244" priority="246" operator="greaterThan">
      <formula>0</formula>
    </cfRule>
  </conditionalFormatting>
  <conditionalFormatting sqref="N594">
    <cfRule type="cellIs" dxfId="243" priority="243" operator="lessThan">
      <formula>0</formula>
    </cfRule>
    <cfRule type="cellIs" dxfId="242" priority="244" operator="greaterThan">
      <formula>0</formula>
    </cfRule>
  </conditionalFormatting>
  <conditionalFormatting sqref="F594">
    <cfRule type="cellIs" dxfId="241" priority="241" operator="lessThan">
      <formula>0</formula>
    </cfRule>
    <cfRule type="cellIs" dxfId="240" priority="242" operator="greaterThan">
      <formula>0</formula>
    </cfRule>
  </conditionalFormatting>
  <conditionalFormatting sqref="N593">
    <cfRule type="cellIs" dxfId="239" priority="239" operator="lessThan">
      <formula>0</formula>
    </cfRule>
    <cfRule type="cellIs" dxfId="238" priority="240" operator="greaterThan">
      <formula>0</formula>
    </cfRule>
  </conditionalFormatting>
  <conditionalFormatting sqref="F593">
    <cfRule type="cellIs" dxfId="237" priority="237" operator="lessThan">
      <formula>0</formula>
    </cfRule>
    <cfRule type="cellIs" dxfId="236" priority="238" operator="greaterThan">
      <formula>0</formula>
    </cfRule>
  </conditionalFormatting>
  <conditionalFormatting sqref="N591:N592">
    <cfRule type="cellIs" dxfId="235" priority="235" operator="lessThan">
      <formula>0</formula>
    </cfRule>
    <cfRule type="cellIs" dxfId="234" priority="236" operator="greaterThan">
      <formula>0</formula>
    </cfRule>
  </conditionalFormatting>
  <conditionalFormatting sqref="F591:F592">
    <cfRule type="cellIs" dxfId="233" priority="233" operator="lessThan">
      <formula>0</formula>
    </cfRule>
    <cfRule type="cellIs" dxfId="232" priority="234" operator="greaterThan">
      <formula>0</formula>
    </cfRule>
  </conditionalFormatting>
  <conditionalFormatting sqref="N590">
    <cfRule type="cellIs" dxfId="231" priority="231" operator="lessThan">
      <formula>0</formula>
    </cfRule>
    <cfRule type="cellIs" dxfId="230" priority="232" operator="greaterThan">
      <formula>0</formula>
    </cfRule>
  </conditionalFormatting>
  <conditionalFormatting sqref="F590">
    <cfRule type="cellIs" dxfId="229" priority="229" operator="lessThan">
      <formula>0</formula>
    </cfRule>
    <cfRule type="cellIs" dxfId="228" priority="230" operator="greaterThan">
      <formula>0</formula>
    </cfRule>
  </conditionalFormatting>
  <conditionalFormatting sqref="N589">
    <cfRule type="cellIs" dxfId="227" priority="227" operator="lessThan">
      <formula>0</formula>
    </cfRule>
    <cfRule type="cellIs" dxfId="226" priority="228" operator="greaterThan">
      <formula>0</formula>
    </cfRule>
  </conditionalFormatting>
  <conditionalFormatting sqref="F589">
    <cfRule type="cellIs" dxfId="225" priority="225" operator="lessThan">
      <formula>0</formula>
    </cfRule>
    <cfRule type="cellIs" dxfId="224" priority="226" operator="greaterThan">
      <formula>0</formula>
    </cfRule>
  </conditionalFormatting>
  <conditionalFormatting sqref="N588">
    <cfRule type="cellIs" dxfId="223" priority="223" operator="lessThan">
      <formula>0</formula>
    </cfRule>
    <cfRule type="cellIs" dxfId="222" priority="224" operator="greaterThan">
      <formula>0</formula>
    </cfRule>
  </conditionalFormatting>
  <conditionalFormatting sqref="F588">
    <cfRule type="cellIs" dxfId="221" priority="221" operator="lessThan">
      <formula>0</formula>
    </cfRule>
    <cfRule type="cellIs" dxfId="220" priority="222" operator="greaterThan">
      <formula>0</formula>
    </cfRule>
  </conditionalFormatting>
  <conditionalFormatting sqref="N587">
    <cfRule type="cellIs" dxfId="219" priority="219" operator="lessThan">
      <formula>0</formula>
    </cfRule>
    <cfRule type="cellIs" dxfId="218" priority="220" operator="greaterThan">
      <formula>0</formula>
    </cfRule>
  </conditionalFormatting>
  <conditionalFormatting sqref="F587">
    <cfRule type="cellIs" dxfId="217" priority="217" operator="lessThan">
      <formula>0</formula>
    </cfRule>
    <cfRule type="cellIs" dxfId="216" priority="218" operator="greaterThan">
      <formula>0</formula>
    </cfRule>
  </conditionalFormatting>
  <conditionalFormatting sqref="N586">
    <cfRule type="cellIs" dxfId="215" priority="215" operator="lessThan">
      <formula>0</formula>
    </cfRule>
    <cfRule type="cellIs" dxfId="214" priority="216" operator="greaterThan">
      <formula>0</formula>
    </cfRule>
  </conditionalFormatting>
  <conditionalFormatting sqref="F586">
    <cfRule type="cellIs" dxfId="213" priority="213" operator="lessThan">
      <formula>0</formula>
    </cfRule>
    <cfRule type="cellIs" dxfId="212" priority="214" operator="greaterThan">
      <formula>0</formula>
    </cfRule>
  </conditionalFormatting>
  <conditionalFormatting sqref="N585">
    <cfRule type="cellIs" dxfId="211" priority="211" operator="lessThan">
      <formula>0</formula>
    </cfRule>
    <cfRule type="cellIs" dxfId="210" priority="212" operator="greaterThan">
      <formula>0</formula>
    </cfRule>
  </conditionalFormatting>
  <conditionalFormatting sqref="F585">
    <cfRule type="cellIs" dxfId="209" priority="209" operator="lessThan">
      <formula>0</formula>
    </cfRule>
    <cfRule type="cellIs" dxfId="208" priority="210" operator="greaterThan">
      <formula>0</formula>
    </cfRule>
  </conditionalFormatting>
  <conditionalFormatting sqref="N584">
    <cfRule type="cellIs" dxfId="207" priority="207" operator="lessThan">
      <formula>0</formula>
    </cfRule>
    <cfRule type="cellIs" dxfId="206" priority="208" operator="greaterThan">
      <formula>0</formula>
    </cfRule>
  </conditionalFormatting>
  <conditionalFormatting sqref="F584">
    <cfRule type="cellIs" dxfId="205" priority="205" operator="lessThan">
      <formula>0</formula>
    </cfRule>
    <cfRule type="cellIs" dxfId="204" priority="206" operator="greaterThan">
      <formula>0</formula>
    </cfRule>
  </conditionalFormatting>
  <conditionalFormatting sqref="N583">
    <cfRule type="cellIs" dxfId="203" priority="203" operator="lessThan">
      <formula>0</formula>
    </cfRule>
    <cfRule type="cellIs" dxfId="202" priority="204" operator="greaterThan">
      <formula>0</formula>
    </cfRule>
  </conditionalFormatting>
  <conditionalFormatting sqref="F583">
    <cfRule type="cellIs" dxfId="201" priority="201" operator="lessThan">
      <formula>0</formula>
    </cfRule>
    <cfRule type="cellIs" dxfId="200" priority="202" operator="greaterThan">
      <formula>0</formula>
    </cfRule>
  </conditionalFormatting>
  <conditionalFormatting sqref="N582">
    <cfRule type="cellIs" dxfId="199" priority="199" operator="lessThan">
      <formula>0</formula>
    </cfRule>
    <cfRule type="cellIs" dxfId="198" priority="200" operator="greaterThan">
      <formula>0</formula>
    </cfRule>
  </conditionalFormatting>
  <conditionalFormatting sqref="F582">
    <cfRule type="cellIs" dxfId="197" priority="197" operator="lessThan">
      <formula>0</formula>
    </cfRule>
    <cfRule type="cellIs" dxfId="196" priority="198" operator="greaterThan">
      <formula>0</formula>
    </cfRule>
  </conditionalFormatting>
  <conditionalFormatting sqref="N581">
    <cfRule type="cellIs" dxfId="195" priority="195" operator="lessThan">
      <formula>0</formula>
    </cfRule>
    <cfRule type="cellIs" dxfId="194" priority="196" operator="greaterThan">
      <formula>0</formula>
    </cfRule>
  </conditionalFormatting>
  <conditionalFormatting sqref="F581">
    <cfRule type="cellIs" dxfId="193" priority="193" operator="lessThan">
      <formula>0</formula>
    </cfRule>
    <cfRule type="cellIs" dxfId="192" priority="194" operator="greaterThan">
      <formula>0</formula>
    </cfRule>
  </conditionalFormatting>
  <conditionalFormatting sqref="N580">
    <cfRule type="cellIs" dxfId="191" priority="191" operator="lessThan">
      <formula>0</formula>
    </cfRule>
    <cfRule type="cellIs" dxfId="190" priority="192" operator="greaterThan">
      <formula>0</formula>
    </cfRule>
  </conditionalFormatting>
  <conditionalFormatting sqref="F580">
    <cfRule type="cellIs" dxfId="189" priority="189" operator="lessThan">
      <formula>0</formula>
    </cfRule>
    <cfRule type="cellIs" dxfId="188" priority="190" operator="greaterThan">
      <formula>0</formula>
    </cfRule>
  </conditionalFormatting>
  <conditionalFormatting sqref="N578:N579">
    <cfRule type="cellIs" dxfId="187" priority="187" operator="lessThan">
      <formula>0</formula>
    </cfRule>
    <cfRule type="cellIs" dxfId="186" priority="188" operator="greaterThan">
      <formula>0</formula>
    </cfRule>
  </conditionalFormatting>
  <conditionalFormatting sqref="F578:F579">
    <cfRule type="cellIs" dxfId="185" priority="185" operator="lessThan">
      <formula>0</formula>
    </cfRule>
    <cfRule type="cellIs" dxfId="184" priority="186" operator="greaterThan">
      <formula>0</formula>
    </cfRule>
  </conditionalFormatting>
  <conditionalFormatting sqref="N577">
    <cfRule type="cellIs" dxfId="183" priority="183" operator="lessThan">
      <formula>0</formula>
    </cfRule>
    <cfRule type="cellIs" dxfId="182" priority="184" operator="greaterThan">
      <formula>0</formula>
    </cfRule>
  </conditionalFormatting>
  <conditionalFormatting sqref="F577">
    <cfRule type="cellIs" dxfId="181" priority="181" operator="lessThan">
      <formula>0</formula>
    </cfRule>
    <cfRule type="cellIs" dxfId="180" priority="182" operator="greaterThan">
      <formula>0</formula>
    </cfRule>
  </conditionalFormatting>
  <conditionalFormatting sqref="N576">
    <cfRule type="cellIs" dxfId="179" priority="179" operator="lessThan">
      <formula>0</formula>
    </cfRule>
    <cfRule type="cellIs" dxfId="178" priority="180" operator="greaterThan">
      <formula>0</formula>
    </cfRule>
  </conditionalFormatting>
  <conditionalFormatting sqref="F576">
    <cfRule type="cellIs" dxfId="177" priority="177" operator="lessThan">
      <formula>0</formula>
    </cfRule>
    <cfRule type="cellIs" dxfId="176" priority="178" operator="greaterThan">
      <formula>0</formula>
    </cfRule>
  </conditionalFormatting>
  <conditionalFormatting sqref="N575">
    <cfRule type="cellIs" dxfId="175" priority="175" operator="lessThan">
      <formula>0</formula>
    </cfRule>
    <cfRule type="cellIs" dxfId="174" priority="176" operator="greaterThan">
      <formula>0</formula>
    </cfRule>
  </conditionalFormatting>
  <conditionalFormatting sqref="F575">
    <cfRule type="cellIs" dxfId="173" priority="173" operator="lessThan">
      <formula>0</formula>
    </cfRule>
    <cfRule type="cellIs" dxfId="172" priority="174" operator="greaterThan">
      <formula>0</formula>
    </cfRule>
  </conditionalFormatting>
  <conditionalFormatting sqref="N574">
    <cfRule type="cellIs" dxfId="171" priority="171" operator="lessThan">
      <formula>0</formula>
    </cfRule>
    <cfRule type="cellIs" dxfId="170" priority="172" operator="greaterThan">
      <formula>0</formula>
    </cfRule>
  </conditionalFormatting>
  <conditionalFormatting sqref="F574">
    <cfRule type="cellIs" dxfId="169" priority="169" operator="lessThan">
      <formula>0</formula>
    </cfRule>
    <cfRule type="cellIs" dxfId="168" priority="170" operator="greaterThan">
      <formula>0</formula>
    </cfRule>
  </conditionalFormatting>
  <conditionalFormatting sqref="N573">
    <cfRule type="cellIs" dxfId="167" priority="167" operator="lessThan">
      <formula>0</formula>
    </cfRule>
    <cfRule type="cellIs" dxfId="166" priority="168" operator="greaterThan">
      <formula>0</formula>
    </cfRule>
  </conditionalFormatting>
  <conditionalFormatting sqref="F573">
    <cfRule type="cellIs" dxfId="165" priority="165" operator="lessThan">
      <formula>0</formula>
    </cfRule>
    <cfRule type="cellIs" dxfId="164" priority="166" operator="greaterThan">
      <formula>0</formula>
    </cfRule>
  </conditionalFormatting>
  <conditionalFormatting sqref="N572">
    <cfRule type="cellIs" dxfId="163" priority="163" operator="lessThan">
      <formula>0</formula>
    </cfRule>
    <cfRule type="cellIs" dxfId="162" priority="164" operator="greaterThan">
      <formula>0</formula>
    </cfRule>
  </conditionalFormatting>
  <conditionalFormatting sqref="F572">
    <cfRule type="cellIs" dxfId="161" priority="161" operator="lessThan">
      <formula>0</formula>
    </cfRule>
    <cfRule type="cellIs" dxfId="160" priority="162" operator="greaterThan">
      <formula>0</formula>
    </cfRule>
  </conditionalFormatting>
  <conditionalFormatting sqref="N571">
    <cfRule type="cellIs" dxfId="159" priority="159" operator="lessThan">
      <formula>0</formula>
    </cfRule>
    <cfRule type="cellIs" dxfId="158" priority="160" operator="greaterThan">
      <formula>0</formula>
    </cfRule>
  </conditionalFormatting>
  <conditionalFormatting sqref="F571">
    <cfRule type="cellIs" dxfId="157" priority="157" operator="lessThan">
      <formula>0</formula>
    </cfRule>
    <cfRule type="cellIs" dxfId="156" priority="158" operator="greaterThan">
      <formula>0</formula>
    </cfRule>
  </conditionalFormatting>
  <conditionalFormatting sqref="N570">
    <cfRule type="cellIs" dxfId="155" priority="155" operator="lessThan">
      <formula>0</formula>
    </cfRule>
    <cfRule type="cellIs" dxfId="154" priority="156" operator="greaterThan">
      <formula>0</formula>
    </cfRule>
  </conditionalFormatting>
  <conditionalFormatting sqref="F570">
    <cfRule type="cellIs" dxfId="153" priority="153" operator="lessThan">
      <formula>0</formula>
    </cfRule>
    <cfRule type="cellIs" dxfId="152" priority="154" operator="greaterThan">
      <formula>0</formula>
    </cfRule>
  </conditionalFormatting>
  <conditionalFormatting sqref="N569">
    <cfRule type="cellIs" dxfId="151" priority="151" operator="lessThan">
      <formula>0</formula>
    </cfRule>
    <cfRule type="cellIs" dxfId="150" priority="152" operator="greaterThan">
      <formula>0</formula>
    </cfRule>
  </conditionalFormatting>
  <conditionalFormatting sqref="F569">
    <cfRule type="cellIs" dxfId="149" priority="149" operator="lessThan">
      <formula>0</formula>
    </cfRule>
    <cfRule type="cellIs" dxfId="148" priority="150" operator="greaterThan">
      <formula>0</formula>
    </cfRule>
  </conditionalFormatting>
  <conditionalFormatting sqref="N568">
    <cfRule type="cellIs" dxfId="147" priority="147" operator="lessThan">
      <formula>0</formula>
    </cfRule>
    <cfRule type="cellIs" dxfId="146" priority="148" operator="greaterThan">
      <formula>0</formula>
    </cfRule>
  </conditionalFormatting>
  <conditionalFormatting sqref="F568">
    <cfRule type="cellIs" dxfId="145" priority="145" operator="lessThan">
      <formula>0</formula>
    </cfRule>
    <cfRule type="cellIs" dxfId="144" priority="146" operator="greaterThan">
      <formula>0</formula>
    </cfRule>
  </conditionalFormatting>
  <conditionalFormatting sqref="N567">
    <cfRule type="cellIs" dxfId="143" priority="143" operator="lessThan">
      <formula>0</formula>
    </cfRule>
    <cfRule type="cellIs" dxfId="142" priority="144" operator="greaterThan">
      <formula>0</formula>
    </cfRule>
  </conditionalFormatting>
  <conditionalFormatting sqref="F567">
    <cfRule type="cellIs" dxfId="141" priority="141" operator="lessThan">
      <formula>0</formula>
    </cfRule>
    <cfRule type="cellIs" dxfId="140" priority="142" operator="greaterThan">
      <formula>0</formula>
    </cfRule>
  </conditionalFormatting>
  <conditionalFormatting sqref="N565:N566">
    <cfRule type="cellIs" dxfId="139" priority="139" operator="lessThan">
      <formula>0</formula>
    </cfRule>
    <cfRule type="cellIs" dxfId="138" priority="140" operator="greaterThan">
      <formula>0</formula>
    </cfRule>
  </conditionalFormatting>
  <conditionalFormatting sqref="F565:F566">
    <cfRule type="cellIs" dxfId="137" priority="137" operator="lessThan">
      <formula>0</formula>
    </cfRule>
    <cfRule type="cellIs" dxfId="136" priority="138" operator="greaterThan">
      <formula>0</formula>
    </cfRule>
  </conditionalFormatting>
  <conditionalFormatting sqref="N564">
    <cfRule type="cellIs" dxfId="135" priority="135" operator="lessThan">
      <formula>0</formula>
    </cfRule>
    <cfRule type="cellIs" dxfId="134" priority="136" operator="greaterThan">
      <formula>0</formula>
    </cfRule>
  </conditionalFormatting>
  <conditionalFormatting sqref="F564">
    <cfRule type="cellIs" dxfId="133" priority="133" operator="lessThan">
      <formula>0</formula>
    </cfRule>
    <cfRule type="cellIs" dxfId="132" priority="134" operator="greaterThan">
      <formula>0</formula>
    </cfRule>
  </conditionalFormatting>
  <conditionalFormatting sqref="N563">
    <cfRule type="cellIs" dxfId="131" priority="131" operator="lessThan">
      <formula>0</formula>
    </cfRule>
    <cfRule type="cellIs" dxfId="130" priority="132" operator="greaterThan">
      <formula>0</formula>
    </cfRule>
  </conditionalFormatting>
  <conditionalFormatting sqref="F563">
    <cfRule type="cellIs" dxfId="129" priority="129" operator="lessThan">
      <formula>0</formula>
    </cfRule>
    <cfRule type="cellIs" dxfId="128" priority="130" operator="greaterThan">
      <formula>0</formula>
    </cfRule>
  </conditionalFormatting>
  <conditionalFormatting sqref="N562">
    <cfRule type="cellIs" dxfId="127" priority="127" operator="lessThan">
      <formula>0</formula>
    </cfRule>
    <cfRule type="cellIs" dxfId="126" priority="128" operator="greaterThan">
      <formula>0</formula>
    </cfRule>
  </conditionalFormatting>
  <conditionalFormatting sqref="F562">
    <cfRule type="cellIs" dxfId="125" priority="125" operator="lessThan">
      <formula>0</formula>
    </cfRule>
    <cfRule type="cellIs" dxfId="124" priority="126" operator="greaterThan">
      <formula>0</formula>
    </cfRule>
  </conditionalFormatting>
  <conditionalFormatting sqref="N561">
    <cfRule type="cellIs" dxfId="123" priority="123" operator="lessThan">
      <formula>0</formula>
    </cfRule>
    <cfRule type="cellIs" dxfId="122" priority="124" operator="greaterThan">
      <formula>0</formula>
    </cfRule>
  </conditionalFormatting>
  <conditionalFormatting sqref="F561">
    <cfRule type="cellIs" dxfId="121" priority="121" operator="lessThan">
      <formula>0</formula>
    </cfRule>
    <cfRule type="cellIs" dxfId="120" priority="122" operator="greaterThan">
      <formula>0</formula>
    </cfRule>
  </conditionalFormatting>
  <conditionalFormatting sqref="N560">
    <cfRule type="cellIs" dxfId="119" priority="119" operator="lessThan">
      <formula>0</formula>
    </cfRule>
    <cfRule type="cellIs" dxfId="118" priority="120" operator="greaterThan">
      <formula>0</formula>
    </cfRule>
  </conditionalFormatting>
  <conditionalFormatting sqref="F560">
    <cfRule type="cellIs" dxfId="117" priority="117" operator="lessThan">
      <formula>0</formula>
    </cfRule>
    <cfRule type="cellIs" dxfId="116" priority="118" operator="greaterThan">
      <formula>0</formula>
    </cfRule>
  </conditionalFormatting>
  <conditionalFormatting sqref="N559">
    <cfRule type="cellIs" dxfId="115" priority="115" operator="lessThan">
      <formula>0</formula>
    </cfRule>
    <cfRule type="cellIs" dxfId="114" priority="116" operator="greaterThan">
      <formula>0</formula>
    </cfRule>
  </conditionalFormatting>
  <conditionalFormatting sqref="F559">
    <cfRule type="cellIs" dxfId="113" priority="113" operator="lessThan">
      <formula>0</formula>
    </cfRule>
    <cfRule type="cellIs" dxfId="112" priority="114" operator="greaterThan">
      <formula>0</formula>
    </cfRule>
  </conditionalFormatting>
  <conditionalFormatting sqref="N558">
    <cfRule type="cellIs" dxfId="111" priority="111" operator="lessThan">
      <formula>0</formula>
    </cfRule>
    <cfRule type="cellIs" dxfId="110" priority="112" operator="greaterThan">
      <formula>0</formula>
    </cfRule>
  </conditionalFormatting>
  <conditionalFormatting sqref="F558">
    <cfRule type="cellIs" dxfId="109" priority="109" operator="lessThan">
      <formula>0</formula>
    </cfRule>
    <cfRule type="cellIs" dxfId="108" priority="110" operator="greaterThan">
      <formula>0</formula>
    </cfRule>
  </conditionalFormatting>
  <conditionalFormatting sqref="N557">
    <cfRule type="cellIs" dxfId="107" priority="107" operator="lessThan">
      <formula>0</formula>
    </cfRule>
    <cfRule type="cellIs" dxfId="106" priority="108" operator="greaterThan">
      <formula>0</formula>
    </cfRule>
  </conditionalFormatting>
  <conditionalFormatting sqref="F557">
    <cfRule type="cellIs" dxfId="105" priority="105" operator="lessThan">
      <formula>0</formula>
    </cfRule>
    <cfRule type="cellIs" dxfId="104" priority="106" operator="greaterThan">
      <formula>0</formula>
    </cfRule>
  </conditionalFormatting>
  <conditionalFormatting sqref="N556">
    <cfRule type="cellIs" dxfId="103" priority="103" operator="lessThan">
      <formula>0</formula>
    </cfRule>
    <cfRule type="cellIs" dxfId="102" priority="104" operator="greaterThan">
      <formula>0</formula>
    </cfRule>
  </conditionalFormatting>
  <conditionalFormatting sqref="F556">
    <cfRule type="cellIs" dxfId="101" priority="101" operator="lessThan">
      <formula>0</formula>
    </cfRule>
    <cfRule type="cellIs" dxfId="100" priority="102" operator="greaterThan">
      <formula>0</formula>
    </cfRule>
  </conditionalFormatting>
  <conditionalFormatting sqref="N555">
    <cfRule type="cellIs" dxfId="99" priority="99" operator="lessThan">
      <formula>0</formula>
    </cfRule>
    <cfRule type="cellIs" dxfId="98" priority="100" operator="greaterThan">
      <formula>0</formula>
    </cfRule>
  </conditionalFormatting>
  <conditionalFormatting sqref="F555">
    <cfRule type="cellIs" dxfId="97" priority="97" operator="lessThan">
      <formula>0</formula>
    </cfRule>
    <cfRule type="cellIs" dxfId="96" priority="98" operator="greaterThan">
      <formula>0</formula>
    </cfRule>
  </conditionalFormatting>
  <conditionalFormatting sqref="N554">
    <cfRule type="cellIs" dxfId="95" priority="95" operator="lessThan">
      <formula>0</formula>
    </cfRule>
    <cfRule type="cellIs" dxfId="94" priority="96" operator="greaterThan">
      <formula>0</formula>
    </cfRule>
  </conditionalFormatting>
  <conditionalFormatting sqref="F554">
    <cfRule type="cellIs" dxfId="93" priority="93" operator="lessThan">
      <formula>0</formula>
    </cfRule>
    <cfRule type="cellIs" dxfId="92" priority="94" operator="greaterThan">
      <formula>0</formula>
    </cfRule>
  </conditionalFormatting>
  <conditionalFormatting sqref="N552:N553">
    <cfRule type="cellIs" dxfId="91" priority="91" operator="lessThan">
      <formula>0</formula>
    </cfRule>
    <cfRule type="cellIs" dxfId="90" priority="92" operator="greaterThan">
      <formula>0</formula>
    </cfRule>
  </conditionalFormatting>
  <conditionalFormatting sqref="F552:F553">
    <cfRule type="cellIs" dxfId="89" priority="89" operator="lessThan">
      <formula>0</formula>
    </cfRule>
    <cfRule type="cellIs" dxfId="88" priority="90" operator="greaterThan">
      <formula>0</formula>
    </cfRule>
  </conditionalFormatting>
  <conditionalFormatting sqref="N551">
    <cfRule type="cellIs" dxfId="87" priority="87" operator="lessThan">
      <formula>0</formula>
    </cfRule>
    <cfRule type="cellIs" dxfId="86" priority="88" operator="greaterThan">
      <formula>0</formula>
    </cfRule>
  </conditionalFormatting>
  <conditionalFormatting sqref="F551">
    <cfRule type="cellIs" dxfId="85" priority="85" operator="lessThan">
      <formula>0</formula>
    </cfRule>
    <cfRule type="cellIs" dxfId="84" priority="86" operator="greaterThan">
      <formula>0</formula>
    </cfRule>
  </conditionalFormatting>
  <conditionalFormatting sqref="N550">
    <cfRule type="cellIs" dxfId="83" priority="83" operator="lessThan">
      <formula>0</formula>
    </cfRule>
    <cfRule type="cellIs" dxfId="82" priority="84" operator="greaterThan">
      <formula>0</formula>
    </cfRule>
  </conditionalFormatting>
  <conditionalFormatting sqref="F550">
    <cfRule type="cellIs" dxfId="81" priority="81" operator="lessThan">
      <formula>0</formula>
    </cfRule>
    <cfRule type="cellIs" dxfId="80" priority="82" operator="greaterThan">
      <formula>0</formula>
    </cfRule>
  </conditionalFormatting>
  <conditionalFormatting sqref="N549">
    <cfRule type="cellIs" dxfId="79" priority="79" operator="lessThan">
      <formula>0</formula>
    </cfRule>
    <cfRule type="cellIs" dxfId="78" priority="80" operator="greaterThan">
      <formula>0</formula>
    </cfRule>
  </conditionalFormatting>
  <conditionalFormatting sqref="F549">
    <cfRule type="cellIs" dxfId="77" priority="77" operator="lessThan">
      <formula>0</formula>
    </cfRule>
    <cfRule type="cellIs" dxfId="76" priority="78" operator="greaterThan">
      <formula>0</formula>
    </cfRule>
  </conditionalFormatting>
  <conditionalFormatting sqref="N548">
    <cfRule type="cellIs" dxfId="75" priority="75" operator="lessThan">
      <formula>0</formula>
    </cfRule>
    <cfRule type="cellIs" dxfId="74" priority="76" operator="greaterThan">
      <formula>0</formula>
    </cfRule>
  </conditionalFormatting>
  <conditionalFormatting sqref="F548">
    <cfRule type="cellIs" dxfId="73" priority="73" operator="lessThan">
      <formula>0</formula>
    </cfRule>
    <cfRule type="cellIs" dxfId="72" priority="74" operator="greaterThan">
      <formula>0</formula>
    </cfRule>
  </conditionalFormatting>
  <conditionalFormatting sqref="N547">
    <cfRule type="cellIs" dxfId="71" priority="71" operator="lessThan">
      <formula>0</formula>
    </cfRule>
    <cfRule type="cellIs" dxfId="70" priority="72" operator="greaterThan">
      <formula>0</formula>
    </cfRule>
  </conditionalFormatting>
  <conditionalFormatting sqref="F547">
    <cfRule type="cellIs" dxfId="69" priority="69" operator="lessThan">
      <formula>0</formula>
    </cfRule>
    <cfRule type="cellIs" dxfId="68" priority="70" operator="greaterThan">
      <formula>0</formula>
    </cfRule>
  </conditionalFormatting>
  <conditionalFormatting sqref="N546">
    <cfRule type="cellIs" dxfId="67" priority="67" operator="lessThan">
      <formula>0</formula>
    </cfRule>
    <cfRule type="cellIs" dxfId="66" priority="68" operator="greaterThan">
      <formula>0</formula>
    </cfRule>
  </conditionalFormatting>
  <conditionalFormatting sqref="F546">
    <cfRule type="cellIs" dxfId="65" priority="65" operator="lessThan">
      <formula>0</formula>
    </cfRule>
    <cfRule type="cellIs" dxfId="64" priority="66" operator="greaterThan">
      <formula>0</formula>
    </cfRule>
  </conditionalFormatting>
  <conditionalFormatting sqref="N545">
    <cfRule type="cellIs" dxfId="63" priority="63" operator="lessThan">
      <formula>0</formula>
    </cfRule>
    <cfRule type="cellIs" dxfId="62" priority="64" operator="greaterThan">
      <formula>0</formula>
    </cfRule>
  </conditionalFormatting>
  <conditionalFormatting sqref="F545">
    <cfRule type="cellIs" dxfId="61" priority="61" operator="lessThan">
      <formula>0</formula>
    </cfRule>
    <cfRule type="cellIs" dxfId="60" priority="62" operator="greaterThan">
      <formula>0</formula>
    </cfRule>
  </conditionalFormatting>
  <conditionalFormatting sqref="N544">
    <cfRule type="cellIs" dxfId="59" priority="59" operator="lessThan">
      <formula>0</formula>
    </cfRule>
    <cfRule type="cellIs" dxfId="58" priority="60" operator="greaterThan">
      <formula>0</formula>
    </cfRule>
  </conditionalFormatting>
  <conditionalFormatting sqref="F544">
    <cfRule type="cellIs" dxfId="57" priority="57" operator="lessThan">
      <formula>0</formula>
    </cfRule>
    <cfRule type="cellIs" dxfId="56" priority="58" operator="greaterThan">
      <formula>0</formula>
    </cfRule>
  </conditionalFormatting>
  <conditionalFormatting sqref="N543">
    <cfRule type="cellIs" dxfId="55" priority="55" operator="lessThan">
      <formula>0</formula>
    </cfRule>
    <cfRule type="cellIs" dxfId="54" priority="56" operator="greaterThan">
      <formula>0</formula>
    </cfRule>
  </conditionalFormatting>
  <conditionalFormatting sqref="F543">
    <cfRule type="cellIs" dxfId="53" priority="53" operator="lessThan">
      <formula>0</formula>
    </cfRule>
    <cfRule type="cellIs" dxfId="52" priority="54" operator="greaterThan">
      <formula>0</formula>
    </cfRule>
  </conditionalFormatting>
  <conditionalFormatting sqref="N542">
    <cfRule type="cellIs" dxfId="51" priority="51" operator="lessThan">
      <formula>0</formula>
    </cfRule>
    <cfRule type="cellIs" dxfId="50" priority="52" operator="greaterThan">
      <formula>0</formula>
    </cfRule>
  </conditionalFormatting>
  <conditionalFormatting sqref="F542">
    <cfRule type="cellIs" dxfId="49" priority="49" operator="lessThan">
      <formula>0</formula>
    </cfRule>
    <cfRule type="cellIs" dxfId="48" priority="50" operator="greaterThan">
      <formula>0</formula>
    </cfRule>
  </conditionalFormatting>
  <conditionalFormatting sqref="N541">
    <cfRule type="cellIs" dxfId="47" priority="47" operator="lessThan">
      <formula>0</formula>
    </cfRule>
    <cfRule type="cellIs" dxfId="46" priority="48" operator="greaterThan">
      <formula>0</formula>
    </cfRule>
  </conditionalFormatting>
  <conditionalFormatting sqref="F541">
    <cfRule type="cellIs" dxfId="45" priority="45" operator="lessThan">
      <formula>0</formula>
    </cfRule>
    <cfRule type="cellIs" dxfId="44" priority="46" operator="greaterThan">
      <formula>0</formula>
    </cfRule>
  </conditionalFormatting>
  <conditionalFormatting sqref="N539:N540">
    <cfRule type="cellIs" dxfId="43" priority="43" operator="lessThan">
      <formula>0</formula>
    </cfRule>
    <cfRule type="cellIs" dxfId="42" priority="44" operator="greaterThan">
      <formula>0</formula>
    </cfRule>
  </conditionalFormatting>
  <conditionalFormatting sqref="F539:F540">
    <cfRule type="cellIs" dxfId="41" priority="41" operator="lessThan">
      <formula>0</formula>
    </cfRule>
    <cfRule type="cellIs" dxfId="40" priority="42" operator="greaterThan">
      <formula>0</formula>
    </cfRule>
  </conditionalFormatting>
  <conditionalFormatting sqref="N538">
    <cfRule type="cellIs" dxfId="39" priority="39" operator="lessThan">
      <formula>0</formula>
    </cfRule>
    <cfRule type="cellIs" dxfId="38" priority="40" operator="greaterThan">
      <formula>0</formula>
    </cfRule>
  </conditionalFormatting>
  <conditionalFormatting sqref="F538">
    <cfRule type="cellIs" dxfId="37" priority="37" operator="lessThan">
      <formula>0</formula>
    </cfRule>
    <cfRule type="cellIs" dxfId="36" priority="38" operator="greaterThan">
      <formula>0</formula>
    </cfRule>
  </conditionalFormatting>
  <conditionalFormatting sqref="N537">
    <cfRule type="cellIs" dxfId="35" priority="35" operator="lessThan">
      <formula>0</formula>
    </cfRule>
    <cfRule type="cellIs" dxfId="34" priority="36" operator="greaterThan">
      <formula>0</formula>
    </cfRule>
  </conditionalFormatting>
  <conditionalFormatting sqref="F537">
    <cfRule type="cellIs" dxfId="33" priority="33" operator="lessThan">
      <formula>0</formula>
    </cfRule>
    <cfRule type="cellIs" dxfId="32" priority="34" operator="greaterThan">
      <formula>0</formula>
    </cfRule>
  </conditionalFormatting>
  <conditionalFormatting sqref="N536">
    <cfRule type="cellIs" dxfId="31" priority="31" operator="lessThan">
      <formula>0</formula>
    </cfRule>
    <cfRule type="cellIs" dxfId="30" priority="32" operator="greaterThan">
      <formula>0</formula>
    </cfRule>
  </conditionalFormatting>
  <conditionalFormatting sqref="F536">
    <cfRule type="cellIs" dxfId="29" priority="29" operator="lessThan">
      <formula>0</formula>
    </cfRule>
    <cfRule type="cellIs" dxfId="28" priority="30" operator="greaterThan">
      <formula>0</formula>
    </cfRule>
  </conditionalFormatting>
  <conditionalFormatting sqref="N535">
    <cfRule type="cellIs" dxfId="27" priority="27" operator="lessThan">
      <formula>0</formula>
    </cfRule>
    <cfRule type="cellIs" dxfId="26" priority="28" operator="greaterThan">
      <formula>0</formula>
    </cfRule>
  </conditionalFormatting>
  <conditionalFormatting sqref="F535">
    <cfRule type="cellIs" dxfId="25" priority="25" operator="lessThan">
      <formula>0</formula>
    </cfRule>
    <cfRule type="cellIs" dxfId="24" priority="26" operator="greaterThan">
      <formula>0</formula>
    </cfRule>
  </conditionalFormatting>
  <conditionalFormatting sqref="N534">
    <cfRule type="cellIs" dxfId="23" priority="23" operator="lessThan">
      <formula>0</formula>
    </cfRule>
    <cfRule type="cellIs" dxfId="22" priority="24" operator="greaterThan">
      <formula>0</formula>
    </cfRule>
  </conditionalFormatting>
  <conditionalFormatting sqref="F534">
    <cfRule type="cellIs" dxfId="21" priority="21" operator="lessThan">
      <formula>0</formula>
    </cfRule>
    <cfRule type="cellIs" dxfId="20" priority="22" operator="greaterThan">
      <formula>0</formula>
    </cfRule>
  </conditionalFormatting>
  <conditionalFormatting sqref="N533">
    <cfRule type="cellIs" dxfId="19" priority="19" operator="lessThan">
      <formula>0</formula>
    </cfRule>
    <cfRule type="cellIs" dxfId="18" priority="20" operator="greaterThan">
      <formula>0</formula>
    </cfRule>
  </conditionalFormatting>
  <conditionalFormatting sqref="F533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N532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F532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N531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531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N530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F530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N52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529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ndMsg_Click">
                <anchor moveWithCells="1" sizeWithCells="1">
                  <from>
                    <xdr:col>13</xdr:col>
                    <xdr:colOff>447675</xdr:colOff>
                    <xdr:row>7</xdr:row>
                    <xdr:rowOff>152400</xdr:rowOff>
                  </from>
                  <to>
                    <xdr:col>15</xdr:col>
                    <xdr:colOff>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Report</vt:lpstr>
    </vt:vector>
  </TitlesOfParts>
  <Company>ILF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Oryński</dc:creator>
  <cp:lastModifiedBy>Tomasz Oryński</cp:lastModifiedBy>
  <dcterms:created xsi:type="dcterms:W3CDTF">2017-02-10T14:49:17Z</dcterms:created>
  <dcterms:modified xsi:type="dcterms:W3CDTF">2017-04-26T17:59:22Z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SAVE_PATH_">
    <vt:lpwstr>K:\XX02\Monitoring PMT\Raporty kierownicy pionow</vt:lpwstr>
  </property>
</Properties>
</file>