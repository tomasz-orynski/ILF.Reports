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orkbookTemplate" defaultThemeVersion="124226"/>
  <bookViews>
    <workbookView xWindow="20145" yWindow="-15" windowWidth="19440" windowHeight="7605"/>
  </bookViews>
  <sheets>
    <sheet name="Report" sheetId="1" r:id="rId1"/>
  </sheets>
  <calcPr calcId="145621"/>
</workbook>
</file>

<file path=xl/calcChain.xml><?xml version="1.0" encoding="utf-8"?>
<calcChain xmlns="http://schemas.openxmlformats.org/spreadsheetml/2006/main">
  <c r="L722" i="1" l="1"/>
  <c r="I722" i="1"/>
  <c r="H722" i="1"/>
  <c r="E722" i="1"/>
  <c r="D722" i="1"/>
  <c r="G722" i="1" s="1"/>
  <c r="L713" i="1"/>
  <c r="I713" i="1"/>
  <c r="H713" i="1"/>
  <c r="E713" i="1"/>
  <c r="D713" i="1"/>
  <c r="G713" i="1" s="1"/>
  <c r="L704" i="1"/>
  <c r="I704" i="1"/>
  <c r="H704" i="1"/>
  <c r="E704" i="1"/>
  <c r="D704" i="1"/>
  <c r="G704" i="1" s="1"/>
  <c r="L695" i="1"/>
  <c r="I695" i="1"/>
  <c r="H695" i="1"/>
  <c r="E695" i="1"/>
  <c r="D695" i="1"/>
  <c r="G695" i="1" s="1"/>
  <c r="L686" i="1"/>
  <c r="I686" i="1"/>
  <c r="H686" i="1"/>
  <c r="E686" i="1"/>
  <c r="D686" i="1"/>
  <c r="L677" i="1"/>
  <c r="I677" i="1"/>
  <c r="H677" i="1"/>
  <c r="E677" i="1"/>
  <c r="D677" i="1"/>
  <c r="L668" i="1"/>
  <c r="I668" i="1"/>
  <c r="H668" i="1"/>
  <c r="E668" i="1"/>
  <c r="D668" i="1"/>
  <c r="G668" i="1" s="1"/>
  <c r="L659" i="1"/>
  <c r="I659" i="1"/>
  <c r="H659" i="1"/>
  <c r="E659" i="1"/>
  <c r="D659" i="1"/>
  <c r="G659" i="1" s="1"/>
  <c r="L650" i="1"/>
  <c r="I650" i="1"/>
  <c r="H650" i="1"/>
  <c r="E650" i="1"/>
  <c r="D650" i="1"/>
  <c r="G650" i="1" s="1"/>
  <c r="L641" i="1"/>
  <c r="I641" i="1"/>
  <c r="H641" i="1"/>
  <c r="E641" i="1"/>
  <c r="D641" i="1"/>
  <c r="G641" i="1" s="1"/>
  <c r="L632" i="1"/>
  <c r="I632" i="1"/>
  <c r="H632" i="1"/>
  <c r="E632" i="1"/>
  <c r="D632" i="1"/>
  <c r="G632" i="1" s="1"/>
  <c r="L623" i="1"/>
  <c r="I623" i="1"/>
  <c r="H623" i="1"/>
  <c r="E623" i="1"/>
  <c r="D623" i="1"/>
  <c r="G623" i="1" s="1"/>
  <c r="L614" i="1"/>
  <c r="I614" i="1"/>
  <c r="H614" i="1"/>
  <c r="E614" i="1"/>
  <c r="D614" i="1"/>
  <c r="G614" i="1" s="1"/>
  <c r="L605" i="1"/>
  <c r="I605" i="1"/>
  <c r="H605" i="1"/>
  <c r="E605" i="1"/>
  <c r="D605" i="1"/>
  <c r="G605" i="1" s="1"/>
  <c r="L596" i="1"/>
  <c r="I596" i="1"/>
  <c r="H596" i="1"/>
  <c r="E596" i="1"/>
  <c r="D596" i="1"/>
  <c r="G596" i="1" s="1"/>
  <c r="L587" i="1"/>
  <c r="I587" i="1"/>
  <c r="H587" i="1"/>
  <c r="E587" i="1"/>
  <c r="D587" i="1"/>
  <c r="G587" i="1" s="1"/>
  <c r="L578" i="1"/>
  <c r="I578" i="1"/>
  <c r="H578" i="1"/>
  <c r="E578" i="1"/>
  <c r="D578" i="1"/>
  <c r="G578" i="1" s="1"/>
  <c r="L569" i="1"/>
  <c r="I569" i="1"/>
  <c r="H569" i="1"/>
  <c r="E569" i="1"/>
  <c r="D569" i="1"/>
  <c r="L560" i="1"/>
  <c r="I560" i="1"/>
  <c r="H560" i="1"/>
  <c r="E560" i="1"/>
  <c r="D560" i="1"/>
  <c r="G560" i="1" s="1"/>
  <c r="L551" i="1"/>
  <c r="I551" i="1"/>
  <c r="H551" i="1"/>
  <c r="E551" i="1"/>
  <c r="D551" i="1"/>
  <c r="G551" i="1" s="1"/>
  <c r="L542" i="1"/>
  <c r="I542" i="1"/>
  <c r="H542" i="1"/>
  <c r="E542" i="1"/>
  <c r="D542" i="1"/>
  <c r="G542" i="1" s="1"/>
  <c r="L533" i="1"/>
  <c r="I533" i="1"/>
  <c r="H533" i="1"/>
  <c r="E533" i="1"/>
  <c r="D533" i="1"/>
  <c r="G533" i="1" s="1"/>
  <c r="L524" i="1"/>
  <c r="I524" i="1"/>
  <c r="H524" i="1"/>
  <c r="E524" i="1"/>
  <c r="D524" i="1"/>
  <c r="G524" i="1" s="1"/>
  <c r="L515" i="1"/>
  <c r="I515" i="1"/>
  <c r="H515" i="1"/>
  <c r="E515" i="1"/>
  <c r="D515" i="1"/>
  <c r="G515" i="1" s="1"/>
  <c r="L506" i="1"/>
  <c r="I506" i="1"/>
  <c r="H506" i="1"/>
  <c r="E506" i="1"/>
  <c r="D506" i="1"/>
  <c r="G506" i="1" s="1"/>
  <c r="L497" i="1"/>
  <c r="I497" i="1"/>
  <c r="H497" i="1"/>
  <c r="E497" i="1"/>
  <c r="D497" i="1"/>
  <c r="G497" i="1" s="1"/>
  <c r="L488" i="1"/>
  <c r="I488" i="1"/>
  <c r="H488" i="1"/>
  <c r="E488" i="1"/>
  <c r="D488" i="1"/>
  <c r="G488" i="1" s="1"/>
  <c r="L479" i="1"/>
  <c r="I479" i="1"/>
  <c r="H479" i="1"/>
  <c r="E479" i="1"/>
  <c r="D479" i="1"/>
  <c r="G479" i="1" s="1"/>
  <c r="L470" i="1"/>
  <c r="I470" i="1"/>
  <c r="H470" i="1"/>
  <c r="E470" i="1"/>
  <c r="D470" i="1"/>
  <c r="G470" i="1" s="1"/>
  <c r="L461" i="1"/>
  <c r="I461" i="1"/>
  <c r="H461" i="1"/>
  <c r="E461" i="1"/>
  <c r="D461" i="1"/>
  <c r="G461" i="1" s="1"/>
  <c r="L452" i="1"/>
  <c r="I452" i="1"/>
  <c r="H452" i="1"/>
  <c r="E452" i="1"/>
  <c r="D452" i="1"/>
  <c r="G452" i="1" s="1"/>
  <c r="L443" i="1"/>
  <c r="I443" i="1"/>
  <c r="H443" i="1"/>
  <c r="E443" i="1"/>
  <c r="D443" i="1"/>
  <c r="G443" i="1" s="1"/>
  <c r="L434" i="1"/>
  <c r="I434" i="1"/>
  <c r="H434" i="1"/>
  <c r="E434" i="1"/>
  <c r="D434" i="1"/>
  <c r="G434" i="1" s="1"/>
  <c r="L425" i="1"/>
  <c r="I425" i="1"/>
  <c r="H425" i="1"/>
  <c r="E425" i="1"/>
  <c r="D425" i="1"/>
  <c r="G425" i="1" s="1"/>
  <c r="L416" i="1"/>
  <c r="I416" i="1"/>
  <c r="H416" i="1"/>
  <c r="E416" i="1"/>
  <c r="D416" i="1"/>
  <c r="L407" i="1"/>
  <c r="I407" i="1"/>
  <c r="H407" i="1"/>
  <c r="E407" i="1"/>
  <c r="D407" i="1"/>
  <c r="G407" i="1" s="1"/>
  <c r="L398" i="1"/>
  <c r="I398" i="1"/>
  <c r="H398" i="1"/>
  <c r="E398" i="1"/>
  <c r="D398" i="1"/>
  <c r="G398" i="1" s="1"/>
  <c r="L389" i="1"/>
  <c r="I389" i="1"/>
  <c r="H389" i="1"/>
  <c r="E389" i="1"/>
  <c r="D389" i="1"/>
  <c r="G389" i="1" s="1"/>
  <c r="L380" i="1"/>
  <c r="I380" i="1"/>
  <c r="H380" i="1"/>
  <c r="E380" i="1"/>
  <c r="D380" i="1"/>
  <c r="G380" i="1" s="1"/>
  <c r="M373" i="1"/>
  <c r="O373" i="1" s="1"/>
  <c r="K373" i="1"/>
  <c r="J373" i="1"/>
  <c r="G373" i="1"/>
  <c r="F373" i="1"/>
  <c r="M374" i="1"/>
  <c r="O374" i="1" s="1"/>
  <c r="K374" i="1"/>
  <c r="J374" i="1"/>
  <c r="F374" i="1"/>
  <c r="G374" i="1" s="1"/>
  <c r="M375" i="1"/>
  <c r="O375" i="1" s="1"/>
  <c r="K375" i="1"/>
  <c r="J375" i="1"/>
  <c r="F375" i="1"/>
  <c r="G375" i="1" s="1"/>
  <c r="M376" i="1"/>
  <c r="O376" i="1" s="1"/>
  <c r="K376" i="1"/>
  <c r="J376" i="1"/>
  <c r="F376" i="1"/>
  <c r="G376" i="1" s="1"/>
  <c r="M377" i="1"/>
  <c r="O377" i="1" s="1"/>
  <c r="K377" i="1"/>
  <c r="J377" i="1"/>
  <c r="G377" i="1"/>
  <c r="F377" i="1"/>
  <c r="M378" i="1"/>
  <c r="K378" i="1"/>
  <c r="J378" i="1"/>
  <c r="G378" i="1"/>
  <c r="F378" i="1"/>
  <c r="M379" i="1"/>
  <c r="O379" i="1" s="1"/>
  <c r="K379" i="1"/>
  <c r="J379" i="1"/>
  <c r="F379" i="1"/>
  <c r="G379" i="1" s="1"/>
  <c r="M381" i="1"/>
  <c r="O381" i="1" s="1"/>
  <c r="K381" i="1"/>
  <c r="J381" i="1"/>
  <c r="F381" i="1"/>
  <c r="M382" i="1"/>
  <c r="K382" i="1"/>
  <c r="J382" i="1"/>
  <c r="G382" i="1"/>
  <c r="F382" i="1"/>
  <c r="M383" i="1"/>
  <c r="K383" i="1"/>
  <c r="J383" i="1"/>
  <c r="G383" i="1"/>
  <c r="F383" i="1"/>
  <c r="M384" i="1"/>
  <c r="K384" i="1"/>
  <c r="J384" i="1"/>
  <c r="G384" i="1"/>
  <c r="F384" i="1"/>
  <c r="M385" i="1"/>
  <c r="O385" i="1" s="1"/>
  <c r="K385" i="1"/>
  <c r="J385" i="1"/>
  <c r="G385" i="1"/>
  <c r="F385" i="1"/>
  <c r="M386" i="1"/>
  <c r="O386" i="1" s="1"/>
  <c r="K386" i="1"/>
  <c r="J386" i="1"/>
  <c r="F386" i="1"/>
  <c r="G386" i="1" s="1"/>
  <c r="M387" i="1"/>
  <c r="O387" i="1" s="1"/>
  <c r="K387" i="1"/>
  <c r="J387" i="1"/>
  <c r="G387" i="1"/>
  <c r="F387" i="1"/>
  <c r="M388" i="1"/>
  <c r="O388" i="1" s="1"/>
  <c r="K388" i="1"/>
  <c r="J388" i="1"/>
  <c r="G388" i="1"/>
  <c r="F388" i="1"/>
  <c r="M390" i="1"/>
  <c r="K390" i="1"/>
  <c r="J390" i="1"/>
  <c r="F390" i="1"/>
  <c r="G390" i="1" s="1"/>
  <c r="M391" i="1"/>
  <c r="O391" i="1" s="1"/>
  <c r="K391" i="1"/>
  <c r="J391" i="1"/>
  <c r="G391" i="1"/>
  <c r="F391" i="1"/>
  <c r="M392" i="1"/>
  <c r="K392" i="1"/>
  <c r="J392" i="1"/>
  <c r="G392" i="1"/>
  <c r="F392" i="1"/>
  <c r="M393" i="1"/>
  <c r="K393" i="1"/>
  <c r="J393" i="1"/>
  <c r="G393" i="1"/>
  <c r="F393" i="1"/>
  <c r="M394" i="1"/>
  <c r="K394" i="1"/>
  <c r="J394" i="1"/>
  <c r="G394" i="1"/>
  <c r="F394" i="1"/>
  <c r="M395" i="1"/>
  <c r="O395" i="1" s="1"/>
  <c r="K395" i="1"/>
  <c r="J395" i="1"/>
  <c r="F395" i="1"/>
  <c r="G395" i="1" s="1"/>
  <c r="M396" i="1"/>
  <c r="O396" i="1" s="1"/>
  <c r="K396" i="1"/>
  <c r="J396" i="1"/>
  <c r="G396" i="1"/>
  <c r="F396" i="1"/>
  <c r="M397" i="1"/>
  <c r="O397" i="1" s="1"/>
  <c r="K397" i="1"/>
  <c r="J397" i="1"/>
  <c r="F397" i="1"/>
  <c r="G397" i="1" s="1"/>
  <c r="M399" i="1"/>
  <c r="O399" i="1" s="1"/>
  <c r="K399" i="1"/>
  <c r="J399" i="1"/>
  <c r="G399" i="1"/>
  <c r="F399" i="1"/>
  <c r="M400" i="1"/>
  <c r="O400" i="1" s="1"/>
  <c r="K400" i="1"/>
  <c r="J400" i="1"/>
  <c r="G400" i="1"/>
  <c r="F400" i="1"/>
  <c r="M401" i="1"/>
  <c r="O401" i="1" s="1"/>
  <c r="K401" i="1"/>
  <c r="J401" i="1"/>
  <c r="G401" i="1"/>
  <c r="F401" i="1"/>
  <c r="M402" i="1"/>
  <c r="O402" i="1" s="1"/>
  <c r="K402" i="1"/>
  <c r="J402" i="1"/>
  <c r="F402" i="1"/>
  <c r="G402" i="1" s="1"/>
  <c r="M403" i="1"/>
  <c r="K403" i="1"/>
  <c r="J403" i="1"/>
  <c r="G403" i="1"/>
  <c r="F403" i="1"/>
  <c r="M404" i="1"/>
  <c r="K404" i="1"/>
  <c r="J404" i="1"/>
  <c r="G404" i="1"/>
  <c r="F404" i="1"/>
  <c r="M405" i="1"/>
  <c r="O405" i="1" s="1"/>
  <c r="K405" i="1"/>
  <c r="J405" i="1"/>
  <c r="G405" i="1"/>
  <c r="F405" i="1"/>
  <c r="M406" i="1"/>
  <c r="O406" i="1" s="1"/>
  <c r="K406" i="1"/>
  <c r="J406" i="1"/>
  <c r="F406" i="1"/>
  <c r="G406" i="1" s="1"/>
  <c r="M408" i="1"/>
  <c r="K408" i="1"/>
  <c r="J408" i="1"/>
  <c r="G408" i="1"/>
  <c r="F408" i="1"/>
  <c r="F416" i="1" s="1"/>
  <c r="M409" i="1"/>
  <c r="O409" i="1" s="1"/>
  <c r="K409" i="1"/>
  <c r="J409" i="1"/>
  <c r="F409" i="1"/>
  <c r="G409" i="1" s="1"/>
  <c r="M410" i="1"/>
  <c r="O410" i="1" s="1"/>
  <c r="K410" i="1"/>
  <c r="J410" i="1"/>
  <c r="F410" i="1"/>
  <c r="G410" i="1" s="1"/>
  <c r="M411" i="1"/>
  <c r="O411" i="1" s="1"/>
  <c r="K411" i="1"/>
  <c r="J411" i="1"/>
  <c r="G411" i="1"/>
  <c r="F411" i="1"/>
  <c r="M412" i="1"/>
  <c r="O412" i="1" s="1"/>
  <c r="K412" i="1"/>
  <c r="J412" i="1"/>
  <c r="F412" i="1"/>
  <c r="G412" i="1" s="1"/>
  <c r="M413" i="1"/>
  <c r="O413" i="1" s="1"/>
  <c r="K413" i="1"/>
  <c r="J413" i="1"/>
  <c r="F413" i="1"/>
  <c r="G413" i="1" s="1"/>
  <c r="M414" i="1"/>
  <c r="O414" i="1" s="1"/>
  <c r="K414" i="1"/>
  <c r="J414" i="1"/>
  <c r="G414" i="1"/>
  <c r="F414" i="1"/>
  <c r="M415" i="1"/>
  <c r="O415" i="1" s="1"/>
  <c r="K415" i="1"/>
  <c r="J415" i="1"/>
  <c r="F415" i="1"/>
  <c r="G415" i="1" s="1"/>
  <c r="M417" i="1"/>
  <c r="O417" i="1" s="1"/>
  <c r="K417" i="1"/>
  <c r="J417" i="1"/>
  <c r="F417" i="1"/>
  <c r="M418" i="1"/>
  <c r="O418" i="1" s="1"/>
  <c r="K418" i="1"/>
  <c r="J418" i="1"/>
  <c r="F418" i="1"/>
  <c r="G418" i="1" s="1"/>
  <c r="M419" i="1"/>
  <c r="O419" i="1" s="1"/>
  <c r="K419" i="1"/>
  <c r="J419" i="1"/>
  <c r="G419" i="1"/>
  <c r="F419" i="1"/>
  <c r="M420" i="1"/>
  <c r="O420" i="1" s="1"/>
  <c r="K420" i="1"/>
  <c r="J420" i="1"/>
  <c r="G420" i="1"/>
  <c r="F420" i="1"/>
  <c r="M421" i="1"/>
  <c r="N421" i="1" s="1"/>
  <c r="K421" i="1"/>
  <c r="J421" i="1"/>
  <c r="F421" i="1"/>
  <c r="G421" i="1" s="1"/>
  <c r="M422" i="1"/>
  <c r="N422" i="1" s="1"/>
  <c r="K422" i="1"/>
  <c r="J422" i="1"/>
  <c r="F422" i="1"/>
  <c r="G422" i="1" s="1"/>
  <c r="M423" i="1"/>
  <c r="N423" i="1" s="1"/>
  <c r="K423" i="1"/>
  <c r="J423" i="1"/>
  <c r="F423" i="1"/>
  <c r="G423" i="1" s="1"/>
  <c r="M424" i="1"/>
  <c r="O424" i="1" s="1"/>
  <c r="K424" i="1"/>
  <c r="J424" i="1"/>
  <c r="F424" i="1"/>
  <c r="G424" i="1" s="1"/>
  <c r="M426" i="1"/>
  <c r="O426" i="1" s="1"/>
  <c r="K426" i="1"/>
  <c r="J426" i="1"/>
  <c r="F426" i="1"/>
  <c r="G426" i="1" s="1"/>
  <c r="M427" i="1"/>
  <c r="O427" i="1" s="1"/>
  <c r="K427" i="1"/>
  <c r="J427" i="1"/>
  <c r="F427" i="1"/>
  <c r="G427" i="1" s="1"/>
  <c r="M428" i="1"/>
  <c r="N428" i="1" s="1"/>
  <c r="K428" i="1"/>
  <c r="J428" i="1"/>
  <c r="F428" i="1"/>
  <c r="G428" i="1" s="1"/>
  <c r="M429" i="1"/>
  <c r="O429" i="1" s="1"/>
  <c r="K429" i="1"/>
  <c r="J429" i="1"/>
  <c r="F429" i="1"/>
  <c r="G429" i="1" s="1"/>
  <c r="M430" i="1"/>
  <c r="O430" i="1" s="1"/>
  <c r="K430" i="1"/>
  <c r="J430" i="1"/>
  <c r="G430" i="1"/>
  <c r="F430" i="1"/>
  <c r="M431" i="1"/>
  <c r="O431" i="1" s="1"/>
  <c r="K431" i="1"/>
  <c r="J431" i="1"/>
  <c r="F431" i="1"/>
  <c r="G431" i="1" s="1"/>
  <c r="M432" i="1"/>
  <c r="O432" i="1" s="1"/>
  <c r="K432" i="1"/>
  <c r="J432" i="1"/>
  <c r="F432" i="1"/>
  <c r="G432" i="1" s="1"/>
  <c r="M433" i="1"/>
  <c r="O433" i="1" s="1"/>
  <c r="K433" i="1"/>
  <c r="J433" i="1"/>
  <c r="F433" i="1"/>
  <c r="G433" i="1" s="1"/>
  <c r="M435" i="1"/>
  <c r="N435" i="1" s="1"/>
  <c r="K435" i="1"/>
  <c r="J435" i="1"/>
  <c r="F435" i="1"/>
  <c r="G435" i="1" s="1"/>
  <c r="M436" i="1"/>
  <c r="O436" i="1" s="1"/>
  <c r="K436" i="1"/>
  <c r="J436" i="1"/>
  <c r="G436" i="1"/>
  <c r="F436" i="1"/>
  <c r="M437" i="1"/>
  <c r="O437" i="1" s="1"/>
  <c r="K437" i="1"/>
  <c r="J437" i="1"/>
  <c r="F437" i="1"/>
  <c r="G437" i="1" s="1"/>
  <c r="M438" i="1"/>
  <c r="O438" i="1" s="1"/>
  <c r="K438" i="1"/>
  <c r="J438" i="1"/>
  <c r="F438" i="1"/>
  <c r="G438" i="1" s="1"/>
  <c r="M439" i="1"/>
  <c r="O439" i="1" s="1"/>
  <c r="K439" i="1"/>
  <c r="J439" i="1"/>
  <c r="F439" i="1"/>
  <c r="G439" i="1" s="1"/>
  <c r="M440" i="1"/>
  <c r="O440" i="1" s="1"/>
  <c r="K440" i="1"/>
  <c r="J440" i="1"/>
  <c r="F440" i="1"/>
  <c r="G440" i="1" s="1"/>
  <c r="M441" i="1"/>
  <c r="O441" i="1" s="1"/>
  <c r="K441" i="1"/>
  <c r="J441" i="1"/>
  <c r="F441" i="1"/>
  <c r="G441" i="1" s="1"/>
  <c r="M442" i="1"/>
  <c r="K442" i="1"/>
  <c r="J442" i="1"/>
  <c r="G442" i="1"/>
  <c r="F442" i="1"/>
  <c r="M444" i="1"/>
  <c r="O444" i="1" s="1"/>
  <c r="K444" i="1"/>
  <c r="J444" i="1"/>
  <c r="F444" i="1"/>
  <c r="G444" i="1" s="1"/>
  <c r="M445" i="1"/>
  <c r="O445" i="1" s="1"/>
  <c r="K445" i="1"/>
  <c r="J445" i="1"/>
  <c r="F445" i="1"/>
  <c r="G445" i="1" s="1"/>
  <c r="M446" i="1"/>
  <c r="O446" i="1" s="1"/>
  <c r="K446" i="1"/>
  <c r="J446" i="1"/>
  <c r="F446" i="1"/>
  <c r="G446" i="1" s="1"/>
  <c r="M447" i="1"/>
  <c r="O447" i="1" s="1"/>
  <c r="K447" i="1"/>
  <c r="J447" i="1"/>
  <c r="F447" i="1"/>
  <c r="G447" i="1" s="1"/>
  <c r="M448" i="1"/>
  <c r="O448" i="1" s="1"/>
  <c r="K448" i="1"/>
  <c r="J448" i="1"/>
  <c r="F448" i="1"/>
  <c r="G448" i="1" s="1"/>
  <c r="M449" i="1"/>
  <c r="O449" i="1" s="1"/>
  <c r="K449" i="1"/>
  <c r="J449" i="1"/>
  <c r="G449" i="1"/>
  <c r="F449" i="1"/>
  <c r="M450" i="1"/>
  <c r="O450" i="1" s="1"/>
  <c r="K450" i="1"/>
  <c r="J450" i="1"/>
  <c r="F450" i="1"/>
  <c r="G450" i="1" s="1"/>
  <c r="M451" i="1"/>
  <c r="O451" i="1" s="1"/>
  <c r="K451" i="1"/>
  <c r="J451" i="1"/>
  <c r="F451" i="1"/>
  <c r="G451" i="1" s="1"/>
  <c r="M453" i="1"/>
  <c r="O453" i="1" s="1"/>
  <c r="K453" i="1"/>
  <c r="J453" i="1"/>
  <c r="F453" i="1"/>
  <c r="G453" i="1" s="1"/>
  <c r="M454" i="1"/>
  <c r="O454" i="1" s="1"/>
  <c r="K454" i="1"/>
  <c r="J454" i="1"/>
  <c r="F454" i="1"/>
  <c r="G454" i="1" s="1"/>
  <c r="M455" i="1"/>
  <c r="O455" i="1" s="1"/>
  <c r="K455" i="1"/>
  <c r="J455" i="1"/>
  <c r="F455" i="1"/>
  <c r="G455" i="1" s="1"/>
  <c r="M456" i="1"/>
  <c r="N456" i="1" s="1"/>
  <c r="K456" i="1"/>
  <c r="J456" i="1"/>
  <c r="F456" i="1"/>
  <c r="G456" i="1" s="1"/>
  <c r="M457" i="1"/>
  <c r="O457" i="1" s="1"/>
  <c r="K457" i="1"/>
  <c r="J457" i="1"/>
  <c r="G457" i="1"/>
  <c r="F457" i="1"/>
  <c r="M458" i="1"/>
  <c r="O458" i="1" s="1"/>
  <c r="K458" i="1"/>
  <c r="J458" i="1"/>
  <c r="F458" i="1"/>
  <c r="G458" i="1" s="1"/>
  <c r="M459" i="1"/>
  <c r="O459" i="1" s="1"/>
  <c r="K459" i="1"/>
  <c r="J459" i="1"/>
  <c r="F459" i="1"/>
  <c r="G459" i="1" s="1"/>
  <c r="M460" i="1"/>
  <c r="O460" i="1" s="1"/>
  <c r="K460" i="1"/>
  <c r="J460" i="1"/>
  <c r="F460" i="1"/>
  <c r="G460" i="1" s="1"/>
  <c r="M462" i="1"/>
  <c r="O462" i="1" s="1"/>
  <c r="K462" i="1"/>
  <c r="J462" i="1"/>
  <c r="F462" i="1"/>
  <c r="G462" i="1" s="1"/>
  <c r="M463" i="1"/>
  <c r="O463" i="1" s="1"/>
  <c r="K463" i="1"/>
  <c r="J463" i="1"/>
  <c r="F463" i="1"/>
  <c r="G463" i="1" s="1"/>
  <c r="M464" i="1"/>
  <c r="K464" i="1"/>
  <c r="J464" i="1"/>
  <c r="G464" i="1"/>
  <c r="F464" i="1"/>
  <c r="M465" i="1"/>
  <c r="K465" i="1"/>
  <c r="J465" i="1"/>
  <c r="G465" i="1"/>
  <c r="F465" i="1"/>
  <c r="M466" i="1"/>
  <c r="O466" i="1" s="1"/>
  <c r="K466" i="1"/>
  <c r="J466" i="1"/>
  <c r="F466" i="1"/>
  <c r="G466" i="1" s="1"/>
  <c r="M467" i="1"/>
  <c r="O467" i="1" s="1"/>
  <c r="K467" i="1"/>
  <c r="J467" i="1"/>
  <c r="F467" i="1"/>
  <c r="G467" i="1" s="1"/>
  <c r="M468" i="1"/>
  <c r="O468" i="1" s="1"/>
  <c r="K468" i="1"/>
  <c r="J468" i="1"/>
  <c r="F468" i="1"/>
  <c r="G468" i="1" s="1"/>
  <c r="M469" i="1"/>
  <c r="O469" i="1" s="1"/>
  <c r="K469" i="1"/>
  <c r="J469" i="1"/>
  <c r="F469" i="1"/>
  <c r="G469" i="1" s="1"/>
  <c r="M471" i="1"/>
  <c r="O471" i="1" s="1"/>
  <c r="K471" i="1"/>
  <c r="J471" i="1"/>
  <c r="F471" i="1"/>
  <c r="M472" i="1"/>
  <c r="K472" i="1"/>
  <c r="J472" i="1"/>
  <c r="G472" i="1"/>
  <c r="F472" i="1"/>
  <c r="M473" i="1"/>
  <c r="O473" i="1" s="1"/>
  <c r="K473" i="1"/>
  <c r="J473" i="1"/>
  <c r="F473" i="1"/>
  <c r="G473" i="1" s="1"/>
  <c r="M474" i="1"/>
  <c r="O474" i="1" s="1"/>
  <c r="K474" i="1"/>
  <c r="J474" i="1"/>
  <c r="F474" i="1"/>
  <c r="G474" i="1" s="1"/>
  <c r="M475" i="1"/>
  <c r="O475" i="1" s="1"/>
  <c r="K475" i="1"/>
  <c r="J475" i="1"/>
  <c r="F475" i="1"/>
  <c r="G475" i="1" s="1"/>
  <c r="M476" i="1"/>
  <c r="K476" i="1"/>
  <c r="J476" i="1"/>
  <c r="G476" i="1"/>
  <c r="F476" i="1"/>
  <c r="M477" i="1"/>
  <c r="O477" i="1" s="1"/>
  <c r="K477" i="1"/>
  <c r="J477" i="1"/>
  <c r="F477" i="1"/>
  <c r="G477" i="1" s="1"/>
  <c r="M478" i="1"/>
  <c r="O478" i="1" s="1"/>
  <c r="K478" i="1"/>
  <c r="J478" i="1"/>
  <c r="F478" i="1"/>
  <c r="G478" i="1" s="1"/>
  <c r="M480" i="1"/>
  <c r="O480" i="1" s="1"/>
  <c r="K480" i="1"/>
  <c r="J480" i="1"/>
  <c r="F480" i="1"/>
  <c r="G480" i="1" s="1"/>
  <c r="M481" i="1"/>
  <c r="O481" i="1" s="1"/>
  <c r="K481" i="1"/>
  <c r="J481" i="1"/>
  <c r="F481" i="1"/>
  <c r="G481" i="1" s="1"/>
  <c r="M482" i="1"/>
  <c r="K482" i="1"/>
  <c r="J482" i="1"/>
  <c r="G482" i="1"/>
  <c r="F482" i="1"/>
  <c r="M483" i="1"/>
  <c r="O483" i="1" s="1"/>
  <c r="K483" i="1"/>
  <c r="J483" i="1"/>
  <c r="F483" i="1"/>
  <c r="G483" i="1" s="1"/>
  <c r="M484" i="1"/>
  <c r="K484" i="1"/>
  <c r="J484" i="1"/>
  <c r="G484" i="1"/>
  <c r="F484" i="1"/>
  <c r="M485" i="1"/>
  <c r="O485" i="1" s="1"/>
  <c r="K485" i="1"/>
  <c r="J485" i="1"/>
  <c r="F485" i="1"/>
  <c r="G485" i="1" s="1"/>
  <c r="M486" i="1"/>
  <c r="K486" i="1"/>
  <c r="J486" i="1"/>
  <c r="G486" i="1"/>
  <c r="F486" i="1"/>
  <c r="M487" i="1"/>
  <c r="O487" i="1" s="1"/>
  <c r="K487" i="1"/>
  <c r="J487" i="1"/>
  <c r="F487" i="1"/>
  <c r="G487" i="1" s="1"/>
  <c r="M489" i="1"/>
  <c r="K489" i="1"/>
  <c r="J489" i="1"/>
  <c r="G489" i="1"/>
  <c r="F489" i="1"/>
  <c r="M490" i="1"/>
  <c r="K490" i="1"/>
  <c r="J490" i="1"/>
  <c r="G490" i="1"/>
  <c r="F490" i="1"/>
  <c r="M491" i="1"/>
  <c r="K491" i="1"/>
  <c r="J491" i="1"/>
  <c r="G491" i="1"/>
  <c r="F491" i="1"/>
  <c r="M492" i="1"/>
  <c r="O492" i="1" s="1"/>
  <c r="K492" i="1"/>
  <c r="J492" i="1"/>
  <c r="F492" i="1"/>
  <c r="G492" i="1" s="1"/>
  <c r="M493" i="1"/>
  <c r="O493" i="1" s="1"/>
  <c r="K493" i="1"/>
  <c r="J493" i="1"/>
  <c r="F493" i="1"/>
  <c r="G493" i="1" s="1"/>
  <c r="M494" i="1"/>
  <c r="O494" i="1" s="1"/>
  <c r="K494" i="1"/>
  <c r="J494" i="1"/>
  <c r="F494" i="1"/>
  <c r="G494" i="1" s="1"/>
  <c r="M495" i="1"/>
  <c r="O495" i="1" s="1"/>
  <c r="K495" i="1"/>
  <c r="J495" i="1"/>
  <c r="F495" i="1"/>
  <c r="G495" i="1" s="1"/>
  <c r="M496" i="1"/>
  <c r="O496" i="1" s="1"/>
  <c r="K496" i="1"/>
  <c r="J496" i="1"/>
  <c r="F496" i="1"/>
  <c r="G496" i="1" s="1"/>
  <c r="M498" i="1"/>
  <c r="O498" i="1" s="1"/>
  <c r="K498" i="1"/>
  <c r="J498" i="1"/>
  <c r="F498" i="1"/>
  <c r="G498" i="1" s="1"/>
  <c r="M499" i="1"/>
  <c r="O499" i="1" s="1"/>
  <c r="K499" i="1"/>
  <c r="J499" i="1"/>
  <c r="F499" i="1"/>
  <c r="G499" i="1" s="1"/>
  <c r="M500" i="1"/>
  <c r="O500" i="1" s="1"/>
  <c r="K500" i="1"/>
  <c r="J500" i="1"/>
  <c r="F500" i="1"/>
  <c r="G500" i="1" s="1"/>
  <c r="M501" i="1"/>
  <c r="O501" i="1" s="1"/>
  <c r="K501" i="1"/>
  <c r="J501" i="1"/>
  <c r="F501" i="1"/>
  <c r="G501" i="1" s="1"/>
  <c r="M502" i="1"/>
  <c r="O502" i="1" s="1"/>
  <c r="K502" i="1"/>
  <c r="J502" i="1"/>
  <c r="F502" i="1"/>
  <c r="G502" i="1" s="1"/>
  <c r="M503" i="1"/>
  <c r="O503" i="1" s="1"/>
  <c r="K503" i="1"/>
  <c r="J503" i="1"/>
  <c r="F503" i="1"/>
  <c r="G503" i="1" s="1"/>
  <c r="M504" i="1"/>
  <c r="O504" i="1" s="1"/>
  <c r="K504" i="1"/>
  <c r="J504" i="1"/>
  <c r="F504" i="1"/>
  <c r="G504" i="1" s="1"/>
  <c r="M505" i="1"/>
  <c r="O505" i="1" s="1"/>
  <c r="K505" i="1"/>
  <c r="J505" i="1"/>
  <c r="F505" i="1"/>
  <c r="G505" i="1" s="1"/>
  <c r="M507" i="1"/>
  <c r="O507" i="1" s="1"/>
  <c r="K507" i="1"/>
  <c r="J507" i="1"/>
  <c r="F507" i="1"/>
  <c r="M508" i="1"/>
  <c r="O508" i="1" s="1"/>
  <c r="K508" i="1"/>
  <c r="J508" i="1"/>
  <c r="F508" i="1"/>
  <c r="G508" i="1" s="1"/>
  <c r="M509" i="1"/>
  <c r="O509" i="1" s="1"/>
  <c r="K509" i="1"/>
  <c r="J509" i="1"/>
  <c r="F509" i="1"/>
  <c r="G509" i="1" s="1"/>
  <c r="M510" i="1"/>
  <c r="O510" i="1" s="1"/>
  <c r="K510" i="1"/>
  <c r="J510" i="1"/>
  <c r="F510" i="1"/>
  <c r="G510" i="1" s="1"/>
  <c r="M511" i="1"/>
  <c r="O511" i="1" s="1"/>
  <c r="K511" i="1"/>
  <c r="J511" i="1"/>
  <c r="F511" i="1"/>
  <c r="G511" i="1" s="1"/>
  <c r="M512" i="1"/>
  <c r="O512" i="1" s="1"/>
  <c r="K512" i="1"/>
  <c r="J512" i="1"/>
  <c r="F512" i="1"/>
  <c r="G512" i="1" s="1"/>
  <c r="M513" i="1"/>
  <c r="O513" i="1" s="1"/>
  <c r="K513" i="1"/>
  <c r="J513" i="1"/>
  <c r="F513" i="1"/>
  <c r="G513" i="1" s="1"/>
  <c r="M514" i="1"/>
  <c r="O514" i="1" s="1"/>
  <c r="K514" i="1"/>
  <c r="J514" i="1"/>
  <c r="F514" i="1"/>
  <c r="G514" i="1" s="1"/>
  <c r="M516" i="1"/>
  <c r="O516" i="1" s="1"/>
  <c r="K516" i="1"/>
  <c r="J516" i="1"/>
  <c r="F516" i="1"/>
  <c r="G516" i="1" s="1"/>
  <c r="M517" i="1"/>
  <c r="O517" i="1" s="1"/>
  <c r="K517" i="1"/>
  <c r="J517" i="1"/>
  <c r="F517" i="1"/>
  <c r="G517" i="1" s="1"/>
  <c r="M518" i="1"/>
  <c r="O518" i="1" s="1"/>
  <c r="K518" i="1"/>
  <c r="J518" i="1"/>
  <c r="G518" i="1"/>
  <c r="F518" i="1"/>
  <c r="M519" i="1"/>
  <c r="O519" i="1" s="1"/>
  <c r="K519" i="1"/>
  <c r="J519" i="1"/>
  <c r="F519" i="1"/>
  <c r="G519" i="1" s="1"/>
  <c r="M520" i="1"/>
  <c r="O520" i="1" s="1"/>
  <c r="K520" i="1"/>
  <c r="J520" i="1"/>
  <c r="G520" i="1"/>
  <c r="F520" i="1"/>
  <c r="M521" i="1"/>
  <c r="O521" i="1" s="1"/>
  <c r="K521" i="1"/>
  <c r="J521" i="1"/>
  <c r="F521" i="1"/>
  <c r="G521" i="1" s="1"/>
  <c r="M522" i="1"/>
  <c r="O522" i="1" s="1"/>
  <c r="K522" i="1"/>
  <c r="J522" i="1"/>
  <c r="F522" i="1"/>
  <c r="G522" i="1" s="1"/>
  <c r="M523" i="1"/>
  <c r="O523" i="1" s="1"/>
  <c r="K523" i="1"/>
  <c r="J523" i="1"/>
  <c r="F523" i="1"/>
  <c r="G523" i="1" s="1"/>
  <c r="M525" i="1"/>
  <c r="O525" i="1" s="1"/>
  <c r="K525" i="1"/>
  <c r="J525" i="1"/>
  <c r="F525" i="1"/>
  <c r="M526" i="1"/>
  <c r="O526" i="1" s="1"/>
  <c r="K526" i="1"/>
  <c r="J526" i="1"/>
  <c r="G526" i="1"/>
  <c r="F526" i="1"/>
  <c r="M527" i="1"/>
  <c r="O527" i="1" s="1"/>
  <c r="K527" i="1"/>
  <c r="J527" i="1"/>
  <c r="F527" i="1"/>
  <c r="G527" i="1" s="1"/>
  <c r="M528" i="1"/>
  <c r="O528" i="1" s="1"/>
  <c r="K528" i="1"/>
  <c r="J528" i="1"/>
  <c r="F528" i="1"/>
  <c r="G528" i="1" s="1"/>
  <c r="M529" i="1"/>
  <c r="O529" i="1" s="1"/>
  <c r="K529" i="1"/>
  <c r="J529" i="1"/>
  <c r="F529" i="1"/>
  <c r="G529" i="1" s="1"/>
  <c r="M530" i="1"/>
  <c r="O530" i="1" s="1"/>
  <c r="K530" i="1"/>
  <c r="J530" i="1"/>
  <c r="G530" i="1"/>
  <c r="F530" i="1"/>
  <c r="M531" i="1"/>
  <c r="O531" i="1" s="1"/>
  <c r="K531" i="1"/>
  <c r="J531" i="1"/>
  <c r="F531" i="1"/>
  <c r="G531" i="1" s="1"/>
  <c r="M532" i="1"/>
  <c r="O532" i="1" s="1"/>
  <c r="K532" i="1"/>
  <c r="J532" i="1"/>
  <c r="F532" i="1"/>
  <c r="G532" i="1" s="1"/>
  <c r="M534" i="1"/>
  <c r="O534" i="1" s="1"/>
  <c r="K534" i="1"/>
  <c r="J534" i="1"/>
  <c r="F534" i="1"/>
  <c r="G534" i="1" s="1"/>
  <c r="M535" i="1"/>
  <c r="O535" i="1" s="1"/>
  <c r="K535" i="1"/>
  <c r="J535" i="1"/>
  <c r="F535" i="1"/>
  <c r="G535" i="1" s="1"/>
  <c r="M536" i="1"/>
  <c r="K536" i="1"/>
  <c r="J536" i="1"/>
  <c r="G536" i="1"/>
  <c r="F536" i="1"/>
  <c r="M537" i="1"/>
  <c r="O537" i="1" s="1"/>
  <c r="K537" i="1"/>
  <c r="J537" i="1"/>
  <c r="F537" i="1"/>
  <c r="G537" i="1" s="1"/>
  <c r="M538" i="1"/>
  <c r="K538" i="1"/>
  <c r="J538" i="1"/>
  <c r="G538" i="1"/>
  <c r="F538" i="1"/>
  <c r="M539" i="1"/>
  <c r="O539" i="1" s="1"/>
  <c r="K539" i="1"/>
  <c r="J539" i="1"/>
  <c r="F539" i="1"/>
  <c r="G539" i="1" s="1"/>
  <c r="M540" i="1"/>
  <c r="O540" i="1" s="1"/>
  <c r="K540" i="1"/>
  <c r="J540" i="1"/>
  <c r="F540" i="1"/>
  <c r="G540" i="1" s="1"/>
  <c r="M541" i="1"/>
  <c r="N541" i="1" s="1"/>
  <c r="K541" i="1"/>
  <c r="J541" i="1"/>
  <c r="F541" i="1"/>
  <c r="G541" i="1" s="1"/>
  <c r="M543" i="1"/>
  <c r="O543" i="1" s="1"/>
  <c r="K543" i="1"/>
  <c r="J543" i="1"/>
  <c r="F543" i="1"/>
  <c r="M544" i="1"/>
  <c r="K544" i="1"/>
  <c r="J544" i="1"/>
  <c r="G544" i="1"/>
  <c r="F544" i="1"/>
  <c r="M545" i="1"/>
  <c r="O545" i="1" s="1"/>
  <c r="K545" i="1"/>
  <c r="J545" i="1"/>
  <c r="F545" i="1"/>
  <c r="G545" i="1" s="1"/>
  <c r="M546" i="1"/>
  <c r="O546" i="1" s="1"/>
  <c r="K546" i="1"/>
  <c r="J546" i="1"/>
  <c r="F546" i="1"/>
  <c r="G546" i="1" s="1"/>
  <c r="M547" i="1"/>
  <c r="O547" i="1" s="1"/>
  <c r="K547" i="1"/>
  <c r="J547" i="1"/>
  <c r="F547" i="1"/>
  <c r="G547" i="1" s="1"/>
  <c r="M548" i="1"/>
  <c r="O548" i="1" s="1"/>
  <c r="K548" i="1"/>
  <c r="J548" i="1"/>
  <c r="F548" i="1"/>
  <c r="G548" i="1" s="1"/>
  <c r="M549" i="1"/>
  <c r="K549" i="1"/>
  <c r="J549" i="1"/>
  <c r="G549" i="1"/>
  <c r="F549" i="1"/>
  <c r="M550" i="1"/>
  <c r="O550" i="1" s="1"/>
  <c r="K550" i="1"/>
  <c r="J550" i="1"/>
  <c r="F550" i="1"/>
  <c r="G550" i="1" s="1"/>
  <c r="M552" i="1"/>
  <c r="O552" i="1" s="1"/>
  <c r="K552" i="1"/>
  <c r="J552" i="1"/>
  <c r="G552" i="1"/>
  <c r="F552" i="1"/>
  <c r="F560" i="1" s="1"/>
  <c r="M553" i="1"/>
  <c r="O553" i="1" s="1"/>
  <c r="K553" i="1"/>
  <c r="J553" i="1"/>
  <c r="F553" i="1"/>
  <c r="G553" i="1" s="1"/>
  <c r="M554" i="1"/>
  <c r="O554" i="1" s="1"/>
  <c r="K554" i="1"/>
  <c r="J554" i="1"/>
  <c r="F554" i="1"/>
  <c r="G554" i="1" s="1"/>
  <c r="M555" i="1"/>
  <c r="O555" i="1" s="1"/>
  <c r="K555" i="1"/>
  <c r="J555" i="1"/>
  <c r="F555" i="1"/>
  <c r="G555" i="1" s="1"/>
  <c r="M556" i="1"/>
  <c r="O556" i="1" s="1"/>
  <c r="K556" i="1"/>
  <c r="J556" i="1"/>
  <c r="F556" i="1"/>
  <c r="G556" i="1" s="1"/>
  <c r="M557" i="1"/>
  <c r="O557" i="1" s="1"/>
  <c r="K557" i="1"/>
  <c r="J557" i="1"/>
  <c r="F557" i="1"/>
  <c r="G557" i="1" s="1"/>
  <c r="M558" i="1"/>
  <c r="O558" i="1" s="1"/>
  <c r="K558" i="1"/>
  <c r="J558" i="1"/>
  <c r="F558" i="1"/>
  <c r="G558" i="1" s="1"/>
  <c r="M559" i="1"/>
  <c r="O559" i="1" s="1"/>
  <c r="K559" i="1"/>
  <c r="J559" i="1"/>
  <c r="F559" i="1"/>
  <c r="G559" i="1" s="1"/>
  <c r="M561" i="1"/>
  <c r="O561" i="1" s="1"/>
  <c r="K561" i="1"/>
  <c r="J561" i="1"/>
  <c r="F561" i="1"/>
  <c r="G561" i="1" s="1"/>
  <c r="M562" i="1"/>
  <c r="O562" i="1" s="1"/>
  <c r="K562" i="1"/>
  <c r="J562" i="1"/>
  <c r="G562" i="1"/>
  <c r="F562" i="1"/>
  <c r="M563" i="1"/>
  <c r="K563" i="1"/>
  <c r="J563" i="1"/>
  <c r="G563" i="1"/>
  <c r="F563" i="1"/>
  <c r="M564" i="1"/>
  <c r="O564" i="1" s="1"/>
  <c r="K564" i="1"/>
  <c r="J564" i="1"/>
  <c r="F564" i="1"/>
  <c r="G564" i="1" s="1"/>
  <c r="M565" i="1"/>
  <c r="O565" i="1" s="1"/>
  <c r="K565" i="1"/>
  <c r="J565" i="1"/>
  <c r="F565" i="1"/>
  <c r="G565" i="1" s="1"/>
  <c r="M566" i="1"/>
  <c r="O566" i="1" s="1"/>
  <c r="K566" i="1"/>
  <c r="J566" i="1"/>
  <c r="F566" i="1"/>
  <c r="G566" i="1" s="1"/>
  <c r="M567" i="1"/>
  <c r="O567" i="1" s="1"/>
  <c r="K567" i="1"/>
  <c r="J567" i="1"/>
  <c r="F567" i="1"/>
  <c r="G567" i="1" s="1"/>
  <c r="M568" i="1"/>
  <c r="K568" i="1"/>
  <c r="J568" i="1"/>
  <c r="G568" i="1"/>
  <c r="F568" i="1"/>
  <c r="M570" i="1"/>
  <c r="O570" i="1" s="1"/>
  <c r="K570" i="1"/>
  <c r="J570" i="1"/>
  <c r="F570" i="1"/>
  <c r="G570" i="1" s="1"/>
  <c r="M571" i="1"/>
  <c r="O571" i="1" s="1"/>
  <c r="K571" i="1"/>
  <c r="J571" i="1"/>
  <c r="G571" i="1"/>
  <c r="F571" i="1"/>
  <c r="M572" i="1"/>
  <c r="O572" i="1" s="1"/>
  <c r="K572" i="1"/>
  <c r="J572" i="1"/>
  <c r="F572" i="1"/>
  <c r="G572" i="1" s="1"/>
  <c r="M573" i="1"/>
  <c r="O573" i="1" s="1"/>
  <c r="K573" i="1"/>
  <c r="J573" i="1"/>
  <c r="G573" i="1"/>
  <c r="F573" i="1"/>
  <c r="M574" i="1"/>
  <c r="O574" i="1" s="1"/>
  <c r="K574" i="1"/>
  <c r="J574" i="1"/>
  <c r="G574" i="1"/>
  <c r="F574" i="1"/>
  <c r="M575" i="1"/>
  <c r="O575" i="1" s="1"/>
  <c r="K575" i="1"/>
  <c r="J575" i="1"/>
  <c r="F575" i="1"/>
  <c r="G575" i="1" s="1"/>
  <c r="M576" i="1"/>
  <c r="N576" i="1" s="1"/>
  <c r="K576" i="1"/>
  <c r="J576" i="1"/>
  <c r="F576" i="1"/>
  <c r="G576" i="1" s="1"/>
  <c r="M577" i="1"/>
  <c r="O577" i="1" s="1"/>
  <c r="K577" i="1"/>
  <c r="J577" i="1"/>
  <c r="G577" i="1"/>
  <c r="F577" i="1"/>
  <c r="M579" i="1"/>
  <c r="O579" i="1" s="1"/>
  <c r="K579" i="1"/>
  <c r="J579" i="1"/>
  <c r="F579" i="1"/>
  <c r="M580" i="1"/>
  <c r="O580" i="1" s="1"/>
  <c r="K580" i="1"/>
  <c r="J580" i="1"/>
  <c r="F580" i="1"/>
  <c r="G580" i="1" s="1"/>
  <c r="M581" i="1"/>
  <c r="O581" i="1" s="1"/>
  <c r="K581" i="1"/>
  <c r="J581" i="1"/>
  <c r="F581" i="1"/>
  <c r="G581" i="1" s="1"/>
  <c r="M582" i="1"/>
  <c r="O582" i="1" s="1"/>
  <c r="K582" i="1"/>
  <c r="J582" i="1"/>
  <c r="F582" i="1"/>
  <c r="G582" i="1" s="1"/>
  <c r="M583" i="1"/>
  <c r="O583" i="1" s="1"/>
  <c r="K583" i="1"/>
  <c r="J583" i="1"/>
  <c r="F583" i="1"/>
  <c r="G583" i="1" s="1"/>
  <c r="M584" i="1"/>
  <c r="O584" i="1" s="1"/>
  <c r="K584" i="1"/>
  <c r="J584" i="1"/>
  <c r="F584" i="1"/>
  <c r="G584" i="1" s="1"/>
  <c r="M585" i="1"/>
  <c r="O585" i="1" s="1"/>
  <c r="K585" i="1"/>
  <c r="J585" i="1"/>
  <c r="F585" i="1"/>
  <c r="G585" i="1" s="1"/>
  <c r="M586" i="1"/>
  <c r="O586" i="1" s="1"/>
  <c r="K586" i="1"/>
  <c r="J586" i="1"/>
  <c r="F586" i="1"/>
  <c r="G586" i="1" s="1"/>
  <c r="M588" i="1"/>
  <c r="O588" i="1" s="1"/>
  <c r="K588" i="1"/>
  <c r="J588" i="1"/>
  <c r="F588" i="1"/>
  <c r="G588" i="1" s="1"/>
  <c r="M589" i="1"/>
  <c r="K589" i="1"/>
  <c r="J589" i="1"/>
  <c r="G589" i="1"/>
  <c r="F589" i="1"/>
  <c r="M590" i="1"/>
  <c r="O590" i="1" s="1"/>
  <c r="K590" i="1"/>
  <c r="J590" i="1"/>
  <c r="F590" i="1"/>
  <c r="G590" i="1" s="1"/>
  <c r="M591" i="1"/>
  <c r="K591" i="1"/>
  <c r="J591" i="1"/>
  <c r="G591" i="1"/>
  <c r="F591" i="1"/>
  <c r="M592" i="1"/>
  <c r="O592" i="1" s="1"/>
  <c r="K592" i="1"/>
  <c r="J592" i="1"/>
  <c r="G592" i="1"/>
  <c r="F592" i="1"/>
  <c r="M593" i="1"/>
  <c r="O593" i="1" s="1"/>
  <c r="K593" i="1"/>
  <c r="J593" i="1"/>
  <c r="G593" i="1"/>
  <c r="F593" i="1"/>
  <c r="M594" i="1"/>
  <c r="O594" i="1" s="1"/>
  <c r="K594" i="1"/>
  <c r="J594" i="1"/>
  <c r="F594" i="1"/>
  <c r="G594" i="1" s="1"/>
  <c r="M595" i="1"/>
  <c r="K595" i="1"/>
  <c r="J595" i="1"/>
  <c r="G595" i="1"/>
  <c r="F595" i="1"/>
  <c r="M597" i="1"/>
  <c r="O597" i="1" s="1"/>
  <c r="K597" i="1"/>
  <c r="J597" i="1"/>
  <c r="F597" i="1"/>
  <c r="M598" i="1"/>
  <c r="O598" i="1" s="1"/>
  <c r="K598" i="1"/>
  <c r="J598" i="1"/>
  <c r="F598" i="1"/>
  <c r="G598" i="1" s="1"/>
  <c r="M599" i="1"/>
  <c r="K599" i="1"/>
  <c r="J599" i="1"/>
  <c r="G599" i="1"/>
  <c r="F599" i="1"/>
  <c r="M600" i="1"/>
  <c r="N600" i="1" s="1"/>
  <c r="K600" i="1"/>
  <c r="J600" i="1"/>
  <c r="F600" i="1"/>
  <c r="G600" i="1" s="1"/>
  <c r="M601" i="1"/>
  <c r="O601" i="1" s="1"/>
  <c r="K601" i="1"/>
  <c r="J601" i="1"/>
  <c r="F601" i="1"/>
  <c r="G601" i="1" s="1"/>
  <c r="M602" i="1"/>
  <c r="O602" i="1" s="1"/>
  <c r="K602" i="1"/>
  <c r="J602" i="1"/>
  <c r="F602" i="1"/>
  <c r="G602" i="1" s="1"/>
  <c r="M603" i="1"/>
  <c r="O603" i="1" s="1"/>
  <c r="K603" i="1"/>
  <c r="J603" i="1"/>
  <c r="F603" i="1"/>
  <c r="G603" i="1" s="1"/>
  <c r="M604" i="1"/>
  <c r="O604" i="1" s="1"/>
  <c r="K604" i="1"/>
  <c r="J604" i="1"/>
  <c r="F604" i="1"/>
  <c r="G604" i="1" s="1"/>
  <c r="M606" i="1"/>
  <c r="O606" i="1" s="1"/>
  <c r="K606" i="1"/>
  <c r="J606" i="1"/>
  <c r="F606" i="1"/>
  <c r="G606" i="1" s="1"/>
  <c r="M607" i="1"/>
  <c r="O607" i="1" s="1"/>
  <c r="K607" i="1"/>
  <c r="J607" i="1"/>
  <c r="F607" i="1"/>
  <c r="G607" i="1" s="1"/>
  <c r="M608" i="1"/>
  <c r="O608" i="1" s="1"/>
  <c r="K608" i="1"/>
  <c r="J608" i="1"/>
  <c r="F608" i="1"/>
  <c r="G608" i="1" s="1"/>
  <c r="M609" i="1"/>
  <c r="O609" i="1" s="1"/>
  <c r="K609" i="1"/>
  <c r="J609" i="1"/>
  <c r="F609" i="1"/>
  <c r="G609" i="1" s="1"/>
  <c r="M610" i="1"/>
  <c r="K610" i="1"/>
  <c r="J610" i="1"/>
  <c r="G610" i="1"/>
  <c r="F610" i="1"/>
  <c r="M611" i="1"/>
  <c r="N611" i="1" s="1"/>
  <c r="K611" i="1"/>
  <c r="J611" i="1"/>
  <c r="F611" i="1"/>
  <c r="G611" i="1" s="1"/>
  <c r="M612" i="1"/>
  <c r="O612" i="1" s="1"/>
  <c r="K612" i="1"/>
  <c r="J612" i="1"/>
  <c r="G612" i="1"/>
  <c r="F612" i="1"/>
  <c r="M613" i="1"/>
  <c r="O613" i="1" s="1"/>
  <c r="K613" i="1"/>
  <c r="J613" i="1"/>
  <c r="G613" i="1"/>
  <c r="F613" i="1"/>
  <c r="M615" i="1"/>
  <c r="O615" i="1" s="1"/>
  <c r="K615" i="1"/>
  <c r="J615" i="1"/>
  <c r="F615" i="1"/>
  <c r="M616" i="1"/>
  <c r="K616" i="1"/>
  <c r="J616" i="1"/>
  <c r="G616" i="1"/>
  <c r="F616" i="1"/>
  <c r="M617" i="1"/>
  <c r="K617" i="1"/>
  <c r="J617" i="1"/>
  <c r="G617" i="1"/>
  <c r="F617" i="1"/>
  <c r="M618" i="1"/>
  <c r="O618" i="1" s="1"/>
  <c r="K618" i="1"/>
  <c r="J618" i="1"/>
  <c r="F618" i="1"/>
  <c r="G618" i="1" s="1"/>
  <c r="M619" i="1"/>
  <c r="O619" i="1" s="1"/>
  <c r="K619" i="1"/>
  <c r="J619" i="1"/>
  <c r="F619" i="1"/>
  <c r="G619" i="1" s="1"/>
  <c r="M620" i="1"/>
  <c r="N620" i="1" s="1"/>
  <c r="K620" i="1"/>
  <c r="J620" i="1"/>
  <c r="F620" i="1"/>
  <c r="G620" i="1" s="1"/>
  <c r="M621" i="1"/>
  <c r="K621" i="1"/>
  <c r="J621" i="1"/>
  <c r="G621" i="1"/>
  <c r="F621" i="1"/>
  <c r="M622" i="1"/>
  <c r="O622" i="1" s="1"/>
  <c r="K622" i="1"/>
  <c r="J622" i="1"/>
  <c r="F622" i="1"/>
  <c r="G622" i="1" s="1"/>
  <c r="M624" i="1"/>
  <c r="O624" i="1" s="1"/>
  <c r="K624" i="1"/>
  <c r="J624" i="1"/>
  <c r="F624" i="1"/>
  <c r="G624" i="1" s="1"/>
  <c r="M625" i="1"/>
  <c r="K625" i="1"/>
  <c r="J625" i="1"/>
  <c r="G625" i="1"/>
  <c r="F625" i="1"/>
  <c r="M626" i="1"/>
  <c r="O626" i="1" s="1"/>
  <c r="K626" i="1"/>
  <c r="J626" i="1"/>
  <c r="F626" i="1"/>
  <c r="G626" i="1" s="1"/>
  <c r="M627" i="1"/>
  <c r="O627" i="1" s="1"/>
  <c r="K627" i="1"/>
  <c r="J627" i="1"/>
  <c r="F627" i="1"/>
  <c r="G627" i="1" s="1"/>
  <c r="M628" i="1"/>
  <c r="K628" i="1"/>
  <c r="J628" i="1"/>
  <c r="G628" i="1"/>
  <c r="F628" i="1"/>
  <c r="M629" i="1"/>
  <c r="K629" i="1"/>
  <c r="J629" i="1"/>
  <c r="G629" i="1"/>
  <c r="F629" i="1"/>
  <c r="M630" i="1"/>
  <c r="O630" i="1" s="1"/>
  <c r="K630" i="1"/>
  <c r="J630" i="1"/>
  <c r="G630" i="1"/>
  <c r="F630" i="1"/>
  <c r="M631" i="1"/>
  <c r="O631" i="1" s="1"/>
  <c r="K631" i="1"/>
  <c r="J631" i="1"/>
  <c r="G631" i="1"/>
  <c r="F631" i="1"/>
  <c r="M633" i="1"/>
  <c r="K633" i="1"/>
  <c r="J633" i="1"/>
  <c r="G633" i="1"/>
  <c r="F633" i="1"/>
  <c r="M634" i="1"/>
  <c r="O634" i="1" s="1"/>
  <c r="K634" i="1"/>
  <c r="J634" i="1"/>
  <c r="F634" i="1"/>
  <c r="G634" i="1" s="1"/>
  <c r="M635" i="1"/>
  <c r="O635" i="1" s="1"/>
  <c r="K635" i="1"/>
  <c r="J635" i="1"/>
  <c r="F635" i="1"/>
  <c r="G635" i="1" s="1"/>
  <c r="M636" i="1"/>
  <c r="O636" i="1" s="1"/>
  <c r="K636" i="1"/>
  <c r="J636" i="1"/>
  <c r="F636" i="1"/>
  <c r="G636" i="1" s="1"/>
  <c r="M637" i="1"/>
  <c r="O637" i="1" s="1"/>
  <c r="K637" i="1"/>
  <c r="J637" i="1"/>
  <c r="F637" i="1"/>
  <c r="G637" i="1" s="1"/>
  <c r="M638" i="1"/>
  <c r="K638" i="1"/>
  <c r="J638" i="1"/>
  <c r="G638" i="1"/>
  <c r="F638" i="1"/>
  <c r="M639" i="1"/>
  <c r="K639" i="1"/>
  <c r="J639" i="1"/>
  <c r="G639" i="1"/>
  <c r="F639" i="1"/>
  <c r="M640" i="1"/>
  <c r="O640" i="1" s="1"/>
  <c r="K640" i="1"/>
  <c r="J640" i="1"/>
  <c r="F640" i="1"/>
  <c r="G640" i="1" s="1"/>
  <c r="M642" i="1"/>
  <c r="O642" i="1" s="1"/>
  <c r="K642" i="1"/>
  <c r="J642" i="1"/>
  <c r="F642" i="1"/>
  <c r="G642" i="1" s="1"/>
  <c r="M643" i="1"/>
  <c r="O643" i="1" s="1"/>
  <c r="K643" i="1"/>
  <c r="J643" i="1"/>
  <c r="F643" i="1"/>
  <c r="G643" i="1" s="1"/>
  <c r="M644" i="1"/>
  <c r="O644" i="1" s="1"/>
  <c r="K644" i="1"/>
  <c r="J644" i="1"/>
  <c r="F644" i="1"/>
  <c r="G644" i="1" s="1"/>
  <c r="M645" i="1"/>
  <c r="O645" i="1" s="1"/>
  <c r="K645" i="1"/>
  <c r="J645" i="1"/>
  <c r="F645" i="1"/>
  <c r="G645" i="1" s="1"/>
  <c r="M646" i="1"/>
  <c r="K646" i="1"/>
  <c r="J646" i="1"/>
  <c r="G646" i="1"/>
  <c r="F646" i="1"/>
  <c r="M647" i="1"/>
  <c r="O647" i="1" s="1"/>
  <c r="K647" i="1"/>
  <c r="J647" i="1"/>
  <c r="F647" i="1"/>
  <c r="G647" i="1" s="1"/>
  <c r="M648" i="1"/>
  <c r="O648" i="1" s="1"/>
  <c r="K648" i="1"/>
  <c r="J648" i="1"/>
  <c r="F648" i="1"/>
  <c r="G648" i="1" s="1"/>
  <c r="M649" i="1"/>
  <c r="O649" i="1" s="1"/>
  <c r="K649" i="1"/>
  <c r="J649" i="1"/>
  <c r="G649" i="1"/>
  <c r="F649" i="1"/>
  <c r="M651" i="1"/>
  <c r="O651" i="1" s="1"/>
  <c r="K651" i="1"/>
  <c r="J651" i="1"/>
  <c r="G651" i="1"/>
  <c r="F651" i="1"/>
  <c r="M652" i="1"/>
  <c r="O652" i="1" s="1"/>
  <c r="K652" i="1"/>
  <c r="J652" i="1"/>
  <c r="F652" i="1"/>
  <c r="G652" i="1" s="1"/>
  <c r="M653" i="1"/>
  <c r="O653" i="1" s="1"/>
  <c r="K653" i="1"/>
  <c r="J653" i="1"/>
  <c r="F653" i="1"/>
  <c r="G653" i="1" s="1"/>
  <c r="M654" i="1"/>
  <c r="O654" i="1" s="1"/>
  <c r="K654" i="1"/>
  <c r="J654" i="1"/>
  <c r="G654" i="1"/>
  <c r="F654" i="1"/>
  <c r="M655" i="1"/>
  <c r="O655" i="1" s="1"/>
  <c r="K655" i="1"/>
  <c r="J655" i="1"/>
  <c r="F655" i="1"/>
  <c r="G655" i="1" s="1"/>
  <c r="M656" i="1"/>
  <c r="O656" i="1" s="1"/>
  <c r="K656" i="1"/>
  <c r="J656" i="1"/>
  <c r="G656" i="1"/>
  <c r="F656" i="1"/>
  <c r="M657" i="1"/>
  <c r="O657" i="1" s="1"/>
  <c r="K657" i="1"/>
  <c r="J657" i="1"/>
  <c r="F657" i="1"/>
  <c r="G657" i="1" s="1"/>
  <c r="M658" i="1"/>
  <c r="K658" i="1"/>
  <c r="J658" i="1"/>
  <c r="G658" i="1"/>
  <c r="F658" i="1"/>
  <c r="M660" i="1"/>
  <c r="O660" i="1" s="1"/>
  <c r="K660" i="1"/>
  <c r="J660" i="1"/>
  <c r="F660" i="1"/>
  <c r="G660" i="1" s="1"/>
  <c r="M661" i="1"/>
  <c r="N661" i="1" s="1"/>
  <c r="K661" i="1"/>
  <c r="J661" i="1"/>
  <c r="F661" i="1"/>
  <c r="G661" i="1" s="1"/>
  <c r="M662" i="1"/>
  <c r="O662" i="1" s="1"/>
  <c r="K662" i="1"/>
  <c r="J662" i="1"/>
  <c r="F662" i="1"/>
  <c r="G662" i="1" s="1"/>
  <c r="M663" i="1"/>
  <c r="K663" i="1"/>
  <c r="J663" i="1"/>
  <c r="G663" i="1"/>
  <c r="F663" i="1"/>
  <c r="M664" i="1"/>
  <c r="O664" i="1" s="1"/>
  <c r="K664" i="1"/>
  <c r="J664" i="1"/>
  <c r="F664" i="1"/>
  <c r="G664" i="1" s="1"/>
  <c r="M665" i="1"/>
  <c r="K665" i="1"/>
  <c r="J665" i="1"/>
  <c r="G665" i="1"/>
  <c r="F665" i="1"/>
  <c r="M666" i="1"/>
  <c r="O666" i="1" s="1"/>
  <c r="K666" i="1"/>
  <c r="J666" i="1"/>
  <c r="F666" i="1"/>
  <c r="G666" i="1" s="1"/>
  <c r="M667" i="1"/>
  <c r="K667" i="1"/>
  <c r="J667" i="1"/>
  <c r="G667" i="1"/>
  <c r="F667" i="1"/>
  <c r="M669" i="1"/>
  <c r="K669" i="1"/>
  <c r="J669" i="1"/>
  <c r="G669" i="1"/>
  <c r="F669" i="1"/>
  <c r="M670" i="1"/>
  <c r="O670" i="1" s="1"/>
  <c r="K670" i="1"/>
  <c r="J670" i="1"/>
  <c r="F670" i="1"/>
  <c r="G670" i="1" s="1"/>
  <c r="M671" i="1"/>
  <c r="K671" i="1"/>
  <c r="J671" i="1"/>
  <c r="G671" i="1"/>
  <c r="F671" i="1"/>
  <c r="M672" i="1"/>
  <c r="K672" i="1"/>
  <c r="J672" i="1"/>
  <c r="F672" i="1"/>
  <c r="G672" i="1" s="1"/>
  <c r="M673" i="1"/>
  <c r="O673" i="1" s="1"/>
  <c r="K673" i="1"/>
  <c r="J673" i="1"/>
  <c r="F673" i="1"/>
  <c r="G673" i="1" s="1"/>
  <c r="M674" i="1"/>
  <c r="K674" i="1"/>
  <c r="J674" i="1"/>
  <c r="G674" i="1"/>
  <c r="F674" i="1"/>
  <c r="M675" i="1"/>
  <c r="K675" i="1"/>
  <c r="J675" i="1"/>
  <c r="G675" i="1"/>
  <c r="F675" i="1"/>
  <c r="M676" i="1"/>
  <c r="O676" i="1" s="1"/>
  <c r="K676" i="1"/>
  <c r="J676" i="1"/>
  <c r="F676" i="1"/>
  <c r="G676" i="1" s="1"/>
  <c r="M678" i="1"/>
  <c r="K678" i="1"/>
  <c r="J678" i="1"/>
  <c r="F678" i="1"/>
  <c r="F686" i="1" s="1"/>
  <c r="M679" i="1"/>
  <c r="O679" i="1" s="1"/>
  <c r="K679" i="1"/>
  <c r="J679" i="1"/>
  <c r="G679" i="1"/>
  <c r="F679" i="1"/>
  <c r="M680" i="1"/>
  <c r="O680" i="1" s="1"/>
  <c r="K680" i="1"/>
  <c r="J680" i="1"/>
  <c r="F680" i="1"/>
  <c r="G680" i="1" s="1"/>
  <c r="M681" i="1"/>
  <c r="O681" i="1" s="1"/>
  <c r="K681" i="1"/>
  <c r="J681" i="1"/>
  <c r="F681" i="1"/>
  <c r="G681" i="1" s="1"/>
  <c r="M682" i="1"/>
  <c r="O682" i="1" s="1"/>
  <c r="K682" i="1"/>
  <c r="J682" i="1"/>
  <c r="F682" i="1"/>
  <c r="G682" i="1" s="1"/>
  <c r="M683" i="1"/>
  <c r="O683" i="1" s="1"/>
  <c r="K683" i="1"/>
  <c r="J683" i="1"/>
  <c r="F683" i="1"/>
  <c r="G683" i="1" s="1"/>
  <c r="M684" i="1"/>
  <c r="O684" i="1" s="1"/>
  <c r="K684" i="1"/>
  <c r="J684" i="1"/>
  <c r="F684" i="1"/>
  <c r="G684" i="1" s="1"/>
  <c r="M685" i="1"/>
  <c r="O685" i="1" s="1"/>
  <c r="K685" i="1"/>
  <c r="J685" i="1"/>
  <c r="F685" i="1"/>
  <c r="G685" i="1" s="1"/>
  <c r="M687" i="1"/>
  <c r="O687" i="1" s="1"/>
  <c r="K687" i="1"/>
  <c r="J687" i="1"/>
  <c r="F687" i="1"/>
  <c r="M688" i="1"/>
  <c r="O688" i="1" s="1"/>
  <c r="K688" i="1"/>
  <c r="J688" i="1"/>
  <c r="F688" i="1"/>
  <c r="G688" i="1" s="1"/>
  <c r="M689" i="1"/>
  <c r="O689" i="1" s="1"/>
  <c r="K689" i="1"/>
  <c r="J689" i="1"/>
  <c r="G689" i="1"/>
  <c r="F689" i="1"/>
  <c r="M690" i="1"/>
  <c r="O690" i="1" s="1"/>
  <c r="K690" i="1"/>
  <c r="J690" i="1"/>
  <c r="F690" i="1"/>
  <c r="G690" i="1" s="1"/>
  <c r="M691" i="1"/>
  <c r="O691" i="1" s="1"/>
  <c r="K691" i="1"/>
  <c r="J691" i="1"/>
  <c r="G691" i="1"/>
  <c r="F691" i="1"/>
  <c r="M692" i="1"/>
  <c r="O692" i="1" s="1"/>
  <c r="K692" i="1"/>
  <c r="J692" i="1"/>
  <c r="F692" i="1"/>
  <c r="G692" i="1" s="1"/>
  <c r="M693" i="1"/>
  <c r="O693" i="1" s="1"/>
  <c r="K693" i="1"/>
  <c r="J693" i="1"/>
  <c r="G693" i="1"/>
  <c r="F693" i="1"/>
  <c r="M694" i="1"/>
  <c r="O694" i="1" s="1"/>
  <c r="K694" i="1"/>
  <c r="J694" i="1"/>
  <c r="F694" i="1"/>
  <c r="G694" i="1" s="1"/>
  <c r="M696" i="1"/>
  <c r="K696" i="1"/>
  <c r="J696" i="1"/>
  <c r="G696" i="1"/>
  <c r="F696" i="1"/>
  <c r="M697" i="1"/>
  <c r="O697" i="1" s="1"/>
  <c r="K697" i="1"/>
  <c r="J697" i="1"/>
  <c r="F697" i="1"/>
  <c r="G697" i="1" s="1"/>
  <c r="M698" i="1"/>
  <c r="O698" i="1" s="1"/>
  <c r="K698" i="1"/>
  <c r="J698" i="1"/>
  <c r="G698" i="1"/>
  <c r="F698" i="1"/>
  <c r="M699" i="1"/>
  <c r="O699" i="1" s="1"/>
  <c r="K699" i="1"/>
  <c r="J699" i="1"/>
  <c r="G699" i="1"/>
  <c r="F699" i="1"/>
  <c r="M700" i="1"/>
  <c r="O700" i="1" s="1"/>
  <c r="K700" i="1"/>
  <c r="J700" i="1"/>
  <c r="G700" i="1"/>
  <c r="F700" i="1"/>
  <c r="M701" i="1"/>
  <c r="O701" i="1" s="1"/>
  <c r="K701" i="1"/>
  <c r="J701" i="1"/>
  <c r="G701" i="1"/>
  <c r="F701" i="1"/>
  <c r="M702" i="1"/>
  <c r="O702" i="1" s="1"/>
  <c r="K702" i="1"/>
  <c r="J702" i="1"/>
  <c r="G702" i="1"/>
  <c r="F702" i="1"/>
  <c r="M703" i="1"/>
  <c r="O703" i="1" s="1"/>
  <c r="K703" i="1"/>
  <c r="J703" i="1"/>
  <c r="G703" i="1"/>
  <c r="F703" i="1"/>
  <c r="M705" i="1"/>
  <c r="O705" i="1" s="1"/>
  <c r="K705" i="1"/>
  <c r="J705" i="1"/>
  <c r="F705" i="1"/>
  <c r="M706" i="1"/>
  <c r="O706" i="1" s="1"/>
  <c r="K706" i="1"/>
  <c r="J706" i="1"/>
  <c r="G706" i="1"/>
  <c r="F706" i="1"/>
  <c r="M707" i="1"/>
  <c r="O707" i="1" s="1"/>
  <c r="K707" i="1"/>
  <c r="J707" i="1"/>
  <c r="F707" i="1"/>
  <c r="G707" i="1" s="1"/>
  <c r="M708" i="1"/>
  <c r="O708" i="1" s="1"/>
  <c r="K708" i="1"/>
  <c r="J708" i="1"/>
  <c r="F708" i="1"/>
  <c r="G708" i="1" s="1"/>
  <c r="M709" i="1"/>
  <c r="O709" i="1" s="1"/>
  <c r="K709" i="1"/>
  <c r="J709" i="1"/>
  <c r="F709" i="1"/>
  <c r="G709" i="1" s="1"/>
  <c r="M710" i="1"/>
  <c r="O710" i="1" s="1"/>
  <c r="K710" i="1"/>
  <c r="J710" i="1"/>
  <c r="F710" i="1"/>
  <c r="G710" i="1" s="1"/>
  <c r="M711" i="1"/>
  <c r="O711" i="1" s="1"/>
  <c r="K711" i="1"/>
  <c r="J711" i="1"/>
  <c r="G711" i="1"/>
  <c r="F711" i="1"/>
  <c r="M712" i="1"/>
  <c r="O712" i="1" s="1"/>
  <c r="K712" i="1"/>
  <c r="J712" i="1"/>
  <c r="G712" i="1"/>
  <c r="F712" i="1"/>
  <c r="M714" i="1"/>
  <c r="K714" i="1"/>
  <c r="J714" i="1"/>
  <c r="G714" i="1"/>
  <c r="F714" i="1"/>
  <c r="M715" i="1"/>
  <c r="O715" i="1" s="1"/>
  <c r="K715" i="1"/>
  <c r="J715" i="1"/>
  <c r="G715" i="1"/>
  <c r="F715" i="1"/>
  <c r="M716" i="1"/>
  <c r="O716" i="1" s="1"/>
  <c r="K716" i="1"/>
  <c r="J716" i="1"/>
  <c r="G716" i="1"/>
  <c r="F716" i="1"/>
  <c r="M717" i="1"/>
  <c r="N717" i="1" s="1"/>
  <c r="K717" i="1"/>
  <c r="J717" i="1"/>
  <c r="F717" i="1"/>
  <c r="G717" i="1" s="1"/>
  <c r="M718" i="1"/>
  <c r="O718" i="1" s="1"/>
  <c r="K718" i="1"/>
  <c r="J718" i="1"/>
  <c r="F718" i="1"/>
  <c r="G718" i="1" s="1"/>
  <c r="M719" i="1"/>
  <c r="O719" i="1" s="1"/>
  <c r="K719" i="1"/>
  <c r="J719" i="1"/>
  <c r="F719" i="1"/>
  <c r="G719" i="1" s="1"/>
  <c r="M720" i="1"/>
  <c r="O720" i="1" s="1"/>
  <c r="K720" i="1"/>
  <c r="J720" i="1"/>
  <c r="F720" i="1"/>
  <c r="G720" i="1" s="1"/>
  <c r="L366" i="1"/>
  <c r="I366" i="1"/>
  <c r="H366" i="1"/>
  <c r="E366" i="1"/>
  <c r="D366" i="1"/>
  <c r="G366" i="1" s="1"/>
  <c r="L357" i="1"/>
  <c r="I357" i="1"/>
  <c r="H357" i="1"/>
  <c r="E357" i="1"/>
  <c r="D357" i="1"/>
  <c r="G357" i="1" s="1"/>
  <c r="L348" i="1"/>
  <c r="I348" i="1"/>
  <c r="H348" i="1"/>
  <c r="E348" i="1"/>
  <c r="D348" i="1"/>
  <c r="G348" i="1" s="1"/>
  <c r="L339" i="1"/>
  <c r="I339" i="1"/>
  <c r="H339" i="1"/>
  <c r="E339" i="1"/>
  <c r="D339" i="1"/>
  <c r="G339" i="1" s="1"/>
  <c r="L330" i="1"/>
  <c r="I330" i="1"/>
  <c r="H330" i="1"/>
  <c r="E330" i="1"/>
  <c r="D330" i="1"/>
  <c r="L321" i="1"/>
  <c r="I321" i="1"/>
  <c r="H321" i="1"/>
  <c r="E321" i="1"/>
  <c r="D321" i="1"/>
  <c r="L312" i="1"/>
  <c r="I312" i="1"/>
  <c r="H312" i="1"/>
  <c r="E312" i="1"/>
  <c r="D312" i="1"/>
  <c r="G312" i="1" s="1"/>
  <c r="L303" i="1"/>
  <c r="I303" i="1"/>
  <c r="H303" i="1"/>
  <c r="E303" i="1"/>
  <c r="D303" i="1"/>
  <c r="G303" i="1" s="1"/>
  <c r="L294" i="1"/>
  <c r="I294" i="1"/>
  <c r="H294" i="1"/>
  <c r="E294" i="1"/>
  <c r="D294" i="1"/>
  <c r="G294" i="1" s="1"/>
  <c r="L285" i="1"/>
  <c r="I285" i="1"/>
  <c r="H285" i="1"/>
  <c r="E285" i="1"/>
  <c r="D285" i="1"/>
  <c r="G285" i="1" s="1"/>
  <c r="L276" i="1"/>
  <c r="I276" i="1"/>
  <c r="H276" i="1"/>
  <c r="E276" i="1"/>
  <c r="D276" i="1"/>
  <c r="G276" i="1" s="1"/>
  <c r="L267" i="1"/>
  <c r="I267" i="1"/>
  <c r="H267" i="1"/>
  <c r="E267" i="1"/>
  <c r="D267" i="1"/>
  <c r="G267" i="1" s="1"/>
  <c r="L258" i="1"/>
  <c r="I258" i="1"/>
  <c r="H258" i="1"/>
  <c r="E258" i="1"/>
  <c r="D258" i="1"/>
  <c r="G258" i="1" s="1"/>
  <c r="L249" i="1"/>
  <c r="I249" i="1"/>
  <c r="H249" i="1"/>
  <c r="E249" i="1"/>
  <c r="D249" i="1"/>
  <c r="G249" i="1" s="1"/>
  <c r="L240" i="1"/>
  <c r="I240" i="1"/>
  <c r="H240" i="1"/>
  <c r="E240" i="1"/>
  <c r="D240" i="1"/>
  <c r="G240" i="1" s="1"/>
  <c r="L231" i="1"/>
  <c r="I231" i="1"/>
  <c r="H231" i="1"/>
  <c r="E231" i="1"/>
  <c r="D231" i="1"/>
  <c r="G231" i="1" s="1"/>
  <c r="L222" i="1"/>
  <c r="I222" i="1"/>
  <c r="H222" i="1"/>
  <c r="E222" i="1"/>
  <c r="D222" i="1"/>
  <c r="G222" i="1" s="1"/>
  <c r="L213" i="1"/>
  <c r="I213" i="1"/>
  <c r="H213" i="1"/>
  <c r="E213" i="1"/>
  <c r="D213" i="1"/>
  <c r="L204" i="1"/>
  <c r="I204" i="1"/>
  <c r="H204" i="1"/>
  <c r="E204" i="1"/>
  <c r="D204" i="1"/>
  <c r="G204" i="1" s="1"/>
  <c r="L195" i="1"/>
  <c r="I195" i="1"/>
  <c r="H195" i="1"/>
  <c r="E195" i="1"/>
  <c r="D195" i="1"/>
  <c r="G195" i="1" s="1"/>
  <c r="L186" i="1"/>
  <c r="I186" i="1"/>
  <c r="H186" i="1"/>
  <c r="E186" i="1"/>
  <c r="D186" i="1"/>
  <c r="G186" i="1" s="1"/>
  <c r="L177" i="1"/>
  <c r="I177" i="1"/>
  <c r="H177" i="1"/>
  <c r="J177" i="1" s="1"/>
  <c r="E177" i="1"/>
  <c r="D177" i="1"/>
  <c r="G177" i="1" s="1"/>
  <c r="L168" i="1"/>
  <c r="I168" i="1"/>
  <c r="H168" i="1"/>
  <c r="E168" i="1"/>
  <c r="D168" i="1"/>
  <c r="G168" i="1" s="1"/>
  <c r="L159" i="1"/>
  <c r="I159" i="1"/>
  <c r="H159" i="1"/>
  <c r="J159" i="1" s="1"/>
  <c r="E159" i="1"/>
  <c r="D159" i="1"/>
  <c r="G159" i="1" s="1"/>
  <c r="L150" i="1"/>
  <c r="I150" i="1"/>
  <c r="H150" i="1"/>
  <c r="O150" i="1" s="1"/>
  <c r="E150" i="1"/>
  <c r="D150" i="1"/>
  <c r="G150" i="1" s="1"/>
  <c r="L141" i="1"/>
  <c r="I141" i="1"/>
  <c r="H141" i="1"/>
  <c r="J141" i="1" s="1"/>
  <c r="E141" i="1"/>
  <c r="D141" i="1"/>
  <c r="G141" i="1" s="1"/>
  <c r="L132" i="1"/>
  <c r="I132" i="1"/>
  <c r="H132" i="1"/>
  <c r="O132" i="1" s="1"/>
  <c r="E132" i="1"/>
  <c r="D132" i="1"/>
  <c r="G132" i="1" s="1"/>
  <c r="L123" i="1"/>
  <c r="I123" i="1"/>
  <c r="H123" i="1"/>
  <c r="J123" i="1" s="1"/>
  <c r="E123" i="1"/>
  <c r="D123" i="1"/>
  <c r="G123" i="1" s="1"/>
  <c r="L114" i="1"/>
  <c r="I114" i="1"/>
  <c r="H114" i="1"/>
  <c r="O114" i="1" s="1"/>
  <c r="E114" i="1"/>
  <c r="D114" i="1"/>
  <c r="G114" i="1" s="1"/>
  <c r="L105" i="1"/>
  <c r="I105" i="1"/>
  <c r="H105" i="1"/>
  <c r="J105" i="1" s="1"/>
  <c r="E105" i="1"/>
  <c r="D105" i="1"/>
  <c r="G105" i="1" s="1"/>
  <c r="L96" i="1"/>
  <c r="I96" i="1"/>
  <c r="H96" i="1"/>
  <c r="E96" i="1"/>
  <c r="D96" i="1"/>
  <c r="G96" i="1" s="1"/>
  <c r="L87" i="1"/>
  <c r="I87" i="1"/>
  <c r="H87" i="1"/>
  <c r="J87" i="1" s="1"/>
  <c r="E87" i="1"/>
  <c r="D87" i="1"/>
  <c r="G87" i="1" s="1"/>
  <c r="L78" i="1"/>
  <c r="I78" i="1"/>
  <c r="H78" i="1"/>
  <c r="O78" i="1" s="1"/>
  <c r="E78" i="1"/>
  <c r="D78" i="1"/>
  <c r="G78" i="1" s="1"/>
  <c r="L69" i="1"/>
  <c r="I69" i="1"/>
  <c r="H69" i="1"/>
  <c r="J69" i="1" s="1"/>
  <c r="E69" i="1"/>
  <c r="D69" i="1"/>
  <c r="G69" i="1" s="1"/>
  <c r="L60" i="1"/>
  <c r="I60" i="1"/>
  <c r="H60" i="1"/>
  <c r="E60" i="1"/>
  <c r="D60" i="1"/>
  <c r="L51" i="1"/>
  <c r="I51" i="1"/>
  <c r="H51" i="1"/>
  <c r="J51" i="1" s="1"/>
  <c r="E51" i="1"/>
  <c r="D51" i="1"/>
  <c r="G51" i="1" s="1"/>
  <c r="L42" i="1"/>
  <c r="I42" i="1"/>
  <c r="H42" i="1"/>
  <c r="O42" i="1" s="1"/>
  <c r="E42" i="1"/>
  <c r="D42" i="1"/>
  <c r="G42" i="1" s="1"/>
  <c r="L33" i="1"/>
  <c r="I33" i="1"/>
  <c r="H33" i="1"/>
  <c r="J33" i="1" s="1"/>
  <c r="E33" i="1"/>
  <c r="D33" i="1"/>
  <c r="G33" i="1" s="1"/>
  <c r="L24" i="1"/>
  <c r="I24" i="1"/>
  <c r="H24" i="1"/>
  <c r="E24" i="1"/>
  <c r="D24" i="1"/>
  <c r="G24" i="1" s="1"/>
  <c r="M17" i="1"/>
  <c r="O17" i="1" s="1"/>
  <c r="K17" i="1"/>
  <c r="J17" i="1"/>
  <c r="F17" i="1"/>
  <c r="G17" i="1" s="1"/>
  <c r="M18" i="1"/>
  <c r="O18" i="1" s="1"/>
  <c r="K18" i="1"/>
  <c r="J18" i="1"/>
  <c r="F18" i="1"/>
  <c r="G18" i="1" s="1"/>
  <c r="M19" i="1"/>
  <c r="O19" i="1" s="1"/>
  <c r="K19" i="1"/>
  <c r="J19" i="1"/>
  <c r="F19" i="1"/>
  <c r="G19" i="1" s="1"/>
  <c r="M20" i="1"/>
  <c r="O20" i="1" s="1"/>
  <c r="K20" i="1"/>
  <c r="J20" i="1"/>
  <c r="F20" i="1"/>
  <c r="G20" i="1" s="1"/>
  <c r="M21" i="1"/>
  <c r="O21" i="1" s="1"/>
  <c r="K21" i="1"/>
  <c r="J21" i="1"/>
  <c r="F21" i="1"/>
  <c r="G21" i="1" s="1"/>
  <c r="M22" i="1"/>
  <c r="O22" i="1" s="1"/>
  <c r="K22" i="1"/>
  <c r="J22" i="1"/>
  <c r="F22" i="1"/>
  <c r="G22" i="1" s="1"/>
  <c r="M23" i="1"/>
  <c r="O23" i="1" s="1"/>
  <c r="K23" i="1"/>
  <c r="J23" i="1"/>
  <c r="F23" i="1"/>
  <c r="G23" i="1" s="1"/>
  <c r="M25" i="1"/>
  <c r="O25" i="1" s="1"/>
  <c r="K25" i="1"/>
  <c r="J25" i="1"/>
  <c r="F25" i="1"/>
  <c r="G25" i="1" s="1"/>
  <c r="M26" i="1"/>
  <c r="O26" i="1" s="1"/>
  <c r="K26" i="1"/>
  <c r="J26" i="1"/>
  <c r="F26" i="1"/>
  <c r="G26" i="1" s="1"/>
  <c r="M27" i="1"/>
  <c r="O27" i="1" s="1"/>
  <c r="K27" i="1"/>
  <c r="J27" i="1"/>
  <c r="F27" i="1"/>
  <c r="G27" i="1" s="1"/>
  <c r="M28" i="1"/>
  <c r="O28" i="1" s="1"/>
  <c r="K28" i="1"/>
  <c r="J28" i="1"/>
  <c r="F28" i="1"/>
  <c r="G28" i="1" s="1"/>
  <c r="M29" i="1"/>
  <c r="O29" i="1" s="1"/>
  <c r="K29" i="1"/>
  <c r="J29" i="1"/>
  <c r="F29" i="1"/>
  <c r="G29" i="1" s="1"/>
  <c r="M30" i="1"/>
  <c r="O30" i="1" s="1"/>
  <c r="K30" i="1"/>
  <c r="J30" i="1"/>
  <c r="F30" i="1"/>
  <c r="G30" i="1" s="1"/>
  <c r="M31" i="1"/>
  <c r="O31" i="1" s="1"/>
  <c r="K31" i="1"/>
  <c r="J31" i="1"/>
  <c r="F31" i="1"/>
  <c r="G31" i="1" s="1"/>
  <c r="M32" i="1"/>
  <c r="O32" i="1" s="1"/>
  <c r="K32" i="1"/>
  <c r="J32" i="1"/>
  <c r="F32" i="1"/>
  <c r="G32" i="1" s="1"/>
  <c r="M34" i="1"/>
  <c r="O34" i="1" s="1"/>
  <c r="K34" i="1"/>
  <c r="J34" i="1"/>
  <c r="F34" i="1"/>
  <c r="G34" i="1" s="1"/>
  <c r="N35" i="1"/>
  <c r="M35" i="1"/>
  <c r="O35" i="1" s="1"/>
  <c r="K35" i="1"/>
  <c r="J35" i="1"/>
  <c r="G35" i="1"/>
  <c r="F35" i="1"/>
  <c r="M36" i="1"/>
  <c r="O36" i="1" s="1"/>
  <c r="K36" i="1"/>
  <c r="J36" i="1"/>
  <c r="F36" i="1"/>
  <c r="G36" i="1" s="1"/>
  <c r="M37" i="1"/>
  <c r="O37" i="1" s="1"/>
  <c r="K37" i="1"/>
  <c r="J37" i="1"/>
  <c r="F37" i="1"/>
  <c r="G37" i="1" s="1"/>
  <c r="M38" i="1"/>
  <c r="O38" i="1" s="1"/>
  <c r="K38" i="1"/>
  <c r="J38" i="1"/>
  <c r="F38" i="1"/>
  <c r="G38" i="1" s="1"/>
  <c r="M39" i="1"/>
  <c r="O39" i="1" s="1"/>
  <c r="K39" i="1"/>
  <c r="J39" i="1"/>
  <c r="F39" i="1"/>
  <c r="G39" i="1" s="1"/>
  <c r="M40" i="1"/>
  <c r="O40" i="1" s="1"/>
  <c r="K40" i="1"/>
  <c r="J40" i="1"/>
  <c r="F40" i="1"/>
  <c r="G40" i="1" s="1"/>
  <c r="M41" i="1"/>
  <c r="O41" i="1" s="1"/>
  <c r="K41" i="1"/>
  <c r="J41" i="1"/>
  <c r="F41" i="1"/>
  <c r="G41" i="1" s="1"/>
  <c r="M43" i="1"/>
  <c r="O43" i="1" s="1"/>
  <c r="K43" i="1"/>
  <c r="J43" i="1"/>
  <c r="F43" i="1"/>
  <c r="G43" i="1" s="1"/>
  <c r="M44" i="1"/>
  <c r="O44" i="1" s="1"/>
  <c r="K44" i="1"/>
  <c r="J44" i="1"/>
  <c r="F44" i="1"/>
  <c r="G44" i="1" s="1"/>
  <c r="M45" i="1"/>
  <c r="N45" i="1" s="1"/>
  <c r="K45" i="1"/>
  <c r="J45" i="1"/>
  <c r="F45" i="1"/>
  <c r="G45" i="1" s="1"/>
  <c r="M46" i="1"/>
  <c r="O46" i="1" s="1"/>
  <c r="K46" i="1"/>
  <c r="J46" i="1"/>
  <c r="F46" i="1"/>
  <c r="G46" i="1" s="1"/>
  <c r="M47" i="1"/>
  <c r="O47" i="1" s="1"/>
  <c r="K47" i="1"/>
  <c r="J47" i="1"/>
  <c r="F47" i="1"/>
  <c r="G47" i="1" s="1"/>
  <c r="M48" i="1"/>
  <c r="O48" i="1" s="1"/>
  <c r="K48" i="1"/>
  <c r="J48" i="1"/>
  <c r="F48" i="1"/>
  <c r="G48" i="1" s="1"/>
  <c r="M49" i="1"/>
  <c r="O49" i="1" s="1"/>
  <c r="K49" i="1"/>
  <c r="J49" i="1"/>
  <c r="F49" i="1"/>
  <c r="G49" i="1" s="1"/>
  <c r="M50" i="1"/>
  <c r="O50" i="1" s="1"/>
  <c r="K50" i="1"/>
  <c r="J50" i="1"/>
  <c r="F50" i="1"/>
  <c r="G50" i="1" s="1"/>
  <c r="M52" i="1"/>
  <c r="O52" i="1" s="1"/>
  <c r="K52" i="1"/>
  <c r="J52" i="1"/>
  <c r="F52" i="1"/>
  <c r="G52" i="1" s="1"/>
  <c r="M53" i="1"/>
  <c r="N53" i="1" s="1"/>
  <c r="K53" i="1"/>
  <c r="J53" i="1"/>
  <c r="F53" i="1"/>
  <c r="G53" i="1" s="1"/>
  <c r="M54" i="1"/>
  <c r="O54" i="1" s="1"/>
  <c r="K54" i="1"/>
  <c r="J54" i="1"/>
  <c r="F54" i="1"/>
  <c r="G54" i="1" s="1"/>
  <c r="M55" i="1"/>
  <c r="O55" i="1" s="1"/>
  <c r="K55" i="1"/>
  <c r="J55" i="1"/>
  <c r="F55" i="1"/>
  <c r="G55" i="1" s="1"/>
  <c r="M56" i="1"/>
  <c r="O56" i="1" s="1"/>
  <c r="K56" i="1"/>
  <c r="J56" i="1"/>
  <c r="F56" i="1"/>
  <c r="G56" i="1" s="1"/>
  <c r="M57" i="1"/>
  <c r="O57" i="1" s="1"/>
  <c r="K57" i="1"/>
  <c r="J57" i="1"/>
  <c r="F57" i="1"/>
  <c r="G57" i="1" s="1"/>
  <c r="M58" i="1"/>
  <c r="N58" i="1" s="1"/>
  <c r="K58" i="1"/>
  <c r="J58" i="1"/>
  <c r="F58" i="1"/>
  <c r="G58" i="1" s="1"/>
  <c r="M59" i="1"/>
  <c r="O59" i="1" s="1"/>
  <c r="K59" i="1"/>
  <c r="J59" i="1"/>
  <c r="F59" i="1"/>
  <c r="G59" i="1" s="1"/>
  <c r="M61" i="1"/>
  <c r="N61" i="1" s="1"/>
  <c r="K61" i="1"/>
  <c r="J61" i="1"/>
  <c r="F61" i="1"/>
  <c r="G61" i="1" s="1"/>
  <c r="M62" i="1"/>
  <c r="O62" i="1" s="1"/>
  <c r="K62" i="1"/>
  <c r="J62" i="1"/>
  <c r="F62" i="1"/>
  <c r="G62" i="1" s="1"/>
  <c r="M63" i="1"/>
  <c r="O63" i="1" s="1"/>
  <c r="K63" i="1"/>
  <c r="J63" i="1"/>
  <c r="F63" i="1"/>
  <c r="G63" i="1" s="1"/>
  <c r="M64" i="1"/>
  <c r="O64" i="1" s="1"/>
  <c r="K64" i="1"/>
  <c r="J64" i="1"/>
  <c r="F64" i="1"/>
  <c r="G64" i="1" s="1"/>
  <c r="M65" i="1"/>
  <c r="O65" i="1" s="1"/>
  <c r="K65" i="1"/>
  <c r="J65" i="1"/>
  <c r="F65" i="1"/>
  <c r="G65" i="1" s="1"/>
  <c r="M66" i="1"/>
  <c r="O66" i="1" s="1"/>
  <c r="K66" i="1"/>
  <c r="J66" i="1"/>
  <c r="F66" i="1"/>
  <c r="G66" i="1" s="1"/>
  <c r="M67" i="1"/>
  <c r="O67" i="1" s="1"/>
  <c r="K67" i="1"/>
  <c r="J67" i="1"/>
  <c r="F67" i="1"/>
  <c r="G67" i="1" s="1"/>
  <c r="M68" i="1"/>
  <c r="O68" i="1" s="1"/>
  <c r="K68" i="1"/>
  <c r="J68" i="1"/>
  <c r="F68" i="1"/>
  <c r="G68" i="1" s="1"/>
  <c r="M70" i="1"/>
  <c r="O70" i="1" s="1"/>
  <c r="K70" i="1"/>
  <c r="J70" i="1"/>
  <c r="F70" i="1"/>
  <c r="G70" i="1" s="1"/>
  <c r="M71" i="1"/>
  <c r="O71" i="1" s="1"/>
  <c r="K71" i="1"/>
  <c r="J71" i="1"/>
  <c r="F71" i="1"/>
  <c r="G71" i="1" s="1"/>
  <c r="M72" i="1"/>
  <c r="O72" i="1" s="1"/>
  <c r="K72" i="1"/>
  <c r="J72" i="1"/>
  <c r="F72" i="1"/>
  <c r="G72" i="1" s="1"/>
  <c r="M73" i="1"/>
  <c r="O73" i="1" s="1"/>
  <c r="K73" i="1"/>
  <c r="J73" i="1"/>
  <c r="F73" i="1"/>
  <c r="G73" i="1" s="1"/>
  <c r="M74" i="1"/>
  <c r="O74" i="1" s="1"/>
  <c r="K74" i="1"/>
  <c r="J74" i="1"/>
  <c r="F74" i="1"/>
  <c r="G74" i="1" s="1"/>
  <c r="M75" i="1"/>
  <c r="O75" i="1" s="1"/>
  <c r="K75" i="1"/>
  <c r="J75" i="1"/>
  <c r="F75" i="1"/>
  <c r="G75" i="1" s="1"/>
  <c r="M76" i="1"/>
  <c r="O76" i="1" s="1"/>
  <c r="K76" i="1"/>
  <c r="J76" i="1"/>
  <c r="F76" i="1"/>
  <c r="G76" i="1" s="1"/>
  <c r="M77" i="1"/>
  <c r="O77" i="1" s="1"/>
  <c r="K77" i="1"/>
  <c r="J77" i="1"/>
  <c r="F77" i="1"/>
  <c r="G77" i="1" s="1"/>
  <c r="M79" i="1"/>
  <c r="O79" i="1" s="1"/>
  <c r="K79" i="1"/>
  <c r="J79" i="1"/>
  <c r="F79" i="1"/>
  <c r="G79" i="1" s="1"/>
  <c r="M80" i="1"/>
  <c r="O80" i="1" s="1"/>
  <c r="K80" i="1"/>
  <c r="J80" i="1"/>
  <c r="F80" i="1"/>
  <c r="G80" i="1" s="1"/>
  <c r="M81" i="1"/>
  <c r="O81" i="1" s="1"/>
  <c r="K81" i="1"/>
  <c r="J81" i="1"/>
  <c r="F81" i="1"/>
  <c r="G81" i="1" s="1"/>
  <c r="M82" i="1"/>
  <c r="O82" i="1" s="1"/>
  <c r="K82" i="1"/>
  <c r="J82" i="1"/>
  <c r="F82" i="1"/>
  <c r="G82" i="1" s="1"/>
  <c r="M83" i="1"/>
  <c r="O83" i="1" s="1"/>
  <c r="K83" i="1"/>
  <c r="J83" i="1"/>
  <c r="F83" i="1"/>
  <c r="G83" i="1" s="1"/>
  <c r="M84" i="1"/>
  <c r="O84" i="1" s="1"/>
  <c r="K84" i="1"/>
  <c r="J84" i="1"/>
  <c r="F84" i="1"/>
  <c r="G84" i="1" s="1"/>
  <c r="M85" i="1"/>
  <c r="O85" i="1" s="1"/>
  <c r="K85" i="1"/>
  <c r="J85" i="1"/>
  <c r="F85" i="1"/>
  <c r="G85" i="1" s="1"/>
  <c r="M86" i="1"/>
  <c r="O86" i="1" s="1"/>
  <c r="K86" i="1"/>
  <c r="J86" i="1"/>
  <c r="F86" i="1"/>
  <c r="G86" i="1" s="1"/>
  <c r="M88" i="1"/>
  <c r="O88" i="1" s="1"/>
  <c r="K88" i="1"/>
  <c r="J88" i="1"/>
  <c r="F88" i="1"/>
  <c r="G88" i="1" s="1"/>
  <c r="M89" i="1"/>
  <c r="O89" i="1" s="1"/>
  <c r="K89" i="1"/>
  <c r="J89" i="1"/>
  <c r="F89" i="1"/>
  <c r="G89" i="1" s="1"/>
  <c r="M90" i="1"/>
  <c r="N90" i="1" s="1"/>
  <c r="K90" i="1"/>
  <c r="J90" i="1"/>
  <c r="F90" i="1"/>
  <c r="G90" i="1" s="1"/>
  <c r="N91" i="1"/>
  <c r="M91" i="1"/>
  <c r="O91" i="1" s="1"/>
  <c r="K91" i="1"/>
  <c r="J91" i="1"/>
  <c r="G91" i="1"/>
  <c r="F91" i="1"/>
  <c r="M92" i="1"/>
  <c r="N92" i="1" s="1"/>
  <c r="K92" i="1"/>
  <c r="J92" i="1"/>
  <c r="F92" i="1"/>
  <c r="G92" i="1" s="1"/>
  <c r="M93" i="1"/>
  <c r="O93" i="1" s="1"/>
  <c r="K93" i="1"/>
  <c r="J93" i="1"/>
  <c r="F93" i="1"/>
  <c r="G93" i="1" s="1"/>
  <c r="M94" i="1"/>
  <c r="N94" i="1" s="1"/>
  <c r="K94" i="1"/>
  <c r="J94" i="1"/>
  <c r="F94" i="1"/>
  <c r="G94" i="1" s="1"/>
  <c r="N95" i="1"/>
  <c r="M95" i="1"/>
  <c r="O95" i="1" s="1"/>
  <c r="K95" i="1"/>
  <c r="J95" i="1"/>
  <c r="G95" i="1"/>
  <c r="F95" i="1"/>
  <c r="M97" i="1"/>
  <c r="N97" i="1" s="1"/>
  <c r="K97" i="1"/>
  <c r="J97" i="1"/>
  <c r="F97" i="1"/>
  <c r="G97" i="1" s="1"/>
  <c r="N98" i="1"/>
  <c r="M98" i="1"/>
  <c r="O98" i="1" s="1"/>
  <c r="K98" i="1"/>
  <c r="J98" i="1"/>
  <c r="G98" i="1"/>
  <c r="F98" i="1"/>
  <c r="M99" i="1"/>
  <c r="O99" i="1" s="1"/>
  <c r="K99" i="1"/>
  <c r="J99" i="1"/>
  <c r="F99" i="1"/>
  <c r="G99" i="1" s="1"/>
  <c r="M100" i="1"/>
  <c r="N100" i="1" s="1"/>
  <c r="K100" i="1"/>
  <c r="J100" i="1"/>
  <c r="F100" i="1"/>
  <c r="G100" i="1" s="1"/>
  <c r="M101" i="1"/>
  <c r="O101" i="1" s="1"/>
  <c r="K101" i="1"/>
  <c r="J101" i="1"/>
  <c r="F101" i="1"/>
  <c r="G101" i="1" s="1"/>
  <c r="M102" i="1"/>
  <c r="O102" i="1" s="1"/>
  <c r="K102" i="1"/>
  <c r="J102" i="1"/>
  <c r="F102" i="1"/>
  <c r="G102" i="1" s="1"/>
  <c r="N103" i="1"/>
  <c r="M103" i="1"/>
  <c r="O103" i="1" s="1"/>
  <c r="K103" i="1"/>
  <c r="J103" i="1"/>
  <c r="G103" i="1"/>
  <c r="F103" i="1"/>
  <c r="M104" i="1"/>
  <c r="O104" i="1" s="1"/>
  <c r="K104" i="1"/>
  <c r="J104" i="1"/>
  <c r="F104" i="1"/>
  <c r="G104" i="1" s="1"/>
  <c r="M106" i="1"/>
  <c r="O106" i="1" s="1"/>
  <c r="K106" i="1"/>
  <c r="J106" i="1"/>
  <c r="F106" i="1"/>
  <c r="G106" i="1" s="1"/>
  <c r="M107" i="1"/>
  <c r="O107" i="1" s="1"/>
  <c r="K107" i="1"/>
  <c r="J107" i="1"/>
  <c r="F107" i="1"/>
  <c r="G107" i="1" s="1"/>
  <c r="M108" i="1"/>
  <c r="O108" i="1" s="1"/>
  <c r="K108" i="1"/>
  <c r="J108" i="1"/>
  <c r="F108" i="1"/>
  <c r="G108" i="1" s="1"/>
  <c r="M109" i="1"/>
  <c r="O109" i="1" s="1"/>
  <c r="K109" i="1"/>
  <c r="J109" i="1"/>
  <c r="F109" i="1"/>
  <c r="G109" i="1" s="1"/>
  <c r="M110" i="1"/>
  <c r="O110" i="1" s="1"/>
  <c r="K110" i="1"/>
  <c r="J110" i="1"/>
  <c r="F110" i="1"/>
  <c r="G110" i="1" s="1"/>
  <c r="M111" i="1"/>
  <c r="O111" i="1" s="1"/>
  <c r="K111" i="1"/>
  <c r="J111" i="1"/>
  <c r="F111" i="1"/>
  <c r="G111" i="1" s="1"/>
  <c r="M112" i="1"/>
  <c r="O112" i="1" s="1"/>
  <c r="K112" i="1"/>
  <c r="J112" i="1"/>
  <c r="F112" i="1"/>
  <c r="G112" i="1" s="1"/>
  <c r="M113" i="1"/>
  <c r="O113" i="1" s="1"/>
  <c r="K113" i="1"/>
  <c r="J113" i="1"/>
  <c r="F113" i="1"/>
  <c r="G113" i="1" s="1"/>
  <c r="M115" i="1"/>
  <c r="O115" i="1" s="1"/>
  <c r="K115" i="1"/>
  <c r="J115" i="1"/>
  <c r="F115" i="1"/>
  <c r="G115" i="1" s="1"/>
  <c r="M116" i="1"/>
  <c r="O116" i="1" s="1"/>
  <c r="K116" i="1"/>
  <c r="J116" i="1"/>
  <c r="F116" i="1"/>
  <c r="G116" i="1" s="1"/>
  <c r="M117" i="1"/>
  <c r="O117" i="1" s="1"/>
  <c r="K117" i="1"/>
  <c r="J117" i="1"/>
  <c r="F117" i="1"/>
  <c r="G117" i="1" s="1"/>
  <c r="M118" i="1"/>
  <c r="O118" i="1" s="1"/>
  <c r="K118" i="1"/>
  <c r="J118" i="1"/>
  <c r="G118" i="1"/>
  <c r="F118" i="1"/>
  <c r="M119" i="1"/>
  <c r="N119" i="1" s="1"/>
  <c r="K119" i="1"/>
  <c r="J119" i="1"/>
  <c r="F119" i="1"/>
  <c r="G119" i="1" s="1"/>
  <c r="M120" i="1"/>
  <c r="O120" i="1" s="1"/>
  <c r="K120" i="1"/>
  <c r="J120" i="1"/>
  <c r="F120" i="1"/>
  <c r="G120" i="1" s="1"/>
  <c r="M121" i="1"/>
  <c r="O121" i="1" s="1"/>
  <c r="K121" i="1"/>
  <c r="J121" i="1"/>
  <c r="G121" i="1"/>
  <c r="F121" i="1"/>
  <c r="M122" i="1"/>
  <c r="O122" i="1" s="1"/>
  <c r="K122" i="1"/>
  <c r="J122" i="1"/>
  <c r="F122" i="1"/>
  <c r="G122" i="1" s="1"/>
  <c r="M124" i="1"/>
  <c r="O124" i="1" s="1"/>
  <c r="K124" i="1"/>
  <c r="J124" i="1"/>
  <c r="F124" i="1"/>
  <c r="G124" i="1" s="1"/>
  <c r="M125" i="1"/>
  <c r="O125" i="1" s="1"/>
  <c r="K125" i="1"/>
  <c r="J125" i="1"/>
  <c r="F125" i="1"/>
  <c r="G125" i="1" s="1"/>
  <c r="M126" i="1"/>
  <c r="O126" i="1" s="1"/>
  <c r="K126" i="1"/>
  <c r="J126" i="1"/>
  <c r="F126" i="1"/>
  <c r="G126" i="1" s="1"/>
  <c r="M127" i="1"/>
  <c r="O127" i="1" s="1"/>
  <c r="K127" i="1"/>
  <c r="J127" i="1"/>
  <c r="F127" i="1"/>
  <c r="G127" i="1" s="1"/>
  <c r="M128" i="1"/>
  <c r="O128" i="1" s="1"/>
  <c r="K128" i="1"/>
  <c r="J128" i="1"/>
  <c r="F128" i="1"/>
  <c r="G128" i="1" s="1"/>
  <c r="N129" i="1"/>
  <c r="M129" i="1"/>
  <c r="O129" i="1" s="1"/>
  <c r="K129" i="1"/>
  <c r="J129" i="1"/>
  <c r="G129" i="1"/>
  <c r="F129" i="1"/>
  <c r="M130" i="1"/>
  <c r="O130" i="1" s="1"/>
  <c r="K130" i="1"/>
  <c r="J130" i="1"/>
  <c r="F130" i="1"/>
  <c r="G130" i="1" s="1"/>
  <c r="M131" i="1"/>
  <c r="O131" i="1" s="1"/>
  <c r="K131" i="1"/>
  <c r="J131" i="1"/>
  <c r="F131" i="1"/>
  <c r="G131" i="1" s="1"/>
  <c r="M133" i="1"/>
  <c r="O133" i="1" s="1"/>
  <c r="K133" i="1"/>
  <c r="J133" i="1"/>
  <c r="F133" i="1"/>
  <c r="G133" i="1" s="1"/>
  <c r="M134" i="1"/>
  <c r="O134" i="1" s="1"/>
  <c r="K134" i="1"/>
  <c r="J134" i="1"/>
  <c r="F134" i="1"/>
  <c r="G134" i="1" s="1"/>
  <c r="M135" i="1"/>
  <c r="O135" i="1" s="1"/>
  <c r="K135" i="1"/>
  <c r="J135" i="1"/>
  <c r="F135" i="1"/>
  <c r="G135" i="1" s="1"/>
  <c r="M136" i="1"/>
  <c r="O136" i="1" s="1"/>
  <c r="K136" i="1"/>
  <c r="J136" i="1"/>
  <c r="F136" i="1"/>
  <c r="G136" i="1" s="1"/>
  <c r="M137" i="1"/>
  <c r="O137" i="1" s="1"/>
  <c r="K137" i="1"/>
  <c r="J137" i="1"/>
  <c r="F137" i="1"/>
  <c r="G137" i="1" s="1"/>
  <c r="M138" i="1"/>
  <c r="O138" i="1" s="1"/>
  <c r="K138" i="1"/>
  <c r="J138" i="1"/>
  <c r="F138" i="1"/>
  <c r="G138" i="1" s="1"/>
  <c r="M139" i="1"/>
  <c r="O139" i="1" s="1"/>
  <c r="K139" i="1"/>
  <c r="J139" i="1"/>
  <c r="F139" i="1"/>
  <c r="G139" i="1" s="1"/>
  <c r="M140" i="1"/>
  <c r="N140" i="1" s="1"/>
  <c r="K140" i="1"/>
  <c r="J140" i="1"/>
  <c r="F140" i="1"/>
  <c r="G140" i="1" s="1"/>
  <c r="M142" i="1"/>
  <c r="O142" i="1" s="1"/>
  <c r="K142" i="1"/>
  <c r="J142" i="1"/>
  <c r="F142" i="1"/>
  <c r="G142" i="1" s="1"/>
  <c r="M143" i="1"/>
  <c r="O143" i="1" s="1"/>
  <c r="K143" i="1"/>
  <c r="J143" i="1"/>
  <c r="F143" i="1"/>
  <c r="G143" i="1" s="1"/>
  <c r="M144" i="1"/>
  <c r="O144" i="1" s="1"/>
  <c r="K144" i="1"/>
  <c r="J144" i="1"/>
  <c r="F144" i="1"/>
  <c r="G144" i="1" s="1"/>
  <c r="M145" i="1"/>
  <c r="O145" i="1" s="1"/>
  <c r="K145" i="1"/>
  <c r="J145" i="1"/>
  <c r="F145" i="1"/>
  <c r="G145" i="1" s="1"/>
  <c r="M146" i="1"/>
  <c r="O146" i="1" s="1"/>
  <c r="K146" i="1"/>
  <c r="J146" i="1"/>
  <c r="F146" i="1"/>
  <c r="G146" i="1" s="1"/>
  <c r="M147" i="1"/>
  <c r="O147" i="1" s="1"/>
  <c r="K147" i="1"/>
  <c r="J147" i="1"/>
  <c r="F147" i="1"/>
  <c r="G147" i="1" s="1"/>
  <c r="M148" i="1"/>
  <c r="O148" i="1" s="1"/>
  <c r="K148" i="1"/>
  <c r="J148" i="1"/>
  <c r="F148" i="1"/>
  <c r="G148" i="1" s="1"/>
  <c r="M149" i="1"/>
  <c r="O149" i="1" s="1"/>
  <c r="K149" i="1"/>
  <c r="J149" i="1"/>
  <c r="F149" i="1"/>
  <c r="G149" i="1" s="1"/>
  <c r="M151" i="1"/>
  <c r="O151" i="1" s="1"/>
  <c r="K151" i="1"/>
  <c r="J151" i="1"/>
  <c r="F151" i="1"/>
  <c r="G151" i="1" s="1"/>
  <c r="N152" i="1"/>
  <c r="M152" i="1"/>
  <c r="O152" i="1" s="1"/>
  <c r="K152" i="1"/>
  <c r="J152" i="1"/>
  <c r="G152" i="1"/>
  <c r="F152" i="1"/>
  <c r="M153" i="1"/>
  <c r="O153" i="1" s="1"/>
  <c r="K153" i="1"/>
  <c r="J153" i="1"/>
  <c r="F153" i="1"/>
  <c r="G153" i="1" s="1"/>
  <c r="M154" i="1"/>
  <c r="O154" i="1" s="1"/>
  <c r="K154" i="1"/>
  <c r="J154" i="1"/>
  <c r="F154" i="1"/>
  <c r="G154" i="1" s="1"/>
  <c r="M155" i="1"/>
  <c r="O155" i="1" s="1"/>
  <c r="K155" i="1"/>
  <c r="J155" i="1"/>
  <c r="F155" i="1"/>
  <c r="G155" i="1" s="1"/>
  <c r="M156" i="1"/>
  <c r="O156" i="1" s="1"/>
  <c r="K156" i="1"/>
  <c r="J156" i="1"/>
  <c r="F156" i="1"/>
  <c r="G156" i="1" s="1"/>
  <c r="M157" i="1"/>
  <c r="O157" i="1" s="1"/>
  <c r="K157" i="1"/>
  <c r="J157" i="1"/>
  <c r="F157" i="1"/>
  <c r="G157" i="1" s="1"/>
  <c r="M158" i="1"/>
  <c r="O158" i="1" s="1"/>
  <c r="K158" i="1"/>
  <c r="J158" i="1"/>
  <c r="F158" i="1"/>
  <c r="G158" i="1" s="1"/>
  <c r="M160" i="1"/>
  <c r="O160" i="1" s="1"/>
  <c r="K160" i="1"/>
  <c r="J160" i="1"/>
  <c r="G160" i="1"/>
  <c r="F160" i="1"/>
  <c r="M161" i="1"/>
  <c r="O161" i="1" s="1"/>
  <c r="K161" i="1"/>
  <c r="J161" i="1"/>
  <c r="F161" i="1"/>
  <c r="G161" i="1" s="1"/>
  <c r="M162" i="1"/>
  <c r="O162" i="1" s="1"/>
  <c r="K162" i="1"/>
  <c r="J162" i="1"/>
  <c r="F162" i="1"/>
  <c r="G162" i="1" s="1"/>
  <c r="M163" i="1"/>
  <c r="O163" i="1" s="1"/>
  <c r="K163" i="1"/>
  <c r="J163" i="1"/>
  <c r="F163" i="1"/>
  <c r="G163" i="1" s="1"/>
  <c r="M164" i="1"/>
  <c r="O164" i="1" s="1"/>
  <c r="K164" i="1"/>
  <c r="J164" i="1"/>
  <c r="F164" i="1"/>
  <c r="G164" i="1" s="1"/>
  <c r="M165" i="1"/>
  <c r="O165" i="1" s="1"/>
  <c r="K165" i="1"/>
  <c r="J165" i="1"/>
  <c r="G165" i="1"/>
  <c r="F165" i="1"/>
  <c r="M166" i="1"/>
  <c r="O166" i="1" s="1"/>
  <c r="K166" i="1"/>
  <c r="J166" i="1"/>
  <c r="F166" i="1"/>
  <c r="G166" i="1" s="1"/>
  <c r="M167" i="1"/>
  <c r="O167" i="1" s="1"/>
  <c r="K167" i="1"/>
  <c r="J167" i="1"/>
  <c r="F167" i="1"/>
  <c r="G167" i="1" s="1"/>
  <c r="M169" i="1"/>
  <c r="O169" i="1" s="1"/>
  <c r="K169" i="1"/>
  <c r="J169" i="1"/>
  <c r="F169" i="1"/>
  <c r="G169" i="1" s="1"/>
  <c r="M170" i="1"/>
  <c r="O170" i="1" s="1"/>
  <c r="K170" i="1"/>
  <c r="J170" i="1"/>
  <c r="F170" i="1"/>
  <c r="G170" i="1" s="1"/>
  <c r="M171" i="1"/>
  <c r="O171" i="1" s="1"/>
  <c r="K171" i="1"/>
  <c r="J171" i="1"/>
  <c r="F171" i="1"/>
  <c r="G171" i="1" s="1"/>
  <c r="N172" i="1"/>
  <c r="M172" i="1"/>
  <c r="O172" i="1" s="1"/>
  <c r="K172" i="1"/>
  <c r="J172" i="1"/>
  <c r="G172" i="1"/>
  <c r="F172" i="1"/>
  <c r="M173" i="1"/>
  <c r="O173" i="1" s="1"/>
  <c r="K173" i="1"/>
  <c r="J173" i="1"/>
  <c r="F173" i="1"/>
  <c r="G173" i="1" s="1"/>
  <c r="M174" i="1"/>
  <c r="O174" i="1" s="1"/>
  <c r="K174" i="1"/>
  <c r="J174" i="1"/>
  <c r="F174" i="1"/>
  <c r="G174" i="1" s="1"/>
  <c r="M175" i="1"/>
  <c r="O175" i="1" s="1"/>
  <c r="K175" i="1"/>
  <c r="J175" i="1"/>
  <c r="F175" i="1"/>
  <c r="G175" i="1" s="1"/>
  <c r="M176" i="1"/>
  <c r="O176" i="1" s="1"/>
  <c r="K176" i="1"/>
  <c r="J176" i="1"/>
  <c r="F176" i="1"/>
  <c r="G176" i="1" s="1"/>
  <c r="M178" i="1"/>
  <c r="O178" i="1" s="1"/>
  <c r="K178" i="1"/>
  <c r="J178" i="1"/>
  <c r="F178" i="1"/>
  <c r="G178" i="1" s="1"/>
  <c r="M179" i="1"/>
  <c r="O179" i="1" s="1"/>
  <c r="K179" i="1"/>
  <c r="J179" i="1"/>
  <c r="F179" i="1"/>
  <c r="G179" i="1" s="1"/>
  <c r="M180" i="1"/>
  <c r="O180" i="1" s="1"/>
  <c r="K180" i="1"/>
  <c r="J180" i="1"/>
  <c r="F180" i="1"/>
  <c r="G180" i="1" s="1"/>
  <c r="M181" i="1"/>
  <c r="O181" i="1" s="1"/>
  <c r="K181" i="1"/>
  <c r="J181" i="1"/>
  <c r="F181" i="1"/>
  <c r="G181" i="1" s="1"/>
  <c r="M182" i="1"/>
  <c r="O182" i="1" s="1"/>
  <c r="K182" i="1"/>
  <c r="J182" i="1"/>
  <c r="F182" i="1"/>
  <c r="G182" i="1" s="1"/>
  <c r="N183" i="1"/>
  <c r="M183" i="1"/>
  <c r="O183" i="1" s="1"/>
  <c r="K183" i="1"/>
  <c r="J183" i="1"/>
  <c r="G183" i="1"/>
  <c r="F183" i="1"/>
  <c r="M184" i="1"/>
  <c r="O184" i="1" s="1"/>
  <c r="K184" i="1"/>
  <c r="J184" i="1"/>
  <c r="F184" i="1"/>
  <c r="G184" i="1" s="1"/>
  <c r="M185" i="1"/>
  <c r="O185" i="1" s="1"/>
  <c r="K185" i="1"/>
  <c r="J185" i="1"/>
  <c r="F185" i="1"/>
  <c r="G185" i="1" s="1"/>
  <c r="M187" i="1"/>
  <c r="O187" i="1" s="1"/>
  <c r="K187" i="1"/>
  <c r="J187" i="1"/>
  <c r="F187" i="1"/>
  <c r="G187" i="1" s="1"/>
  <c r="M188" i="1"/>
  <c r="O188" i="1" s="1"/>
  <c r="K188" i="1"/>
  <c r="J188" i="1"/>
  <c r="F188" i="1"/>
  <c r="G188" i="1" s="1"/>
  <c r="M189" i="1"/>
  <c r="O189" i="1" s="1"/>
  <c r="K189" i="1"/>
  <c r="J189" i="1"/>
  <c r="F189" i="1"/>
  <c r="G189" i="1" s="1"/>
  <c r="M190" i="1"/>
  <c r="O190" i="1" s="1"/>
  <c r="K190" i="1"/>
  <c r="J190" i="1"/>
  <c r="F190" i="1"/>
  <c r="G190" i="1" s="1"/>
  <c r="M191" i="1"/>
  <c r="O191" i="1" s="1"/>
  <c r="K191" i="1"/>
  <c r="J191" i="1"/>
  <c r="F191" i="1"/>
  <c r="G191" i="1" s="1"/>
  <c r="M192" i="1"/>
  <c r="O192" i="1" s="1"/>
  <c r="K192" i="1"/>
  <c r="J192" i="1"/>
  <c r="F192" i="1"/>
  <c r="G192" i="1" s="1"/>
  <c r="M193" i="1"/>
  <c r="O193" i="1" s="1"/>
  <c r="K193" i="1"/>
  <c r="J193" i="1"/>
  <c r="F193" i="1"/>
  <c r="G193" i="1" s="1"/>
  <c r="M194" i="1"/>
  <c r="O194" i="1" s="1"/>
  <c r="K194" i="1"/>
  <c r="J194" i="1"/>
  <c r="F194" i="1"/>
  <c r="G194" i="1" s="1"/>
  <c r="N196" i="1"/>
  <c r="M196" i="1"/>
  <c r="O196" i="1" s="1"/>
  <c r="K196" i="1"/>
  <c r="J196" i="1"/>
  <c r="G196" i="1"/>
  <c r="F196" i="1"/>
  <c r="M197" i="1"/>
  <c r="O197" i="1" s="1"/>
  <c r="K197" i="1"/>
  <c r="J197" i="1"/>
  <c r="F197" i="1"/>
  <c r="G197" i="1" s="1"/>
  <c r="M198" i="1"/>
  <c r="O198" i="1" s="1"/>
  <c r="K198" i="1"/>
  <c r="J198" i="1"/>
  <c r="F198" i="1"/>
  <c r="G198" i="1" s="1"/>
  <c r="M199" i="1"/>
  <c r="O199" i="1" s="1"/>
  <c r="K199" i="1"/>
  <c r="J199" i="1"/>
  <c r="F199" i="1"/>
  <c r="G199" i="1" s="1"/>
  <c r="M200" i="1"/>
  <c r="O200" i="1" s="1"/>
  <c r="K200" i="1"/>
  <c r="J200" i="1"/>
  <c r="F200" i="1"/>
  <c r="G200" i="1" s="1"/>
  <c r="N201" i="1"/>
  <c r="M201" i="1"/>
  <c r="O201" i="1" s="1"/>
  <c r="K201" i="1"/>
  <c r="J201" i="1"/>
  <c r="G201" i="1"/>
  <c r="F201" i="1"/>
  <c r="N202" i="1"/>
  <c r="M202" i="1"/>
  <c r="O202" i="1" s="1"/>
  <c r="K202" i="1"/>
  <c r="J202" i="1"/>
  <c r="G202" i="1"/>
  <c r="F202" i="1"/>
  <c r="M203" i="1"/>
  <c r="O203" i="1" s="1"/>
  <c r="K203" i="1"/>
  <c r="J203" i="1"/>
  <c r="F203" i="1"/>
  <c r="G203" i="1" s="1"/>
  <c r="M205" i="1"/>
  <c r="O205" i="1" s="1"/>
  <c r="K205" i="1"/>
  <c r="J205" i="1"/>
  <c r="F205" i="1"/>
  <c r="G205" i="1" s="1"/>
  <c r="M206" i="1"/>
  <c r="O206" i="1" s="1"/>
  <c r="K206" i="1"/>
  <c r="J206" i="1"/>
  <c r="F206" i="1"/>
  <c r="G206" i="1" s="1"/>
  <c r="M207" i="1"/>
  <c r="O207" i="1" s="1"/>
  <c r="K207" i="1"/>
  <c r="J207" i="1"/>
  <c r="G207" i="1"/>
  <c r="F207" i="1"/>
  <c r="M208" i="1"/>
  <c r="O208" i="1" s="1"/>
  <c r="K208" i="1"/>
  <c r="J208" i="1"/>
  <c r="F208" i="1"/>
  <c r="G208" i="1" s="1"/>
  <c r="M209" i="1"/>
  <c r="O209" i="1" s="1"/>
  <c r="K209" i="1"/>
  <c r="J209" i="1"/>
  <c r="F209" i="1"/>
  <c r="G209" i="1" s="1"/>
  <c r="M210" i="1"/>
  <c r="O210" i="1" s="1"/>
  <c r="K210" i="1"/>
  <c r="J210" i="1"/>
  <c r="G210" i="1"/>
  <c r="F210" i="1"/>
  <c r="M211" i="1"/>
  <c r="O211" i="1" s="1"/>
  <c r="K211" i="1"/>
  <c r="J211" i="1"/>
  <c r="F211" i="1"/>
  <c r="G211" i="1" s="1"/>
  <c r="M212" i="1"/>
  <c r="O212" i="1" s="1"/>
  <c r="K212" i="1"/>
  <c r="J212" i="1"/>
  <c r="G212" i="1"/>
  <c r="F212" i="1"/>
  <c r="M214" i="1"/>
  <c r="O214" i="1" s="1"/>
  <c r="K214" i="1"/>
  <c r="J214" i="1"/>
  <c r="F214" i="1"/>
  <c r="G214" i="1" s="1"/>
  <c r="M215" i="1"/>
  <c r="O215" i="1" s="1"/>
  <c r="K215" i="1"/>
  <c r="J215" i="1"/>
  <c r="F215" i="1"/>
  <c r="G215" i="1" s="1"/>
  <c r="M216" i="1"/>
  <c r="O216" i="1" s="1"/>
  <c r="K216" i="1"/>
  <c r="J216" i="1"/>
  <c r="F216" i="1"/>
  <c r="G216" i="1" s="1"/>
  <c r="M217" i="1"/>
  <c r="O217" i="1" s="1"/>
  <c r="K217" i="1"/>
  <c r="J217" i="1"/>
  <c r="F217" i="1"/>
  <c r="G217" i="1" s="1"/>
  <c r="M218" i="1"/>
  <c r="O218" i="1" s="1"/>
  <c r="K218" i="1"/>
  <c r="J218" i="1"/>
  <c r="G218" i="1"/>
  <c r="F218" i="1"/>
  <c r="M219" i="1"/>
  <c r="O219" i="1" s="1"/>
  <c r="K219" i="1"/>
  <c r="J219" i="1"/>
  <c r="G219" i="1"/>
  <c r="F219" i="1"/>
  <c r="M220" i="1"/>
  <c r="O220" i="1" s="1"/>
  <c r="K220" i="1"/>
  <c r="J220" i="1"/>
  <c r="F220" i="1"/>
  <c r="G220" i="1" s="1"/>
  <c r="M221" i="1"/>
  <c r="O221" i="1" s="1"/>
  <c r="K221" i="1"/>
  <c r="J221" i="1"/>
  <c r="F221" i="1"/>
  <c r="G221" i="1" s="1"/>
  <c r="M223" i="1"/>
  <c r="O223" i="1" s="1"/>
  <c r="K223" i="1"/>
  <c r="J223" i="1"/>
  <c r="F223" i="1"/>
  <c r="G223" i="1" s="1"/>
  <c r="M224" i="1"/>
  <c r="O224" i="1" s="1"/>
  <c r="K224" i="1"/>
  <c r="J224" i="1"/>
  <c r="F224" i="1"/>
  <c r="G224" i="1" s="1"/>
  <c r="M225" i="1"/>
  <c r="O225" i="1" s="1"/>
  <c r="K225" i="1"/>
  <c r="J225" i="1"/>
  <c r="F225" i="1"/>
  <c r="G225" i="1" s="1"/>
  <c r="M226" i="1"/>
  <c r="O226" i="1" s="1"/>
  <c r="K226" i="1"/>
  <c r="J226" i="1"/>
  <c r="G226" i="1"/>
  <c r="F226" i="1"/>
  <c r="N227" i="1"/>
  <c r="M227" i="1"/>
  <c r="O227" i="1" s="1"/>
  <c r="K227" i="1"/>
  <c r="J227" i="1"/>
  <c r="G227" i="1"/>
  <c r="F227" i="1"/>
  <c r="N228" i="1"/>
  <c r="M228" i="1"/>
  <c r="O228" i="1" s="1"/>
  <c r="K228" i="1"/>
  <c r="J228" i="1"/>
  <c r="G228" i="1"/>
  <c r="F228" i="1"/>
  <c r="M229" i="1"/>
  <c r="O229" i="1" s="1"/>
  <c r="K229" i="1"/>
  <c r="J229" i="1"/>
  <c r="F229" i="1"/>
  <c r="G229" i="1" s="1"/>
  <c r="M230" i="1"/>
  <c r="O230" i="1" s="1"/>
  <c r="K230" i="1"/>
  <c r="J230" i="1"/>
  <c r="F230" i="1"/>
  <c r="G230" i="1" s="1"/>
  <c r="N232" i="1"/>
  <c r="M232" i="1"/>
  <c r="O232" i="1" s="1"/>
  <c r="K232" i="1"/>
  <c r="J232" i="1"/>
  <c r="G232" i="1"/>
  <c r="F232" i="1"/>
  <c r="M233" i="1"/>
  <c r="O233" i="1" s="1"/>
  <c r="K233" i="1"/>
  <c r="J233" i="1"/>
  <c r="F233" i="1"/>
  <c r="G233" i="1" s="1"/>
  <c r="N234" i="1"/>
  <c r="M234" i="1"/>
  <c r="O234" i="1" s="1"/>
  <c r="K234" i="1"/>
  <c r="J234" i="1"/>
  <c r="G234" i="1"/>
  <c r="F234" i="1"/>
  <c r="M235" i="1"/>
  <c r="O235" i="1" s="1"/>
  <c r="K235" i="1"/>
  <c r="J235" i="1"/>
  <c r="F235" i="1"/>
  <c r="G235" i="1" s="1"/>
  <c r="M236" i="1"/>
  <c r="N236" i="1" s="1"/>
  <c r="K236" i="1"/>
  <c r="J236" i="1"/>
  <c r="F236" i="1"/>
  <c r="G236" i="1" s="1"/>
  <c r="N237" i="1"/>
  <c r="M237" i="1"/>
  <c r="O237" i="1" s="1"/>
  <c r="K237" i="1"/>
  <c r="J237" i="1"/>
  <c r="G237" i="1"/>
  <c r="F237" i="1"/>
  <c r="M238" i="1"/>
  <c r="O238" i="1" s="1"/>
  <c r="K238" i="1"/>
  <c r="J238" i="1"/>
  <c r="F238" i="1"/>
  <c r="G238" i="1" s="1"/>
  <c r="N239" i="1"/>
  <c r="M239" i="1"/>
  <c r="O239" i="1" s="1"/>
  <c r="K239" i="1"/>
  <c r="J239" i="1"/>
  <c r="G239" i="1"/>
  <c r="F239" i="1"/>
  <c r="M241" i="1"/>
  <c r="O241" i="1" s="1"/>
  <c r="K241" i="1"/>
  <c r="J241" i="1"/>
  <c r="F241" i="1"/>
  <c r="G241" i="1" s="1"/>
  <c r="M242" i="1"/>
  <c r="O242" i="1" s="1"/>
  <c r="K242" i="1"/>
  <c r="J242" i="1"/>
  <c r="F242" i="1"/>
  <c r="G242" i="1" s="1"/>
  <c r="M243" i="1"/>
  <c r="N243" i="1" s="1"/>
  <c r="K243" i="1"/>
  <c r="J243" i="1"/>
  <c r="F243" i="1"/>
  <c r="G243" i="1" s="1"/>
  <c r="M244" i="1"/>
  <c r="O244" i="1" s="1"/>
  <c r="K244" i="1"/>
  <c r="J244" i="1"/>
  <c r="F244" i="1"/>
  <c r="G244" i="1" s="1"/>
  <c r="M245" i="1"/>
  <c r="O245" i="1" s="1"/>
  <c r="K245" i="1"/>
  <c r="J245" i="1"/>
  <c r="F245" i="1"/>
  <c r="G245" i="1" s="1"/>
  <c r="M246" i="1"/>
  <c r="O246" i="1" s="1"/>
  <c r="K246" i="1"/>
  <c r="J246" i="1"/>
  <c r="F246" i="1"/>
  <c r="G246" i="1" s="1"/>
  <c r="M247" i="1"/>
  <c r="O247" i="1" s="1"/>
  <c r="K247" i="1"/>
  <c r="J247" i="1"/>
  <c r="G247" i="1"/>
  <c r="F247" i="1"/>
  <c r="M248" i="1"/>
  <c r="O248" i="1" s="1"/>
  <c r="K248" i="1"/>
  <c r="J248" i="1"/>
  <c r="F248" i="1"/>
  <c r="G248" i="1" s="1"/>
  <c r="M250" i="1"/>
  <c r="O250" i="1" s="1"/>
  <c r="K250" i="1"/>
  <c r="J250" i="1"/>
  <c r="F250" i="1"/>
  <c r="G250" i="1" s="1"/>
  <c r="M251" i="1"/>
  <c r="O251" i="1" s="1"/>
  <c r="K251" i="1"/>
  <c r="J251" i="1"/>
  <c r="F251" i="1"/>
  <c r="G251" i="1" s="1"/>
  <c r="M252" i="1"/>
  <c r="O252" i="1" s="1"/>
  <c r="K252" i="1"/>
  <c r="J252" i="1"/>
  <c r="G252" i="1"/>
  <c r="F252" i="1"/>
  <c r="M253" i="1"/>
  <c r="O253" i="1" s="1"/>
  <c r="K253" i="1"/>
  <c r="J253" i="1"/>
  <c r="G253" i="1"/>
  <c r="F253" i="1"/>
  <c r="M254" i="1"/>
  <c r="O254" i="1" s="1"/>
  <c r="K254" i="1"/>
  <c r="J254" i="1"/>
  <c r="F254" i="1"/>
  <c r="G254" i="1" s="1"/>
  <c r="M255" i="1"/>
  <c r="O255" i="1" s="1"/>
  <c r="K255" i="1"/>
  <c r="J255" i="1"/>
  <c r="G255" i="1"/>
  <c r="F255" i="1"/>
  <c r="N256" i="1"/>
  <c r="M256" i="1"/>
  <c r="O256" i="1" s="1"/>
  <c r="K256" i="1"/>
  <c r="J256" i="1"/>
  <c r="G256" i="1"/>
  <c r="F256" i="1"/>
  <c r="M257" i="1"/>
  <c r="O257" i="1" s="1"/>
  <c r="K257" i="1"/>
  <c r="J257" i="1"/>
  <c r="F257" i="1"/>
  <c r="G257" i="1" s="1"/>
  <c r="M259" i="1"/>
  <c r="O259" i="1" s="1"/>
  <c r="K259" i="1"/>
  <c r="J259" i="1"/>
  <c r="F259" i="1"/>
  <c r="G259" i="1" s="1"/>
  <c r="N260" i="1"/>
  <c r="M260" i="1"/>
  <c r="O260" i="1" s="1"/>
  <c r="K260" i="1"/>
  <c r="J260" i="1"/>
  <c r="G260" i="1"/>
  <c r="F260" i="1"/>
  <c r="M261" i="1"/>
  <c r="O261" i="1" s="1"/>
  <c r="K261" i="1"/>
  <c r="J261" i="1"/>
  <c r="F261" i="1"/>
  <c r="G261" i="1" s="1"/>
  <c r="M262" i="1"/>
  <c r="O262" i="1" s="1"/>
  <c r="K262" i="1"/>
  <c r="J262" i="1"/>
  <c r="F262" i="1"/>
  <c r="G262" i="1" s="1"/>
  <c r="M263" i="1"/>
  <c r="N263" i="1" s="1"/>
  <c r="K263" i="1"/>
  <c r="J263" i="1"/>
  <c r="F263" i="1"/>
  <c r="G263" i="1" s="1"/>
  <c r="N264" i="1"/>
  <c r="M264" i="1"/>
  <c r="O264" i="1" s="1"/>
  <c r="K264" i="1"/>
  <c r="J264" i="1"/>
  <c r="G264" i="1"/>
  <c r="F264" i="1"/>
  <c r="M265" i="1"/>
  <c r="O265" i="1" s="1"/>
  <c r="K265" i="1"/>
  <c r="J265" i="1"/>
  <c r="F265" i="1"/>
  <c r="G265" i="1" s="1"/>
  <c r="M266" i="1"/>
  <c r="O266" i="1" s="1"/>
  <c r="K266" i="1"/>
  <c r="J266" i="1"/>
  <c r="F266" i="1"/>
  <c r="G266" i="1" s="1"/>
  <c r="M268" i="1"/>
  <c r="O268" i="1" s="1"/>
  <c r="K268" i="1"/>
  <c r="J268" i="1"/>
  <c r="F268" i="1"/>
  <c r="G268" i="1" s="1"/>
  <c r="M269" i="1"/>
  <c r="O269" i="1" s="1"/>
  <c r="K269" i="1"/>
  <c r="J269" i="1"/>
  <c r="F269" i="1"/>
  <c r="G269" i="1" s="1"/>
  <c r="M270" i="1"/>
  <c r="O270" i="1" s="1"/>
  <c r="K270" i="1"/>
  <c r="J270" i="1"/>
  <c r="F270" i="1"/>
  <c r="G270" i="1" s="1"/>
  <c r="M271" i="1"/>
  <c r="N271" i="1" s="1"/>
  <c r="K271" i="1"/>
  <c r="J271" i="1"/>
  <c r="F271" i="1"/>
  <c r="G271" i="1" s="1"/>
  <c r="M272" i="1"/>
  <c r="N272" i="1" s="1"/>
  <c r="K272" i="1"/>
  <c r="J272" i="1"/>
  <c r="F272" i="1"/>
  <c r="G272" i="1" s="1"/>
  <c r="M273" i="1"/>
  <c r="N273" i="1" s="1"/>
  <c r="K273" i="1"/>
  <c r="J273" i="1"/>
  <c r="F273" i="1"/>
  <c r="G273" i="1" s="1"/>
  <c r="M274" i="1"/>
  <c r="O274" i="1" s="1"/>
  <c r="K274" i="1"/>
  <c r="J274" i="1"/>
  <c r="F274" i="1"/>
  <c r="G274" i="1" s="1"/>
  <c r="M275" i="1"/>
  <c r="O275" i="1" s="1"/>
  <c r="K275" i="1"/>
  <c r="J275" i="1"/>
  <c r="F275" i="1"/>
  <c r="G275" i="1" s="1"/>
  <c r="N277" i="1"/>
  <c r="M277" i="1"/>
  <c r="O277" i="1" s="1"/>
  <c r="K277" i="1"/>
  <c r="J277" i="1"/>
  <c r="G277" i="1"/>
  <c r="F277" i="1"/>
  <c r="M278" i="1"/>
  <c r="O278" i="1" s="1"/>
  <c r="K278" i="1"/>
  <c r="J278" i="1"/>
  <c r="F278" i="1"/>
  <c r="G278" i="1" s="1"/>
  <c r="M279" i="1"/>
  <c r="O279" i="1" s="1"/>
  <c r="K279" i="1"/>
  <c r="J279" i="1"/>
  <c r="F279" i="1"/>
  <c r="G279" i="1" s="1"/>
  <c r="M280" i="1"/>
  <c r="N280" i="1" s="1"/>
  <c r="K280" i="1"/>
  <c r="J280" i="1"/>
  <c r="F280" i="1"/>
  <c r="G280" i="1" s="1"/>
  <c r="N281" i="1"/>
  <c r="M281" i="1"/>
  <c r="O281" i="1" s="1"/>
  <c r="K281" i="1"/>
  <c r="J281" i="1"/>
  <c r="G281" i="1"/>
  <c r="F281" i="1"/>
  <c r="M282" i="1"/>
  <c r="O282" i="1" s="1"/>
  <c r="K282" i="1"/>
  <c r="J282" i="1"/>
  <c r="F282" i="1"/>
  <c r="G282" i="1" s="1"/>
  <c r="N283" i="1"/>
  <c r="M283" i="1"/>
  <c r="O283" i="1" s="1"/>
  <c r="K283" i="1"/>
  <c r="J283" i="1"/>
  <c r="G283" i="1"/>
  <c r="F283" i="1"/>
  <c r="M284" i="1"/>
  <c r="O284" i="1" s="1"/>
  <c r="K284" i="1"/>
  <c r="J284" i="1"/>
  <c r="F284" i="1"/>
  <c r="G284" i="1" s="1"/>
  <c r="M286" i="1"/>
  <c r="O286" i="1" s="1"/>
  <c r="K286" i="1"/>
  <c r="J286" i="1"/>
  <c r="F286" i="1"/>
  <c r="G286" i="1" s="1"/>
  <c r="M287" i="1"/>
  <c r="O287" i="1" s="1"/>
  <c r="K287" i="1"/>
  <c r="J287" i="1"/>
  <c r="F287" i="1"/>
  <c r="G287" i="1" s="1"/>
  <c r="M288" i="1"/>
  <c r="O288" i="1" s="1"/>
  <c r="K288" i="1"/>
  <c r="J288" i="1"/>
  <c r="G288" i="1"/>
  <c r="F288" i="1"/>
  <c r="M289" i="1"/>
  <c r="O289" i="1" s="1"/>
  <c r="K289" i="1"/>
  <c r="J289" i="1"/>
  <c r="F289" i="1"/>
  <c r="G289" i="1" s="1"/>
  <c r="M290" i="1"/>
  <c r="O290" i="1" s="1"/>
  <c r="K290" i="1"/>
  <c r="J290" i="1"/>
  <c r="G290" i="1"/>
  <c r="F290" i="1"/>
  <c r="M291" i="1"/>
  <c r="O291" i="1" s="1"/>
  <c r="K291" i="1"/>
  <c r="J291" i="1"/>
  <c r="G291" i="1"/>
  <c r="F291" i="1"/>
  <c r="M292" i="1"/>
  <c r="N292" i="1" s="1"/>
  <c r="K292" i="1"/>
  <c r="J292" i="1"/>
  <c r="F292" i="1"/>
  <c r="G292" i="1" s="1"/>
  <c r="M293" i="1"/>
  <c r="O293" i="1" s="1"/>
  <c r="K293" i="1"/>
  <c r="J293" i="1"/>
  <c r="F293" i="1"/>
  <c r="G293" i="1" s="1"/>
  <c r="M295" i="1"/>
  <c r="O295" i="1" s="1"/>
  <c r="K295" i="1"/>
  <c r="J295" i="1"/>
  <c r="G295" i="1"/>
  <c r="F295" i="1"/>
  <c r="N296" i="1"/>
  <c r="M296" i="1"/>
  <c r="O296" i="1" s="1"/>
  <c r="K296" i="1"/>
  <c r="J296" i="1"/>
  <c r="G296" i="1"/>
  <c r="F296" i="1"/>
  <c r="N297" i="1"/>
  <c r="M297" i="1"/>
  <c r="O297" i="1" s="1"/>
  <c r="K297" i="1"/>
  <c r="J297" i="1"/>
  <c r="G297" i="1"/>
  <c r="F297" i="1"/>
  <c r="M298" i="1"/>
  <c r="N298" i="1" s="1"/>
  <c r="K298" i="1"/>
  <c r="J298" i="1"/>
  <c r="F298" i="1"/>
  <c r="G298" i="1" s="1"/>
  <c r="M299" i="1"/>
  <c r="O299" i="1" s="1"/>
  <c r="K299" i="1"/>
  <c r="J299" i="1"/>
  <c r="F299" i="1"/>
  <c r="G299" i="1" s="1"/>
  <c r="M300" i="1"/>
  <c r="O300" i="1" s="1"/>
  <c r="K300" i="1"/>
  <c r="J300" i="1"/>
  <c r="F300" i="1"/>
  <c r="G300" i="1" s="1"/>
  <c r="M301" i="1"/>
  <c r="O301" i="1" s="1"/>
  <c r="K301" i="1"/>
  <c r="J301" i="1"/>
  <c r="F301" i="1"/>
  <c r="G301" i="1" s="1"/>
  <c r="M302" i="1"/>
  <c r="O302" i="1" s="1"/>
  <c r="K302" i="1"/>
  <c r="J302" i="1"/>
  <c r="F302" i="1"/>
  <c r="G302" i="1" s="1"/>
  <c r="M304" i="1"/>
  <c r="O304" i="1" s="1"/>
  <c r="K304" i="1"/>
  <c r="J304" i="1"/>
  <c r="F304" i="1"/>
  <c r="G304" i="1" s="1"/>
  <c r="M305" i="1"/>
  <c r="O305" i="1" s="1"/>
  <c r="K305" i="1"/>
  <c r="J305" i="1"/>
  <c r="F305" i="1"/>
  <c r="G305" i="1" s="1"/>
  <c r="M306" i="1"/>
  <c r="N306" i="1" s="1"/>
  <c r="K306" i="1"/>
  <c r="J306" i="1"/>
  <c r="F306" i="1"/>
  <c r="G306" i="1" s="1"/>
  <c r="N307" i="1"/>
  <c r="M307" i="1"/>
  <c r="O307" i="1" s="1"/>
  <c r="K307" i="1"/>
  <c r="J307" i="1"/>
  <c r="G307" i="1"/>
  <c r="F307" i="1"/>
  <c r="M308" i="1"/>
  <c r="O308" i="1" s="1"/>
  <c r="K308" i="1"/>
  <c r="J308" i="1"/>
  <c r="F308" i="1"/>
  <c r="G308" i="1" s="1"/>
  <c r="M309" i="1"/>
  <c r="O309" i="1" s="1"/>
  <c r="K309" i="1"/>
  <c r="J309" i="1"/>
  <c r="F309" i="1"/>
  <c r="G309" i="1" s="1"/>
  <c r="M310" i="1"/>
  <c r="O310" i="1" s="1"/>
  <c r="K310" i="1"/>
  <c r="J310" i="1"/>
  <c r="F310" i="1"/>
  <c r="G310" i="1" s="1"/>
  <c r="M311" i="1"/>
  <c r="O311" i="1" s="1"/>
  <c r="K311" i="1"/>
  <c r="J311" i="1"/>
  <c r="G311" i="1"/>
  <c r="F311" i="1"/>
  <c r="M313" i="1"/>
  <c r="O313" i="1" s="1"/>
  <c r="K313" i="1"/>
  <c r="J313" i="1"/>
  <c r="F313" i="1"/>
  <c r="G313" i="1" s="1"/>
  <c r="M314" i="1"/>
  <c r="O314" i="1" s="1"/>
  <c r="K314" i="1"/>
  <c r="J314" i="1"/>
  <c r="F314" i="1"/>
  <c r="G314" i="1" s="1"/>
  <c r="M315" i="1"/>
  <c r="O315" i="1" s="1"/>
  <c r="K315" i="1"/>
  <c r="J315" i="1"/>
  <c r="F315" i="1"/>
  <c r="G315" i="1" s="1"/>
  <c r="M316" i="1"/>
  <c r="O316" i="1" s="1"/>
  <c r="K316" i="1"/>
  <c r="J316" i="1"/>
  <c r="F316" i="1"/>
  <c r="G316" i="1" s="1"/>
  <c r="M317" i="1"/>
  <c r="O317" i="1" s="1"/>
  <c r="K317" i="1"/>
  <c r="J317" i="1"/>
  <c r="G317" i="1"/>
  <c r="F317" i="1"/>
  <c r="M318" i="1"/>
  <c r="O318" i="1" s="1"/>
  <c r="K318" i="1"/>
  <c r="J318" i="1"/>
  <c r="G318" i="1"/>
  <c r="F318" i="1"/>
  <c r="M319" i="1"/>
  <c r="O319" i="1" s="1"/>
  <c r="K319" i="1"/>
  <c r="J319" i="1"/>
  <c r="F319" i="1"/>
  <c r="G319" i="1" s="1"/>
  <c r="M320" i="1"/>
  <c r="O320" i="1" s="1"/>
  <c r="K320" i="1"/>
  <c r="J320" i="1"/>
  <c r="F320" i="1"/>
  <c r="G320" i="1" s="1"/>
  <c r="M322" i="1"/>
  <c r="O322" i="1" s="1"/>
  <c r="K322" i="1"/>
  <c r="J322" i="1"/>
  <c r="F322" i="1"/>
  <c r="G322" i="1" s="1"/>
  <c r="M323" i="1"/>
  <c r="O323" i="1" s="1"/>
  <c r="K323" i="1"/>
  <c r="J323" i="1"/>
  <c r="F323" i="1"/>
  <c r="G323" i="1" s="1"/>
  <c r="M324" i="1"/>
  <c r="O324" i="1" s="1"/>
  <c r="K324" i="1"/>
  <c r="J324" i="1"/>
  <c r="F324" i="1"/>
  <c r="G324" i="1" s="1"/>
  <c r="M325" i="1"/>
  <c r="O325" i="1" s="1"/>
  <c r="K325" i="1"/>
  <c r="J325" i="1"/>
  <c r="G325" i="1"/>
  <c r="F325" i="1"/>
  <c r="M326" i="1"/>
  <c r="O326" i="1" s="1"/>
  <c r="K326" i="1"/>
  <c r="J326" i="1"/>
  <c r="F326" i="1"/>
  <c r="G326" i="1" s="1"/>
  <c r="M327" i="1"/>
  <c r="O327" i="1" s="1"/>
  <c r="K327" i="1"/>
  <c r="J327" i="1"/>
  <c r="F327" i="1"/>
  <c r="G327" i="1" s="1"/>
  <c r="M328" i="1"/>
  <c r="O328" i="1" s="1"/>
  <c r="K328" i="1"/>
  <c r="J328" i="1"/>
  <c r="F328" i="1"/>
  <c r="G328" i="1" s="1"/>
  <c r="M329" i="1"/>
  <c r="O329" i="1" s="1"/>
  <c r="K329" i="1"/>
  <c r="J329" i="1"/>
  <c r="F329" i="1"/>
  <c r="G329" i="1" s="1"/>
  <c r="N331" i="1"/>
  <c r="M331" i="1"/>
  <c r="O331" i="1" s="1"/>
  <c r="K331" i="1"/>
  <c r="J331" i="1"/>
  <c r="G331" i="1"/>
  <c r="F331" i="1"/>
  <c r="N332" i="1"/>
  <c r="M332" i="1"/>
  <c r="O332" i="1" s="1"/>
  <c r="K332" i="1"/>
  <c r="J332" i="1"/>
  <c r="G332" i="1"/>
  <c r="F332" i="1"/>
  <c r="M333" i="1"/>
  <c r="O333" i="1" s="1"/>
  <c r="K333" i="1"/>
  <c r="J333" i="1"/>
  <c r="F333" i="1"/>
  <c r="G333" i="1" s="1"/>
  <c r="M334" i="1"/>
  <c r="O334" i="1" s="1"/>
  <c r="K334" i="1"/>
  <c r="J334" i="1"/>
  <c r="F334" i="1"/>
  <c r="G334" i="1" s="1"/>
  <c r="M335" i="1"/>
  <c r="O335" i="1" s="1"/>
  <c r="K335" i="1"/>
  <c r="J335" i="1"/>
  <c r="F335" i="1"/>
  <c r="G335" i="1" s="1"/>
  <c r="M336" i="1"/>
  <c r="O336" i="1" s="1"/>
  <c r="K336" i="1"/>
  <c r="J336" i="1"/>
  <c r="F336" i="1"/>
  <c r="G336" i="1" s="1"/>
  <c r="N337" i="1"/>
  <c r="M337" i="1"/>
  <c r="O337" i="1" s="1"/>
  <c r="K337" i="1"/>
  <c r="J337" i="1"/>
  <c r="G337" i="1"/>
  <c r="F337" i="1"/>
  <c r="M338" i="1"/>
  <c r="O338" i="1" s="1"/>
  <c r="K338" i="1"/>
  <c r="J338" i="1"/>
  <c r="F338" i="1"/>
  <c r="G338" i="1" s="1"/>
  <c r="M340" i="1"/>
  <c r="O340" i="1" s="1"/>
  <c r="K340" i="1"/>
  <c r="J340" i="1"/>
  <c r="F340" i="1"/>
  <c r="G340" i="1" s="1"/>
  <c r="N341" i="1"/>
  <c r="M341" i="1"/>
  <c r="O341" i="1" s="1"/>
  <c r="K341" i="1"/>
  <c r="J341" i="1"/>
  <c r="G341" i="1"/>
  <c r="F341" i="1"/>
  <c r="M342" i="1"/>
  <c r="O342" i="1" s="1"/>
  <c r="K342" i="1"/>
  <c r="J342" i="1"/>
  <c r="F342" i="1"/>
  <c r="G342" i="1" s="1"/>
  <c r="M343" i="1"/>
  <c r="O343" i="1" s="1"/>
  <c r="K343" i="1"/>
  <c r="J343" i="1"/>
  <c r="F343" i="1"/>
  <c r="G343" i="1" s="1"/>
  <c r="M344" i="1"/>
  <c r="O344" i="1" s="1"/>
  <c r="K344" i="1"/>
  <c r="J344" i="1"/>
  <c r="F344" i="1"/>
  <c r="G344" i="1" s="1"/>
  <c r="N345" i="1"/>
  <c r="M345" i="1"/>
  <c r="O345" i="1" s="1"/>
  <c r="K345" i="1"/>
  <c r="J345" i="1"/>
  <c r="G345" i="1"/>
  <c r="F345" i="1"/>
  <c r="M346" i="1"/>
  <c r="O346" i="1" s="1"/>
  <c r="K346" i="1"/>
  <c r="J346" i="1"/>
  <c r="F346" i="1"/>
  <c r="G346" i="1" s="1"/>
  <c r="M347" i="1"/>
  <c r="O347" i="1" s="1"/>
  <c r="K347" i="1"/>
  <c r="J347" i="1"/>
  <c r="F347" i="1"/>
  <c r="G347" i="1" s="1"/>
  <c r="M349" i="1"/>
  <c r="O349" i="1" s="1"/>
  <c r="K349" i="1"/>
  <c r="J349" i="1"/>
  <c r="F349" i="1"/>
  <c r="G349" i="1" s="1"/>
  <c r="N350" i="1"/>
  <c r="M350" i="1"/>
  <c r="O350" i="1" s="1"/>
  <c r="K350" i="1"/>
  <c r="J350" i="1"/>
  <c r="G350" i="1"/>
  <c r="F350" i="1"/>
  <c r="M351" i="1"/>
  <c r="O351" i="1" s="1"/>
  <c r="K351" i="1"/>
  <c r="J351" i="1"/>
  <c r="F351" i="1"/>
  <c r="G351" i="1" s="1"/>
  <c r="N352" i="1"/>
  <c r="M352" i="1"/>
  <c r="O352" i="1" s="1"/>
  <c r="K352" i="1"/>
  <c r="J352" i="1"/>
  <c r="G352" i="1"/>
  <c r="F352" i="1"/>
  <c r="N353" i="1"/>
  <c r="M353" i="1"/>
  <c r="O353" i="1" s="1"/>
  <c r="K353" i="1"/>
  <c r="J353" i="1"/>
  <c r="G353" i="1"/>
  <c r="F353" i="1"/>
  <c r="M354" i="1"/>
  <c r="O354" i="1" s="1"/>
  <c r="K354" i="1"/>
  <c r="J354" i="1"/>
  <c r="F354" i="1"/>
  <c r="G354" i="1" s="1"/>
  <c r="M355" i="1"/>
  <c r="O355" i="1" s="1"/>
  <c r="K355" i="1"/>
  <c r="J355" i="1"/>
  <c r="F355" i="1"/>
  <c r="G355" i="1" s="1"/>
  <c r="M356" i="1"/>
  <c r="O356" i="1" s="1"/>
  <c r="K356" i="1"/>
  <c r="J356" i="1"/>
  <c r="F356" i="1"/>
  <c r="G356" i="1" s="1"/>
  <c r="M358" i="1"/>
  <c r="O358" i="1" s="1"/>
  <c r="K358" i="1"/>
  <c r="J358" i="1"/>
  <c r="G358" i="1"/>
  <c r="F358" i="1"/>
  <c r="M359" i="1"/>
  <c r="O359" i="1" s="1"/>
  <c r="K359" i="1"/>
  <c r="J359" i="1"/>
  <c r="G359" i="1"/>
  <c r="F359" i="1"/>
  <c r="M360" i="1"/>
  <c r="O360" i="1" s="1"/>
  <c r="K360" i="1"/>
  <c r="J360" i="1"/>
  <c r="F360" i="1"/>
  <c r="G360" i="1" s="1"/>
  <c r="N361" i="1"/>
  <c r="M361" i="1"/>
  <c r="O361" i="1" s="1"/>
  <c r="K361" i="1"/>
  <c r="J361" i="1"/>
  <c r="G361" i="1"/>
  <c r="F361" i="1"/>
  <c r="M362" i="1"/>
  <c r="O362" i="1" s="1"/>
  <c r="K362" i="1"/>
  <c r="J362" i="1"/>
  <c r="F362" i="1"/>
  <c r="G362" i="1" s="1"/>
  <c r="M363" i="1"/>
  <c r="O363" i="1" s="1"/>
  <c r="K363" i="1"/>
  <c r="J363" i="1"/>
  <c r="F363" i="1"/>
  <c r="G363" i="1" s="1"/>
  <c r="N364" i="1"/>
  <c r="M364" i="1"/>
  <c r="O364" i="1" s="1"/>
  <c r="K364" i="1"/>
  <c r="J364" i="1"/>
  <c r="G364" i="1"/>
  <c r="F364" i="1"/>
  <c r="K659" i="1" l="1"/>
  <c r="K623" i="1"/>
  <c r="K605" i="1"/>
  <c r="K569" i="1"/>
  <c r="K443" i="1"/>
  <c r="K425" i="1"/>
  <c r="K407" i="1"/>
  <c r="K389" i="1"/>
  <c r="M515" i="1"/>
  <c r="M587" i="1"/>
  <c r="J195" i="1"/>
  <c r="K713" i="1"/>
  <c r="F704" i="1"/>
  <c r="K695" i="1"/>
  <c r="K677" i="1"/>
  <c r="M677" i="1"/>
  <c r="K641" i="1"/>
  <c r="M641" i="1"/>
  <c r="K632" i="1"/>
  <c r="M623" i="1"/>
  <c r="M605" i="1"/>
  <c r="K587" i="1"/>
  <c r="K560" i="1"/>
  <c r="K551" i="1"/>
  <c r="K533" i="1"/>
  <c r="K515" i="1"/>
  <c r="K497" i="1"/>
  <c r="M497" i="1"/>
  <c r="K479" i="1"/>
  <c r="K461" i="1"/>
  <c r="K416" i="1"/>
  <c r="F398" i="1"/>
  <c r="M389" i="1"/>
  <c r="G416" i="1"/>
  <c r="K339" i="1"/>
  <c r="K330" i="1"/>
  <c r="K321" i="1"/>
  <c r="K303" i="1"/>
  <c r="K285" i="1"/>
  <c r="K258" i="1"/>
  <c r="K240" i="1"/>
  <c r="K204" i="1"/>
  <c r="K357" i="1"/>
  <c r="K348" i="1"/>
  <c r="F339" i="1"/>
  <c r="K312" i="1"/>
  <c r="F303" i="1"/>
  <c r="K294" i="1"/>
  <c r="F285" i="1"/>
  <c r="K276" i="1"/>
  <c r="K267" i="1"/>
  <c r="K249" i="1"/>
  <c r="F240" i="1"/>
  <c r="K213" i="1"/>
  <c r="F204" i="1"/>
  <c r="K195" i="1"/>
  <c r="K186" i="1"/>
  <c r="K177" i="1"/>
  <c r="K168" i="1"/>
  <c r="K159" i="1"/>
  <c r="K150" i="1"/>
  <c r="K141" i="1"/>
  <c r="K132" i="1"/>
  <c r="K123" i="1"/>
  <c r="K114" i="1"/>
  <c r="K105" i="1"/>
  <c r="K96" i="1"/>
  <c r="K87" i="1"/>
  <c r="K78" i="1"/>
  <c r="K69" i="1"/>
  <c r="K60" i="1"/>
  <c r="K51" i="1"/>
  <c r="K42" i="1"/>
  <c r="K33" i="1"/>
  <c r="J222" i="1"/>
  <c r="O222" i="1"/>
  <c r="J240" i="1"/>
  <c r="O240" i="1"/>
  <c r="J258" i="1"/>
  <c r="O258" i="1"/>
  <c r="J276" i="1"/>
  <c r="O276" i="1"/>
  <c r="J294" i="1"/>
  <c r="O294" i="1"/>
  <c r="J312" i="1"/>
  <c r="O312" i="1"/>
  <c r="J330" i="1"/>
  <c r="J348" i="1"/>
  <c r="O348" i="1"/>
  <c r="J366" i="1"/>
  <c r="O366" i="1"/>
  <c r="N716" i="1"/>
  <c r="N715" i="1"/>
  <c r="N711" i="1"/>
  <c r="G705" i="1"/>
  <c r="F713" i="1"/>
  <c r="N702" i="1"/>
  <c r="N699" i="1"/>
  <c r="O696" i="1"/>
  <c r="M704" i="1"/>
  <c r="N693" i="1"/>
  <c r="N679" i="1"/>
  <c r="G678" i="1"/>
  <c r="K686" i="1"/>
  <c r="O675" i="1"/>
  <c r="N675" i="1"/>
  <c r="O671" i="1"/>
  <c r="N671" i="1"/>
  <c r="O667" i="1"/>
  <c r="N667" i="1"/>
  <c r="O663" i="1"/>
  <c r="N663" i="1"/>
  <c r="F659" i="1"/>
  <c r="O646" i="1"/>
  <c r="N646" i="1"/>
  <c r="O638" i="1"/>
  <c r="N638" i="1"/>
  <c r="O629" i="1"/>
  <c r="N629" i="1"/>
  <c r="O625" i="1"/>
  <c r="N625" i="1"/>
  <c r="O617" i="1"/>
  <c r="N617" i="1"/>
  <c r="G615" i="1"/>
  <c r="F623" i="1"/>
  <c r="O610" i="1"/>
  <c r="N610" i="1"/>
  <c r="G597" i="1"/>
  <c r="F605" i="1"/>
  <c r="O595" i="1"/>
  <c r="N595" i="1"/>
  <c r="O589" i="1"/>
  <c r="N589" i="1"/>
  <c r="O563" i="1"/>
  <c r="N563" i="1"/>
  <c r="O544" i="1"/>
  <c r="N544" i="1"/>
  <c r="O536" i="1"/>
  <c r="N536" i="1"/>
  <c r="O490" i="1"/>
  <c r="N490" i="1"/>
  <c r="O486" i="1"/>
  <c r="N486" i="1"/>
  <c r="O482" i="1"/>
  <c r="N482" i="1"/>
  <c r="O472" i="1"/>
  <c r="N472" i="1"/>
  <c r="O464" i="1"/>
  <c r="N464" i="1"/>
  <c r="K434" i="1"/>
  <c r="G417" i="1"/>
  <c r="F425" i="1"/>
  <c r="O408" i="1"/>
  <c r="M416" i="1"/>
  <c r="O404" i="1"/>
  <c r="N404" i="1"/>
  <c r="F407" i="1"/>
  <c r="O394" i="1"/>
  <c r="N394" i="1"/>
  <c r="O392" i="1"/>
  <c r="N392" i="1"/>
  <c r="K398" i="1"/>
  <c r="O383" i="1"/>
  <c r="N383" i="1"/>
  <c r="G381" i="1"/>
  <c r="F389" i="1"/>
  <c r="O378" i="1"/>
  <c r="N378" i="1"/>
  <c r="J389" i="1"/>
  <c r="O389" i="1"/>
  <c r="J407" i="1"/>
  <c r="O407" i="1"/>
  <c r="M407" i="1"/>
  <c r="J425" i="1"/>
  <c r="O425" i="1"/>
  <c r="M425" i="1"/>
  <c r="J443" i="1"/>
  <c r="O443" i="1"/>
  <c r="M443" i="1"/>
  <c r="J461" i="1"/>
  <c r="M461" i="1"/>
  <c r="O461" i="1" s="1"/>
  <c r="J479" i="1"/>
  <c r="O479" i="1"/>
  <c r="M479" i="1"/>
  <c r="J497" i="1"/>
  <c r="O497" i="1"/>
  <c r="J515" i="1"/>
  <c r="O515" i="1"/>
  <c r="J533" i="1"/>
  <c r="O533" i="1"/>
  <c r="M533" i="1"/>
  <c r="J551" i="1"/>
  <c r="M551" i="1"/>
  <c r="O551" i="1" s="1"/>
  <c r="J569" i="1"/>
  <c r="O569" i="1"/>
  <c r="M569" i="1"/>
  <c r="J587" i="1"/>
  <c r="O587" i="1"/>
  <c r="J605" i="1"/>
  <c r="O605" i="1"/>
  <c r="J623" i="1"/>
  <c r="O623" i="1"/>
  <c r="J641" i="1"/>
  <c r="O641" i="1"/>
  <c r="J659" i="1"/>
  <c r="M659" i="1"/>
  <c r="O659" i="1" s="1"/>
  <c r="J677" i="1"/>
  <c r="O677" i="1"/>
  <c r="J695" i="1"/>
  <c r="O695" i="1"/>
  <c r="M695" i="1"/>
  <c r="J713" i="1"/>
  <c r="O713" i="1"/>
  <c r="M713" i="1"/>
  <c r="J24" i="1"/>
  <c r="O33" i="1"/>
  <c r="J60" i="1"/>
  <c r="O69" i="1"/>
  <c r="J96" i="1"/>
  <c r="J132" i="1"/>
  <c r="J168" i="1"/>
  <c r="O177" i="1"/>
  <c r="J204" i="1"/>
  <c r="K231" i="1"/>
  <c r="K222" i="1"/>
  <c r="F168" i="1"/>
  <c r="J213" i="1"/>
  <c r="O231" i="1"/>
  <c r="J231" i="1"/>
  <c r="O249" i="1"/>
  <c r="J249" i="1"/>
  <c r="O267" i="1"/>
  <c r="J267" i="1"/>
  <c r="O285" i="1"/>
  <c r="J285" i="1"/>
  <c r="J303" i="1"/>
  <c r="J321" i="1"/>
  <c r="O339" i="1"/>
  <c r="J339" i="1"/>
  <c r="O357" i="1"/>
  <c r="J357" i="1"/>
  <c r="O714" i="1"/>
  <c r="K704" i="1"/>
  <c r="G687" i="1"/>
  <c r="F695" i="1"/>
  <c r="O678" i="1"/>
  <c r="M686" i="1"/>
  <c r="N678" i="1"/>
  <c r="O674" i="1"/>
  <c r="N674" i="1"/>
  <c r="O672" i="1"/>
  <c r="N672" i="1"/>
  <c r="F677" i="1"/>
  <c r="O669" i="1"/>
  <c r="N669" i="1"/>
  <c r="O665" i="1"/>
  <c r="N665" i="1"/>
  <c r="K668" i="1"/>
  <c r="O658" i="1"/>
  <c r="N658" i="1"/>
  <c r="K650" i="1"/>
  <c r="O639" i="1"/>
  <c r="N639" i="1"/>
  <c r="F641" i="1"/>
  <c r="O633" i="1"/>
  <c r="N633" i="1"/>
  <c r="O628" i="1"/>
  <c r="N628" i="1"/>
  <c r="O621" i="1"/>
  <c r="N621" i="1"/>
  <c r="O616" i="1"/>
  <c r="N616" i="1"/>
  <c r="K614" i="1"/>
  <c r="O599" i="1"/>
  <c r="N599" i="1"/>
  <c r="O591" i="1"/>
  <c r="N591" i="1"/>
  <c r="K596" i="1"/>
  <c r="G579" i="1"/>
  <c r="F587" i="1"/>
  <c r="K578" i="1"/>
  <c r="O568" i="1"/>
  <c r="N568" i="1"/>
  <c r="O549" i="1"/>
  <c r="N549" i="1"/>
  <c r="G543" i="1"/>
  <c r="F551" i="1"/>
  <c r="O538" i="1"/>
  <c r="N538" i="1"/>
  <c r="K542" i="1"/>
  <c r="G525" i="1"/>
  <c r="F533" i="1"/>
  <c r="K524" i="1"/>
  <c r="G507" i="1"/>
  <c r="F515" i="1"/>
  <c r="K506" i="1"/>
  <c r="O491" i="1"/>
  <c r="N491" i="1"/>
  <c r="F497" i="1"/>
  <c r="O489" i="1"/>
  <c r="N489" i="1"/>
  <c r="O484" i="1"/>
  <c r="N484" i="1"/>
  <c r="K488" i="1"/>
  <c r="O476" i="1"/>
  <c r="N476" i="1"/>
  <c r="G471" i="1"/>
  <c r="F479" i="1"/>
  <c r="O465" i="1"/>
  <c r="N465" i="1"/>
  <c r="K470" i="1"/>
  <c r="K452" i="1"/>
  <c r="O442" i="1"/>
  <c r="N442" i="1"/>
  <c r="O403" i="1"/>
  <c r="N403" i="1"/>
  <c r="O393" i="1"/>
  <c r="N393" i="1"/>
  <c r="O390" i="1"/>
  <c r="M398" i="1"/>
  <c r="O384" i="1"/>
  <c r="N384" i="1"/>
  <c r="O382" i="1"/>
  <c r="N382" i="1"/>
  <c r="F434" i="1"/>
  <c r="F452" i="1"/>
  <c r="F470" i="1"/>
  <c r="F488" i="1"/>
  <c r="F506" i="1"/>
  <c r="F524" i="1"/>
  <c r="F542" i="1"/>
  <c r="F578" i="1"/>
  <c r="F596" i="1"/>
  <c r="F614" i="1"/>
  <c r="F632" i="1"/>
  <c r="F650" i="1"/>
  <c r="F668" i="1"/>
  <c r="G686" i="1"/>
  <c r="J42" i="1"/>
  <c r="O51" i="1"/>
  <c r="J78" i="1"/>
  <c r="O87" i="1"/>
  <c r="J114" i="1"/>
  <c r="O123" i="1"/>
  <c r="J150" i="1"/>
  <c r="O159" i="1"/>
  <c r="J186" i="1"/>
  <c r="J380" i="1"/>
  <c r="O398" i="1"/>
  <c r="J398" i="1"/>
  <c r="O416" i="1"/>
  <c r="J416" i="1"/>
  <c r="O434" i="1"/>
  <c r="J434" i="1"/>
  <c r="M434" i="1"/>
  <c r="F443" i="1"/>
  <c r="J452" i="1"/>
  <c r="M452" i="1"/>
  <c r="O452" i="1" s="1"/>
  <c r="F461" i="1"/>
  <c r="O470" i="1"/>
  <c r="J470" i="1"/>
  <c r="M470" i="1"/>
  <c r="O488" i="1"/>
  <c r="J488" i="1"/>
  <c r="M488" i="1"/>
  <c r="O506" i="1"/>
  <c r="J506" i="1"/>
  <c r="M506" i="1"/>
  <c r="O524" i="1"/>
  <c r="J524" i="1"/>
  <c r="M524" i="1"/>
  <c r="J542" i="1"/>
  <c r="M542" i="1"/>
  <c r="O542" i="1" s="1"/>
  <c r="J560" i="1"/>
  <c r="M560" i="1"/>
  <c r="O560" i="1" s="1"/>
  <c r="F569" i="1"/>
  <c r="G569" i="1" s="1"/>
  <c r="O578" i="1"/>
  <c r="J578" i="1"/>
  <c r="M578" i="1"/>
  <c r="O596" i="1"/>
  <c r="J596" i="1"/>
  <c r="M596" i="1"/>
  <c r="O614" i="1"/>
  <c r="J614" i="1"/>
  <c r="M614" i="1"/>
  <c r="O632" i="1"/>
  <c r="J632" i="1"/>
  <c r="M632" i="1"/>
  <c r="O650" i="1"/>
  <c r="J650" i="1"/>
  <c r="M650" i="1"/>
  <c r="O668" i="1"/>
  <c r="J668" i="1"/>
  <c r="M668" i="1"/>
  <c r="G677" i="1"/>
  <c r="O686" i="1"/>
  <c r="J686" i="1"/>
  <c r="O704" i="1"/>
  <c r="J704" i="1"/>
  <c r="O722" i="1"/>
  <c r="J722" i="1"/>
  <c r="N714" i="1"/>
  <c r="N712" i="1"/>
  <c r="N706" i="1"/>
  <c r="N703" i="1"/>
  <c r="N701" i="1"/>
  <c r="N700" i="1"/>
  <c r="N698" i="1"/>
  <c r="N696" i="1"/>
  <c r="N691" i="1"/>
  <c r="N689" i="1"/>
  <c r="N656" i="1"/>
  <c r="N654" i="1"/>
  <c r="N651" i="1"/>
  <c r="N649" i="1"/>
  <c r="N631" i="1"/>
  <c r="N630" i="1"/>
  <c r="N626" i="1"/>
  <c r="N613" i="1"/>
  <c r="N612" i="1"/>
  <c r="N593" i="1"/>
  <c r="N592" i="1"/>
  <c r="N577" i="1"/>
  <c r="N574" i="1"/>
  <c r="N573" i="1"/>
  <c r="N571" i="1"/>
  <c r="N562" i="1"/>
  <c r="N552" i="1"/>
  <c r="N530" i="1"/>
  <c r="N526" i="1"/>
  <c r="N520" i="1"/>
  <c r="N518" i="1"/>
  <c r="N457" i="1"/>
  <c r="N449" i="1"/>
  <c r="N436" i="1"/>
  <c r="N430" i="1"/>
  <c r="N420" i="1"/>
  <c r="N419" i="1"/>
  <c r="N414" i="1"/>
  <c r="N411" i="1"/>
  <c r="N408" i="1"/>
  <c r="N405" i="1"/>
  <c r="N401" i="1"/>
  <c r="N400" i="1"/>
  <c r="N399" i="1"/>
  <c r="N396" i="1"/>
  <c r="N391" i="1"/>
  <c r="N388" i="1"/>
  <c r="N387" i="1"/>
  <c r="N385" i="1"/>
  <c r="N377" i="1"/>
  <c r="N373" i="1"/>
  <c r="N374" i="1"/>
  <c r="N375" i="1"/>
  <c r="N376" i="1"/>
  <c r="N379" i="1"/>
  <c r="N381" i="1"/>
  <c r="N386" i="1"/>
  <c r="N390" i="1"/>
  <c r="N395" i="1"/>
  <c r="N397" i="1"/>
  <c r="N402" i="1"/>
  <c r="N406" i="1"/>
  <c r="N409" i="1"/>
  <c r="N410" i="1"/>
  <c r="N412" i="1"/>
  <c r="N413" i="1"/>
  <c r="N415" i="1"/>
  <c r="N417" i="1"/>
  <c r="N418" i="1"/>
  <c r="O421" i="1"/>
  <c r="O422" i="1"/>
  <c r="O423" i="1"/>
  <c r="N424" i="1"/>
  <c r="N426" i="1"/>
  <c r="N427" i="1"/>
  <c r="O428" i="1"/>
  <c r="N429" i="1"/>
  <c r="N431" i="1"/>
  <c r="N432" i="1"/>
  <c r="N433" i="1"/>
  <c r="O435" i="1"/>
  <c r="N437" i="1"/>
  <c r="N438" i="1"/>
  <c r="N439" i="1"/>
  <c r="N440" i="1"/>
  <c r="N441" i="1"/>
  <c r="N444" i="1"/>
  <c r="N445" i="1"/>
  <c r="N446" i="1"/>
  <c r="N447" i="1"/>
  <c r="N448" i="1"/>
  <c r="N450" i="1"/>
  <c r="N451" i="1"/>
  <c r="N453" i="1"/>
  <c r="N454" i="1"/>
  <c r="N455" i="1"/>
  <c r="O456" i="1"/>
  <c r="N458" i="1"/>
  <c r="N459" i="1"/>
  <c r="N460" i="1"/>
  <c r="N462" i="1"/>
  <c r="N463" i="1"/>
  <c r="N466" i="1"/>
  <c r="N467" i="1"/>
  <c r="N468" i="1"/>
  <c r="N469" i="1"/>
  <c r="N471" i="1"/>
  <c r="N473" i="1"/>
  <c r="N474" i="1"/>
  <c r="N475" i="1"/>
  <c r="N477" i="1"/>
  <c r="N478" i="1"/>
  <c r="N480" i="1"/>
  <c r="N481" i="1"/>
  <c r="N483" i="1"/>
  <c r="N485" i="1"/>
  <c r="N487" i="1"/>
  <c r="N492" i="1"/>
  <c r="N493" i="1"/>
  <c r="N494" i="1"/>
  <c r="N495" i="1"/>
  <c r="N496" i="1"/>
  <c r="N498" i="1"/>
  <c r="N499" i="1"/>
  <c r="N500" i="1"/>
  <c r="N501" i="1"/>
  <c r="N502" i="1"/>
  <c r="N503" i="1"/>
  <c r="N504" i="1"/>
  <c r="N505" i="1"/>
  <c r="N507" i="1"/>
  <c r="N508" i="1"/>
  <c r="N509" i="1"/>
  <c r="N510" i="1"/>
  <c r="N511" i="1"/>
  <c r="N512" i="1"/>
  <c r="N513" i="1"/>
  <c r="N514" i="1"/>
  <c r="N516" i="1"/>
  <c r="N517" i="1"/>
  <c r="N519" i="1"/>
  <c r="N521" i="1"/>
  <c r="N522" i="1"/>
  <c r="N523" i="1"/>
  <c r="N525" i="1"/>
  <c r="N527" i="1"/>
  <c r="N528" i="1"/>
  <c r="N529" i="1"/>
  <c r="N531" i="1"/>
  <c r="N532" i="1"/>
  <c r="N534" i="1"/>
  <c r="N535" i="1"/>
  <c r="N537" i="1"/>
  <c r="N539" i="1"/>
  <c r="N540" i="1"/>
  <c r="O541" i="1"/>
  <c r="N543" i="1"/>
  <c r="N545" i="1"/>
  <c r="N546" i="1"/>
  <c r="N547" i="1"/>
  <c r="N548" i="1"/>
  <c r="N550" i="1"/>
  <c r="N553" i="1"/>
  <c r="N554" i="1"/>
  <c r="N555" i="1"/>
  <c r="N556" i="1"/>
  <c r="N557" i="1"/>
  <c r="N558" i="1"/>
  <c r="N559" i="1"/>
  <c r="N561" i="1"/>
  <c r="N564" i="1"/>
  <c r="N565" i="1"/>
  <c r="N566" i="1"/>
  <c r="N567" i="1"/>
  <c r="N570" i="1"/>
  <c r="N572" i="1"/>
  <c r="N575" i="1"/>
  <c r="O576" i="1"/>
  <c r="N579" i="1"/>
  <c r="N580" i="1"/>
  <c r="N581" i="1"/>
  <c r="N582" i="1"/>
  <c r="N583" i="1"/>
  <c r="N584" i="1"/>
  <c r="N585" i="1"/>
  <c r="N586" i="1"/>
  <c r="N588" i="1"/>
  <c r="N590" i="1"/>
  <c r="N594" i="1"/>
  <c r="N597" i="1"/>
  <c r="N598" i="1"/>
  <c r="O600" i="1"/>
  <c r="N601" i="1"/>
  <c r="N602" i="1"/>
  <c r="N603" i="1"/>
  <c r="N604" i="1"/>
  <c r="N606" i="1"/>
  <c r="N607" i="1"/>
  <c r="N608" i="1"/>
  <c r="N609" i="1"/>
  <c r="O611" i="1"/>
  <c r="N615" i="1"/>
  <c r="N618" i="1"/>
  <c r="N619" i="1"/>
  <c r="O620" i="1"/>
  <c r="N622" i="1"/>
  <c r="N624" i="1"/>
  <c r="N627" i="1"/>
  <c r="N634" i="1"/>
  <c r="N635" i="1"/>
  <c r="N636" i="1"/>
  <c r="N637" i="1"/>
  <c r="N640" i="1"/>
  <c r="N642" i="1"/>
  <c r="N643" i="1"/>
  <c r="N644" i="1"/>
  <c r="N645" i="1"/>
  <c r="N647" i="1"/>
  <c r="N648" i="1"/>
  <c r="N652" i="1"/>
  <c r="N653" i="1"/>
  <c r="N655" i="1"/>
  <c r="N657" i="1"/>
  <c r="N660" i="1"/>
  <c r="O661" i="1"/>
  <c r="N662" i="1"/>
  <c r="N664" i="1"/>
  <c r="N666" i="1"/>
  <c r="N670" i="1"/>
  <c r="N673" i="1"/>
  <c r="N676" i="1"/>
  <c r="N680" i="1"/>
  <c r="N681" i="1"/>
  <c r="N682" i="1"/>
  <c r="N683" i="1"/>
  <c r="N684" i="1"/>
  <c r="N685" i="1"/>
  <c r="N687" i="1"/>
  <c r="N688" i="1"/>
  <c r="N690" i="1"/>
  <c r="N692" i="1"/>
  <c r="N694" i="1"/>
  <c r="N697" i="1"/>
  <c r="N705" i="1"/>
  <c r="N707" i="1"/>
  <c r="N708" i="1"/>
  <c r="N709" i="1"/>
  <c r="N710" i="1"/>
  <c r="O717" i="1"/>
  <c r="N718" i="1"/>
  <c r="N719" i="1"/>
  <c r="N720" i="1"/>
  <c r="F33" i="1"/>
  <c r="M42" i="1"/>
  <c r="F51" i="1"/>
  <c r="M60" i="1"/>
  <c r="O60" i="1" s="1"/>
  <c r="F69" i="1"/>
  <c r="M78" i="1"/>
  <c r="F87" i="1"/>
  <c r="M96" i="1"/>
  <c r="O96" i="1" s="1"/>
  <c r="F105" i="1"/>
  <c r="M114" i="1"/>
  <c r="F123" i="1"/>
  <c r="M132" i="1"/>
  <c r="F141" i="1"/>
  <c r="M150" i="1"/>
  <c r="F159" i="1"/>
  <c r="M168" i="1"/>
  <c r="O168" i="1" s="1"/>
  <c r="F177" i="1"/>
  <c r="M186" i="1"/>
  <c r="O186" i="1" s="1"/>
  <c r="F195" i="1"/>
  <c r="M204" i="1"/>
  <c r="O204" i="1" s="1"/>
  <c r="F213" i="1"/>
  <c r="G213" i="1" s="1"/>
  <c r="M222" i="1"/>
  <c r="F231" i="1"/>
  <c r="M240" i="1"/>
  <c r="F249" i="1"/>
  <c r="M258" i="1"/>
  <c r="F267" i="1"/>
  <c r="M276" i="1"/>
  <c r="M294" i="1"/>
  <c r="M312" i="1"/>
  <c r="F321" i="1"/>
  <c r="G321" i="1" s="1"/>
  <c r="M330" i="1"/>
  <c r="O330" i="1" s="1"/>
  <c r="M348" i="1"/>
  <c r="F357" i="1"/>
  <c r="M33" i="1"/>
  <c r="F42" i="1"/>
  <c r="M51" i="1"/>
  <c r="F60" i="1"/>
  <c r="G60" i="1" s="1"/>
  <c r="M69" i="1"/>
  <c r="F78" i="1"/>
  <c r="M87" i="1"/>
  <c r="F96" i="1"/>
  <c r="M105" i="1"/>
  <c r="O105" i="1" s="1"/>
  <c r="F114" i="1"/>
  <c r="M123" i="1"/>
  <c r="F132" i="1"/>
  <c r="M141" i="1"/>
  <c r="O141" i="1" s="1"/>
  <c r="F150" i="1"/>
  <c r="M159" i="1"/>
  <c r="M177" i="1"/>
  <c r="F186" i="1"/>
  <c r="M195" i="1"/>
  <c r="O195" i="1" s="1"/>
  <c r="M213" i="1"/>
  <c r="O213" i="1" s="1"/>
  <c r="F222" i="1"/>
  <c r="M231" i="1"/>
  <c r="M249" i="1"/>
  <c r="F258" i="1"/>
  <c r="M267" i="1"/>
  <c r="F276" i="1"/>
  <c r="M285" i="1"/>
  <c r="F294" i="1"/>
  <c r="M303" i="1"/>
  <c r="O303" i="1" s="1"/>
  <c r="F312" i="1"/>
  <c r="M321" i="1"/>
  <c r="O321" i="1" s="1"/>
  <c r="F330" i="1"/>
  <c r="G330" i="1" s="1"/>
  <c r="M339" i="1"/>
  <c r="F348" i="1"/>
  <c r="M357" i="1"/>
  <c r="N359" i="1"/>
  <c r="N358" i="1"/>
  <c r="N325" i="1"/>
  <c r="N318" i="1"/>
  <c r="N317" i="1"/>
  <c r="N316" i="1"/>
  <c r="N311" i="1"/>
  <c r="N295" i="1"/>
  <c r="N291" i="1"/>
  <c r="N290" i="1"/>
  <c r="N288" i="1"/>
  <c r="N255" i="1"/>
  <c r="N253" i="1"/>
  <c r="N252" i="1"/>
  <c r="N247" i="1"/>
  <c r="N219" i="1"/>
  <c r="N218" i="1"/>
  <c r="N212" i="1"/>
  <c r="N207" i="1"/>
  <c r="N165" i="1"/>
  <c r="N160" i="1"/>
  <c r="N121" i="1"/>
  <c r="N17" i="1"/>
  <c r="N18" i="1"/>
  <c r="N19" i="1"/>
  <c r="N20" i="1"/>
  <c r="N21" i="1"/>
  <c r="N22" i="1"/>
  <c r="N23" i="1"/>
  <c r="N25" i="1"/>
  <c r="N26" i="1"/>
  <c r="N27" i="1"/>
  <c r="N28" i="1"/>
  <c r="N29" i="1"/>
  <c r="N30" i="1"/>
  <c r="N31" i="1"/>
  <c r="N32" i="1"/>
  <c r="N34" i="1"/>
  <c r="N36" i="1"/>
  <c r="N37" i="1"/>
  <c r="N38" i="1"/>
  <c r="N39" i="1"/>
  <c r="N40" i="1"/>
  <c r="N41" i="1"/>
  <c r="N43" i="1"/>
  <c r="N44" i="1"/>
  <c r="O45" i="1"/>
  <c r="N46" i="1"/>
  <c r="N47" i="1"/>
  <c r="N48" i="1"/>
  <c r="N49" i="1"/>
  <c r="N50" i="1"/>
  <c r="N52" i="1"/>
  <c r="O53" i="1"/>
  <c r="N54" i="1"/>
  <c r="N55" i="1"/>
  <c r="N56" i="1"/>
  <c r="N57" i="1"/>
  <c r="O58" i="1"/>
  <c r="N59" i="1"/>
  <c r="O61" i="1"/>
  <c r="N62" i="1"/>
  <c r="N63" i="1"/>
  <c r="N64" i="1"/>
  <c r="N65" i="1"/>
  <c r="N66" i="1"/>
  <c r="N67" i="1"/>
  <c r="N68" i="1"/>
  <c r="N70" i="1"/>
  <c r="N71" i="1"/>
  <c r="N72" i="1"/>
  <c r="N73" i="1"/>
  <c r="N74" i="1"/>
  <c r="N75" i="1"/>
  <c r="N76" i="1"/>
  <c r="N77" i="1"/>
  <c r="N79" i="1"/>
  <c r="N80" i="1"/>
  <c r="N81" i="1"/>
  <c r="N82" i="1"/>
  <c r="N83" i="1"/>
  <c r="N84" i="1"/>
  <c r="N85" i="1"/>
  <c r="N86" i="1"/>
  <c r="N88" i="1"/>
  <c r="N89" i="1"/>
  <c r="O90" i="1"/>
  <c r="O92" i="1"/>
  <c r="N93" i="1"/>
  <c r="O94" i="1"/>
  <c r="O97" i="1"/>
  <c r="N99" i="1"/>
  <c r="O100" i="1"/>
  <c r="N101" i="1"/>
  <c r="N102" i="1"/>
  <c r="N104" i="1"/>
  <c r="N106" i="1"/>
  <c r="N107" i="1"/>
  <c r="N108" i="1"/>
  <c r="N109" i="1"/>
  <c r="N110" i="1"/>
  <c r="N111" i="1"/>
  <c r="N112" i="1"/>
  <c r="N113" i="1"/>
  <c r="N115" i="1"/>
  <c r="N116" i="1"/>
  <c r="N117" i="1"/>
  <c r="N118" i="1"/>
  <c r="O119" i="1"/>
  <c r="N120" i="1"/>
  <c r="N122" i="1"/>
  <c r="N124" i="1"/>
  <c r="N125" i="1"/>
  <c r="N126" i="1"/>
  <c r="N127" i="1"/>
  <c r="N128" i="1"/>
  <c r="N130" i="1"/>
  <c r="N131" i="1"/>
  <c r="N133" i="1"/>
  <c r="N134" i="1"/>
  <c r="N135" i="1"/>
  <c r="N136" i="1"/>
  <c r="N137" i="1"/>
  <c r="N138" i="1"/>
  <c r="N139" i="1"/>
  <c r="O140" i="1"/>
  <c r="N142" i="1"/>
  <c r="N143" i="1"/>
  <c r="N144" i="1"/>
  <c r="N145" i="1"/>
  <c r="N146" i="1"/>
  <c r="N147" i="1"/>
  <c r="N148" i="1"/>
  <c r="N149" i="1"/>
  <c r="N151" i="1"/>
  <c r="N153" i="1"/>
  <c r="N154" i="1"/>
  <c r="N155" i="1"/>
  <c r="N156" i="1"/>
  <c r="N157" i="1"/>
  <c r="N158" i="1"/>
  <c r="N161" i="1"/>
  <c r="N162" i="1"/>
  <c r="N163" i="1"/>
  <c r="N164" i="1"/>
  <c r="N166" i="1"/>
  <c r="N167" i="1"/>
  <c r="N169" i="1"/>
  <c r="N170" i="1"/>
  <c r="N171" i="1"/>
  <c r="N173" i="1"/>
  <c r="N174" i="1"/>
  <c r="N175" i="1"/>
  <c r="N176" i="1"/>
  <c r="N178" i="1"/>
  <c r="N179" i="1"/>
  <c r="N180" i="1"/>
  <c r="N181" i="1"/>
  <c r="N182" i="1"/>
  <c r="N184" i="1"/>
  <c r="N185" i="1"/>
  <c r="N187" i="1"/>
  <c r="N188" i="1"/>
  <c r="N189" i="1"/>
  <c r="N190" i="1"/>
  <c r="N191" i="1"/>
  <c r="N192" i="1"/>
  <c r="N193" i="1"/>
  <c r="N194" i="1"/>
  <c r="N197" i="1"/>
  <c r="N198" i="1"/>
  <c r="N199" i="1"/>
  <c r="N200" i="1"/>
  <c r="N203" i="1"/>
  <c r="N205" i="1"/>
  <c r="N206" i="1"/>
  <c r="N208" i="1"/>
  <c r="N209" i="1"/>
  <c r="N210" i="1"/>
  <c r="N211" i="1"/>
  <c r="N214" i="1"/>
  <c r="N215" i="1"/>
  <c r="N216" i="1"/>
  <c r="N217" i="1"/>
  <c r="N220" i="1"/>
  <c r="N221" i="1"/>
  <c r="N223" i="1"/>
  <c r="N224" i="1"/>
  <c r="N225" i="1"/>
  <c r="N226" i="1"/>
  <c r="N229" i="1"/>
  <c r="N230" i="1"/>
  <c r="N233" i="1"/>
  <c r="N235" i="1"/>
  <c r="O236" i="1"/>
  <c r="N238" i="1"/>
  <c r="N241" i="1"/>
  <c r="N242" i="1"/>
  <c r="O243" i="1"/>
  <c r="N244" i="1"/>
  <c r="N245" i="1"/>
  <c r="N246" i="1"/>
  <c r="N248" i="1"/>
  <c r="N250" i="1"/>
  <c r="N251" i="1"/>
  <c r="N254" i="1"/>
  <c r="N257" i="1"/>
  <c r="N259" i="1"/>
  <c r="N261" i="1"/>
  <c r="N262" i="1"/>
  <c r="O263" i="1"/>
  <c r="N265" i="1"/>
  <c r="N266" i="1"/>
  <c r="N268" i="1"/>
  <c r="N269" i="1"/>
  <c r="N270" i="1"/>
  <c r="O271" i="1"/>
  <c r="O272" i="1"/>
  <c r="O273" i="1"/>
  <c r="N274" i="1"/>
  <c r="N275" i="1"/>
  <c r="N278" i="1"/>
  <c r="N279" i="1"/>
  <c r="O280" i="1"/>
  <c r="N282" i="1"/>
  <c r="N284" i="1"/>
  <c r="N286" i="1"/>
  <c r="N287" i="1"/>
  <c r="N289" i="1"/>
  <c r="O292" i="1"/>
  <c r="N293" i="1"/>
  <c r="O298" i="1"/>
  <c r="N299" i="1"/>
  <c r="N300" i="1"/>
  <c r="N301" i="1"/>
  <c r="N302" i="1"/>
  <c r="N304" i="1"/>
  <c r="N305" i="1"/>
  <c r="O306" i="1"/>
  <c r="N308" i="1"/>
  <c r="N309" i="1"/>
  <c r="N310" i="1"/>
  <c r="N313" i="1"/>
  <c r="N314" i="1"/>
  <c r="N315" i="1"/>
  <c r="N319" i="1"/>
  <c r="N320" i="1"/>
  <c r="N322" i="1"/>
  <c r="N323" i="1"/>
  <c r="N324" i="1"/>
  <c r="N326" i="1"/>
  <c r="N327" i="1"/>
  <c r="N328" i="1"/>
  <c r="N329" i="1"/>
  <c r="N333" i="1"/>
  <c r="N334" i="1"/>
  <c r="N335" i="1"/>
  <c r="N336" i="1"/>
  <c r="N338" i="1"/>
  <c r="N340" i="1"/>
  <c r="N342" i="1"/>
  <c r="N343" i="1"/>
  <c r="N344" i="1"/>
  <c r="N346" i="1"/>
  <c r="N347" i="1"/>
  <c r="N349" i="1"/>
  <c r="N351" i="1"/>
  <c r="N354" i="1"/>
  <c r="N355" i="1"/>
  <c r="N356" i="1"/>
  <c r="N360" i="1"/>
  <c r="N362" i="1"/>
  <c r="N363" i="1"/>
  <c r="O365" i="1"/>
  <c r="O16" i="1"/>
  <c r="N425" i="1" l="1"/>
  <c r="N389" i="1"/>
  <c r="N443" i="1"/>
  <c r="N204" i="1"/>
  <c r="N105" i="1"/>
  <c r="N69" i="1"/>
  <c r="N713" i="1"/>
  <c r="N695" i="1"/>
  <c r="N668" i="1"/>
  <c r="N650" i="1"/>
  <c r="N623" i="1"/>
  <c r="N605" i="1"/>
  <c r="N569" i="1"/>
  <c r="N461" i="1"/>
  <c r="N434" i="1"/>
  <c r="N398" i="1"/>
  <c r="N407" i="1"/>
  <c r="N416" i="1"/>
  <c r="N704" i="1"/>
  <c r="N497" i="1"/>
  <c r="N677" i="1"/>
  <c r="N285" i="1"/>
  <c r="N339" i="1"/>
  <c r="N240" i="1"/>
  <c r="N632" i="1"/>
  <c r="N614" i="1"/>
  <c r="N596" i="1"/>
  <c r="N587" i="1"/>
  <c r="N578" i="1"/>
  <c r="N551" i="1"/>
  <c r="N542" i="1"/>
  <c r="N533" i="1"/>
  <c r="N524" i="1"/>
  <c r="N515" i="1"/>
  <c r="N506" i="1"/>
  <c r="N488" i="1"/>
  <c r="N479" i="1"/>
  <c r="N470" i="1"/>
  <c r="N452" i="1"/>
  <c r="N560" i="1"/>
  <c r="N659" i="1"/>
  <c r="N641" i="1"/>
  <c r="N686" i="1"/>
  <c r="N321" i="1"/>
  <c r="N312" i="1"/>
  <c r="N294" i="1"/>
  <c r="N249" i="1"/>
  <c r="N231" i="1"/>
  <c r="N222" i="1"/>
  <c r="N213" i="1"/>
  <c r="N186" i="1"/>
  <c r="N159" i="1"/>
  <c r="N150" i="1"/>
  <c r="N141" i="1"/>
  <c r="N123" i="1"/>
  <c r="N114" i="1"/>
  <c r="N96" i="1"/>
  <c r="N87" i="1"/>
  <c r="N78" i="1"/>
  <c r="N60" i="1"/>
  <c r="N51" i="1"/>
  <c r="N168" i="1"/>
  <c r="N357" i="1"/>
  <c r="N348" i="1"/>
  <c r="N330" i="1"/>
  <c r="N276" i="1"/>
  <c r="N267" i="1"/>
  <c r="N258" i="1"/>
  <c r="N195" i="1"/>
  <c r="N177" i="1"/>
  <c r="N132" i="1"/>
  <c r="N42" i="1"/>
  <c r="N33" i="1"/>
  <c r="N303" i="1"/>
  <c r="M721" i="1"/>
  <c r="M372" i="1"/>
  <c r="M365" i="1"/>
  <c r="M366" i="1" s="1"/>
  <c r="M16" i="1"/>
  <c r="M24" i="1" s="1"/>
  <c r="O24" i="1" s="1"/>
  <c r="O372" i="1" l="1"/>
  <c r="M380" i="1"/>
  <c r="O380" i="1" s="1"/>
  <c r="O721" i="1"/>
  <c r="M722" i="1"/>
  <c r="K721" i="1"/>
  <c r="K722" i="1" s="1"/>
  <c r="J721" i="1"/>
  <c r="K372" i="1"/>
  <c r="K380" i="1" s="1"/>
  <c r="J372" i="1"/>
  <c r="K16" i="1"/>
  <c r="K24" i="1" s="1"/>
  <c r="G721" i="1" l="1"/>
  <c r="G365" i="1"/>
  <c r="G16" i="1"/>
  <c r="J16" i="1" l="1"/>
  <c r="K365" i="1"/>
  <c r="K366" i="1" s="1"/>
  <c r="J365" i="1"/>
  <c r="F721" i="1" l="1"/>
  <c r="F722" i="1" s="1"/>
  <c r="F372" i="1"/>
  <c r="G372" i="1" l="1"/>
  <c r="F380" i="1"/>
  <c r="N372" i="1"/>
  <c r="N380" i="1" s="1"/>
  <c r="N721" i="1"/>
  <c r="N722" i="1" s="1"/>
  <c r="F365" i="1"/>
  <c r="F366" i="1" s="1"/>
  <c r="F16" i="1" l="1"/>
  <c r="F24" i="1" s="1"/>
  <c r="N16" i="1" l="1"/>
  <c r="N24" i="1" s="1"/>
  <c r="N365" i="1"/>
  <c r="N366" i="1" s="1"/>
</calcChain>
</file>

<file path=xl/sharedStrings.xml><?xml version="1.0" encoding="utf-8"?>
<sst xmlns="http://schemas.openxmlformats.org/spreadsheetml/2006/main" count="1397" uniqueCount="137">
  <si>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</si>
  <si>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</si>
  <si>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</si>
  <si>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</si>
  <si>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</si>
  <si>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</si>
  <si>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</si>
  <si>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</si>
  <si>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</si>
  <si>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</si>
  <si>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</si>
  <si>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</si>
  <si>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</si>
  <si>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</si>
  <si>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</si>
  <si>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</si>
  <si>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</si>
  <si>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</si>
  <si>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</si>
  <si>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</si>
  <si>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</si>
  <si>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</si>
  <si>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</si>
  <si>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</si>
  <si>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</si>
  <si>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</si>
  <si>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</si>
  <si>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</si>
  <si>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</si>
  <si>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</si>
  <si>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</si>
  <si>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</si>
  <si>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</si>
  <si>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</si>
  <si>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</si>
  <si>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</si>
  <si>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</si>
  <si>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</si>
  <si>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</si>
  <si>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</si>
  <si>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</si>
  <si>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</si>
  <si>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</si>
  <si>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</si>
  <si>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</si>
  <si>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</si>
  <si>
    <t>Project Management</t>
  </si>
  <si>
    <t xml:space="preserve">Project Organization </t>
  </si>
  <si>
    <t>Project Managers</t>
  </si>
  <si>
    <t>Piotr Klek</t>
  </si>
  <si>
    <t>Piotr Klek - Project Managers</t>
  </si>
  <si>
    <t>D198</t>
  </si>
  <si>
    <t>Bogucki, Michal</t>
  </si>
  <si>
    <t>Dobrut, Grzegorz</t>
  </si>
  <si>
    <t>Furtak, Dariusz</t>
  </si>
  <si>
    <t>Piecyk, Tomasz</t>
  </si>
  <si>
    <t>Altewegier, Pawel</t>
  </si>
  <si>
    <t>Frydrych, Mateusz</t>
  </si>
  <si>
    <t>Kotas, Magdalena</t>
  </si>
  <si>
    <t>Pawlowska, Agnieszka</t>
  </si>
  <si>
    <t>D889</t>
  </si>
  <si>
    <t>E556</t>
  </si>
  <si>
    <t>E599</t>
  </si>
  <si>
    <t>E872</t>
  </si>
  <si>
    <t>E934</t>
  </si>
  <si>
    <t>F236</t>
  </si>
  <si>
    <t>F295</t>
  </si>
  <si>
    <t>F808</t>
  </si>
  <si>
    <t>F944</t>
  </si>
  <si>
    <t>F958</t>
  </si>
  <si>
    <t>G164</t>
  </si>
  <si>
    <t>G263</t>
  </si>
  <si>
    <t>G429</t>
  </si>
  <si>
    <t>G492</t>
  </si>
  <si>
    <t>G493</t>
  </si>
  <si>
    <t>H204</t>
  </si>
  <si>
    <t>H808</t>
  </si>
  <si>
    <t>H919</t>
  </si>
  <si>
    <t>J225</t>
  </si>
  <si>
    <t>J258</t>
  </si>
  <si>
    <t>J399</t>
  </si>
  <si>
    <t>J500</t>
  </si>
  <si>
    <t>K094</t>
  </si>
  <si>
    <t>K121</t>
  </si>
  <si>
    <t>K153</t>
  </si>
  <si>
    <t>K282</t>
  </si>
  <si>
    <t>K325</t>
  </si>
  <si>
    <t>K392</t>
  </si>
  <si>
    <t>K403</t>
  </si>
  <si>
    <t>K504</t>
  </si>
  <si>
    <t>K740</t>
  </si>
  <si>
    <t>K840</t>
  </si>
  <si>
    <t>N386</t>
  </si>
  <si>
    <t>N485</t>
  </si>
  <si>
    <t>N665</t>
  </si>
  <si>
    <t>N694</t>
  </si>
  <si>
    <t>N706</t>
  </si>
  <si>
    <t>N707</t>
  </si>
  <si>
    <t>D198 Suma</t>
  </si>
  <si>
    <t>D889 Suma</t>
  </si>
  <si>
    <t>E556 Suma</t>
  </si>
  <si>
    <t>E599 Suma</t>
  </si>
  <si>
    <t>E872 Suma</t>
  </si>
  <si>
    <t>E934 Suma</t>
  </si>
  <si>
    <t>F236 Suma</t>
  </si>
  <si>
    <t>F295 Suma</t>
  </si>
  <si>
    <t>F808 Suma</t>
  </si>
  <si>
    <t>F944 Suma</t>
  </si>
  <si>
    <t>F958 Suma</t>
  </si>
  <si>
    <t>G164 Suma</t>
  </si>
  <si>
    <t>G263 Suma</t>
  </si>
  <si>
    <t>G429 Suma</t>
  </si>
  <si>
    <t>G492 Suma</t>
  </si>
  <si>
    <t>G493 Suma</t>
  </si>
  <si>
    <t>H204 Suma</t>
  </si>
  <si>
    <t>H808 Suma</t>
  </si>
  <si>
    <t>H919 Suma</t>
  </si>
  <si>
    <t>J225 Suma</t>
  </si>
  <si>
    <t>J258 Suma</t>
  </si>
  <si>
    <t>J399 Suma</t>
  </si>
  <si>
    <t>J500 Suma</t>
  </si>
  <si>
    <t>K094 Suma</t>
  </si>
  <si>
    <t>K121 Suma</t>
  </si>
  <si>
    <t>K153 Suma</t>
  </si>
  <si>
    <t>K282 Suma</t>
  </si>
  <si>
    <t>K325 Suma</t>
  </si>
  <si>
    <t>K392 Suma</t>
  </si>
  <si>
    <t>K403 Suma</t>
  </si>
  <si>
    <t>K504 Suma</t>
  </si>
  <si>
    <t>K740 Suma</t>
  </si>
  <si>
    <t>K840 Suma</t>
  </si>
  <si>
    <t>N386 Suma</t>
  </si>
  <si>
    <t>N485 Suma</t>
  </si>
  <si>
    <t>N665 Suma</t>
  </si>
  <si>
    <t>N694 Suma</t>
  </si>
  <si>
    <t>N706 Suma</t>
  </si>
  <si>
    <t>N707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</si>
</sst>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\ &quot;€&quot;_-;\-* #,##0.00\ &quot;€&quot;_-;_-* &quot;-&quot;??\ &quot;€&quot;_-;_-@_-"/>
    <numFmt numFmtId="165" formatCode="#,##0\ &quot;€&quot;"/>
    <numFmt numFmtId="166" formatCode="0.0%"/>
  </numFmts>
  <fonts count="25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2" fontId="3" fillId="0" borderId="2" xfId="0" applyNumberFormat="1" applyFont="1" applyBorder="1" applyAlignment="1" applyProtection="1">
      <alignment horizontal="center" vertical="center" wrapText="1"/>
    </xf>
    <xf numFmtId="2" fontId="3" fillId="0" borderId="3" xfId="0" applyNumberFormat="1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0" xfId="0" applyBorder="1" applyProtection="1"/>
    <xf numFmtId="0" fontId="0" fillId="0" borderId="5" xfId="0" applyBorder="1" applyProtection="1"/>
    <xf numFmtId="0" fontId="20" fillId="0" borderId="2" xfId="0" applyFont="1" applyBorder="1" applyAlignment="1" applyProtection="1">
      <alignment horizontal="center" vertical="center"/>
    </xf>
    <xf numFmtId="0" fontId="20" fillId="0" borderId="4" xfId="0" applyFont="1" applyBorder="1" applyAlignment="1" applyProtection="1">
      <alignment horizontal="center" vertical="center"/>
    </xf>
    <xf numFmtId="0" fontId="20" fillId="0" borderId="0" xfId="0" applyFont="1" applyBorder="1" applyAlignment="1" applyProtection="1">
      <alignment horizontal="center" vertical="center"/>
    </xf>
    <xf numFmtId="0" fontId="0" fillId="0" borderId="0" xfId="0" applyProtection="1"/>
    <xf numFmtId="14" fontId="4" fillId="0" borderId="6" xfId="0" applyNumberFormat="1" applyFon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4" fontId="4" fillId="0" borderId="7" xfId="0" applyNumberFormat="1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5" fillId="0" borderId="4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horizontal="left" vertical="distributed" wrapText="1"/>
    </xf>
    <xf numFmtId="0" fontId="0" fillId="0" borderId="3" xfId="0" applyBorder="1" applyAlignment="1" applyProtection="1">
      <alignment horizontal="left" vertical="distributed" wrapText="1"/>
    </xf>
    <xf numFmtId="0" fontId="4" fillId="0" borderId="10" xfId="0" applyFont="1" applyBorder="1" applyAlignment="1" applyProtection="1">
      <alignment horizontal="center" vertical="center"/>
    </xf>
    <xf numFmtId="0" fontId="18" fillId="0" borderId="11" xfId="16" applyBorder="1" applyAlignment="1" applyProtection="1">
      <alignment horizontal="center" vertical="center"/>
    </xf>
    <xf numFmtId="0" fontId="18" fillId="0" borderId="0" xfId="16" applyBorder="1" applyAlignment="1" applyProtection="1">
      <alignment horizontal="center" vertical="center"/>
    </xf>
    <xf numFmtId="0" fontId="0" fillId="0" borderId="0" xfId="0" applyAlignment="1" applyProtection="1">
      <alignment horizontal="left" vertical="distributed" wrapText="1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Border="1" applyProtection="1"/>
    <xf numFmtId="0" fontId="7" fillId="0" borderId="0" xfId="0" applyFont="1" applyBorder="1" applyProtection="1"/>
    <xf numFmtId="165" fontId="0" fillId="0" borderId="0" xfId="0" applyNumberFormat="1" applyBorder="1" applyProtection="1"/>
    <xf numFmtId="10" fontId="0" fillId="0" borderId="0" xfId="0" applyNumberFormat="1" applyBorder="1" applyProtection="1"/>
    <xf numFmtId="3" fontId="0" fillId="0" borderId="0" xfId="0" applyNumberFormat="1" applyBorder="1" applyProtection="1"/>
    <xf numFmtId="0" fontId="6" fillId="4" borderId="12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7" fillId="4" borderId="12" xfId="0" applyFont="1" applyFill="1" applyBorder="1" applyAlignment="1" applyProtection="1">
      <alignment horizontal="center" vertical="center" wrapText="1"/>
    </xf>
    <xf numFmtId="3" fontId="8" fillId="0" borderId="12" xfId="0" applyNumberFormat="1" applyFont="1" applyBorder="1" applyAlignment="1" applyProtection="1">
      <alignment horizontal="center" vertical="center"/>
    </xf>
    <xf numFmtId="166" fontId="8" fillId="0" borderId="12" xfId="0" applyNumberFormat="1" applyFont="1" applyBorder="1" applyAlignment="1" applyProtection="1">
      <alignment horizontal="center" vertical="center"/>
    </xf>
    <xf numFmtId="166" fontId="8" fillId="5" borderId="12" xfId="0" applyNumberFormat="1" applyFont="1" applyFill="1" applyBorder="1" applyAlignment="1" applyProtection="1">
      <alignment horizontal="center" vertical="center"/>
    </xf>
    <xf numFmtId="3" fontId="8" fillId="5" borderId="12" xfId="0" applyNumberFormat="1" applyFont="1" applyFill="1" applyBorder="1" applyAlignment="1" applyProtection="1">
      <alignment horizontal="center" vertical="center"/>
    </xf>
    <xf numFmtId="10" fontId="9" fillId="0" borderId="0" xfId="0" applyNumberFormat="1" applyFont="1" applyBorder="1" applyProtection="1"/>
    <xf numFmtId="10" fontId="0" fillId="0" borderId="0" xfId="1" applyNumberFormat="1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left"/>
    </xf>
    <xf numFmtId="3" fontId="24" fillId="0" borderId="12" xfId="0" applyNumberFormat="1" applyFont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 wrapText="1"/>
    </xf>
    <xf numFmtId="0" fontId="4" fillId="5" borderId="12" xfId="0" applyFont="1" applyFill="1" applyBorder="1" applyAlignment="1" applyProtection="1">
      <alignment horizontal="center" vertical="center" wrapText="1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9" xfId="0" applyFont="1" applyBorder="1" applyAlignment="1" applyProtection="1">
      <alignment horizontal="left" vertical="top"/>
      <protection locked="0"/>
    </xf>
    <xf numFmtId="0" fontId="21" fillId="0" borderId="11" xfId="0" applyFont="1" applyBorder="1" applyAlignment="1" applyProtection="1">
      <alignment horizontal="left" vertical="top"/>
      <protection locked="0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249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899"/>
  <sheetViews>
    <sheetView showGridLines="0" tabSelected="1" topLeftCell="A677" zoomScale="70" zoomScaleNormal="70" workbookViewId="0">
      <selection activeCell="A723" sqref="A723:XFD723"/>
    </sheetView>
  </sheetViews>
  <sheetFormatPr defaultColWidth="9.140625" defaultRowHeight="12.75" zeroHeight="1" outlineLevelRow="2" x14ac:dyDescent="0.2"/>
  <cols>
    <col min="1" max="1" width="5.7109375" style="15" customWidth="1"/>
    <col min="2" max="2" width="17.28515625" style="15" customWidth="1"/>
    <col min="3" max="3" width="36" style="15" customWidth="1"/>
    <col min="4" max="15" width="16.7109375" style="15" customWidth="1"/>
    <col min="16" max="16" width="5.7109375" style="15" customWidth="1"/>
    <col min="17" max="37" width="16.85546875" style="15" hidden="1" customWidth="1"/>
    <col min="38" max="38" width="18.85546875" style="15" hidden="1" customWidth="1"/>
    <col min="39" max="40" width="20.28515625" style="15" hidden="1" customWidth="1"/>
    <col min="41" max="42" width="26.42578125" style="15" hidden="1" customWidth="1"/>
    <col min="43" max="187" width="10.5703125" style="15" hidden="1" customWidth="1"/>
    <col min="188" max="189" width="15.42578125" style="15" hidden="1" customWidth="1"/>
    <col min="190" max="16383" width="9.140625" style="15"/>
    <col min="16384" max="16384" width="0.42578125" style="15" customWidth="1"/>
  </cols>
  <sheetData>
    <row r="1" spans="1:19" s="10" customFormat="1" ht="16.5" thickBot="1" x14ac:dyDescent="0.25">
      <c r="A1" s="7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9"/>
    </row>
    <row r="2" spans="1:19" s="10" customFormat="1" ht="33.75" customHeight="1" thickBot="1" x14ac:dyDescent="0.25">
      <c r="A2" s="11"/>
      <c r="B2" s="12" t="s">
        <v>6</v>
      </c>
      <c r="C2" s="13"/>
      <c r="D2" s="14"/>
      <c r="E2" s="15"/>
      <c r="F2" s="16" t="s">
        <v>15</v>
      </c>
      <c r="G2" s="17"/>
      <c r="H2" s="18">
        <v>42842</v>
      </c>
      <c r="I2" s="18" t="s">
        <v>14</v>
      </c>
      <c r="J2" s="19">
        <v>42855</v>
      </c>
      <c r="K2" s="20"/>
      <c r="L2" s="20"/>
      <c r="M2" s="20"/>
      <c r="N2" s="20"/>
    </row>
    <row r="3" spans="1:19" s="10" customFormat="1" ht="33.75" customHeight="1" thickBot="1" x14ac:dyDescent="0.25">
      <c r="A3" s="11"/>
      <c r="B3" s="21" t="s">
        <v>7</v>
      </c>
      <c r="C3" s="22" t="s">
        <v>8</v>
      </c>
      <c r="D3" s="23"/>
      <c r="E3" s="20"/>
      <c r="F3" s="15"/>
      <c r="G3" s="15"/>
      <c r="H3" s="15"/>
      <c r="I3" s="15"/>
      <c r="J3" s="15"/>
      <c r="K3" s="20"/>
      <c r="L3" s="20"/>
      <c r="M3" s="20"/>
      <c r="N3" s="20"/>
    </row>
    <row r="4" spans="1:19" s="10" customFormat="1" ht="33.75" customHeight="1" thickBot="1" x14ac:dyDescent="0.25">
      <c r="A4" s="11"/>
      <c r="B4" s="21" t="s">
        <v>9</v>
      </c>
      <c r="C4" s="22" t="s">
        <v>46</v>
      </c>
      <c r="D4" s="23"/>
      <c r="E4" s="20"/>
      <c r="F4" s="24" t="s">
        <v>5</v>
      </c>
      <c r="G4" s="24"/>
      <c r="N4" s="20"/>
    </row>
    <row r="5" spans="1:19" s="10" customFormat="1" ht="33.75" customHeight="1" x14ac:dyDescent="0.2">
      <c r="A5" s="11"/>
      <c r="B5" s="21" t="s">
        <v>0</v>
      </c>
      <c r="C5" s="25" t="s">
        <v>47</v>
      </c>
      <c r="D5" s="26"/>
      <c r="E5" s="20"/>
      <c r="F5" s="1"/>
      <c r="G5" s="2"/>
      <c r="H5" s="2"/>
      <c r="I5" s="2"/>
      <c r="J5" s="2"/>
      <c r="K5" s="2"/>
      <c r="L5" s="2"/>
      <c r="M5" s="2"/>
      <c r="N5" s="2"/>
      <c r="O5" s="59"/>
    </row>
    <row r="6" spans="1:19" s="10" customFormat="1" ht="33.75" customHeight="1" x14ac:dyDescent="0.2">
      <c r="A6" s="11"/>
      <c r="B6" s="27" t="s">
        <v>10</v>
      </c>
      <c r="C6" s="28" t="s">
        <v>48</v>
      </c>
      <c r="D6" s="23"/>
      <c r="E6" s="20"/>
      <c r="F6" s="3"/>
      <c r="G6" s="4"/>
      <c r="H6" s="4"/>
      <c r="I6" s="4"/>
      <c r="J6" s="4"/>
      <c r="K6" s="4"/>
      <c r="L6" s="4"/>
      <c r="M6" s="4"/>
      <c r="N6" s="4"/>
      <c r="O6" s="60"/>
    </row>
    <row r="7" spans="1:19" s="10" customFormat="1" ht="33.75" customHeight="1" thickBot="1" x14ac:dyDescent="0.25">
      <c r="A7" s="11"/>
      <c r="B7" s="27" t="s">
        <v>11</v>
      </c>
      <c r="C7" s="28" t="s">
        <v>49</v>
      </c>
      <c r="D7" s="23"/>
      <c r="E7" s="20"/>
      <c r="F7" s="5"/>
      <c r="G7" s="6"/>
      <c r="H7" s="6"/>
      <c r="I7" s="6"/>
      <c r="J7" s="6"/>
      <c r="K7" s="6"/>
      <c r="L7" s="6"/>
      <c r="M7" s="6"/>
      <c r="N7" s="6"/>
      <c r="O7" s="61"/>
    </row>
    <row r="8" spans="1:19" s="10" customFormat="1" ht="33.75" customHeight="1" x14ac:dyDescent="0.2">
      <c r="A8" s="11"/>
      <c r="B8" s="27" t="s">
        <v>1</v>
      </c>
      <c r="C8" s="29" t="s">
        <v>50</v>
      </c>
      <c r="D8" s="26"/>
      <c r="E8" s="20"/>
      <c r="F8" s="30" t="s">
        <v>34</v>
      </c>
      <c r="G8" s="31"/>
      <c r="H8" s="31"/>
      <c r="I8" s="31"/>
      <c r="J8" s="31"/>
      <c r="K8" s="31"/>
      <c r="L8" s="31"/>
      <c r="M8" s="31"/>
      <c r="N8" s="20"/>
    </row>
    <row r="9" spans="1:19" s="10" customFormat="1" ht="33.75" customHeight="1" thickBot="1" x14ac:dyDescent="0.25">
      <c r="A9" s="11"/>
      <c r="B9" s="32"/>
      <c r="C9" s="33"/>
      <c r="D9" s="34"/>
      <c r="E9" s="20"/>
      <c r="F9" s="35"/>
      <c r="G9" s="35"/>
      <c r="H9" s="35"/>
      <c r="I9" s="35"/>
      <c r="J9" s="35"/>
      <c r="K9" s="35"/>
      <c r="L9" s="35"/>
      <c r="M9" s="35"/>
      <c r="N9" s="20"/>
    </row>
    <row r="10" spans="1:19" s="10" customFormat="1" ht="15.75" x14ac:dyDescent="0.2">
      <c r="A10" s="11"/>
      <c r="B10" s="36"/>
      <c r="C10" s="26"/>
      <c r="D10" s="26"/>
      <c r="E10" s="20"/>
      <c r="F10" s="20"/>
      <c r="G10" s="20"/>
      <c r="H10" s="20"/>
      <c r="I10" s="20"/>
      <c r="J10" s="20"/>
      <c r="K10" s="20"/>
      <c r="L10" s="20"/>
      <c r="M10" s="20"/>
      <c r="N10" s="20"/>
    </row>
    <row r="11" spans="1:19" s="10" customFormat="1" x14ac:dyDescent="0.2">
      <c r="A11" s="11"/>
    </row>
    <row r="12" spans="1:19" s="10" customFormat="1" x14ac:dyDescent="0.2">
      <c r="A12" s="11"/>
      <c r="B12" s="37" t="s">
        <v>16</v>
      </c>
      <c r="C12" s="38"/>
      <c r="D12" s="38"/>
      <c r="E12" s="38"/>
      <c r="F12" s="39"/>
      <c r="G12" s="39"/>
      <c r="H12" s="40"/>
      <c r="K12" s="41"/>
      <c r="M12" s="42"/>
    </row>
    <row r="13" spans="1:19" s="10" customFormat="1" x14ac:dyDescent="0.2">
      <c r="A13" s="11"/>
    </row>
    <row r="14" spans="1:19" s="10" customFormat="1" x14ac:dyDescent="0.2">
      <c r="A14" s="11"/>
      <c r="B14" s="43"/>
      <c r="C14" s="43"/>
      <c r="D14" s="43" t="s">
        <v>2</v>
      </c>
      <c r="E14" s="43" t="s">
        <v>3</v>
      </c>
      <c r="F14" s="43" t="s">
        <v>13</v>
      </c>
      <c r="G14" s="43" t="s">
        <v>4</v>
      </c>
      <c r="H14" s="43" t="s">
        <v>25</v>
      </c>
      <c r="I14" s="43" t="s">
        <v>42</v>
      </c>
      <c r="J14" s="44" t="s">
        <v>43</v>
      </c>
      <c r="K14" s="44" t="s">
        <v>44</v>
      </c>
      <c r="L14" s="43" t="s">
        <v>24</v>
      </c>
      <c r="M14" s="43" t="s">
        <v>45</v>
      </c>
      <c r="N14" s="43" t="s">
        <v>27</v>
      </c>
      <c r="O14" s="43" t="s">
        <v>28</v>
      </c>
      <c r="P14" s="45"/>
    </row>
    <row r="15" spans="1:19" s="10" customFormat="1" ht="76.5" x14ac:dyDescent="0.2">
      <c r="A15" s="11"/>
      <c r="B15" s="46" t="s">
        <v>17</v>
      </c>
      <c r="C15" s="46" t="s">
        <v>33</v>
      </c>
      <c r="D15" s="46" t="s">
        <v>18</v>
      </c>
      <c r="E15" s="46" t="s">
        <v>19</v>
      </c>
      <c r="F15" s="46" t="s">
        <v>20</v>
      </c>
      <c r="G15" s="46" t="s">
        <v>12</v>
      </c>
      <c r="H15" s="46" t="s">
        <v>30</v>
      </c>
      <c r="I15" s="46" t="s">
        <v>21</v>
      </c>
      <c r="J15" s="47" t="s">
        <v>23</v>
      </c>
      <c r="K15" s="47" t="s">
        <v>22</v>
      </c>
      <c r="L15" s="46" t="s">
        <v>31</v>
      </c>
      <c r="M15" s="46" t="s">
        <v>26</v>
      </c>
      <c r="N15" s="48" t="s">
        <v>32</v>
      </c>
      <c r="O15" s="46" t="s">
        <v>29</v>
      </c>
    </row>
    <row r="16" spans="1:19" s="10" customFormat="1" hidden="1" outlineLevel="2" x14ac:dyDescent="0.2">
      <c r="A16" s="11"/>
      <c r="B16" s="49" t="s">
        <v>51</v>
      </c>
      <c r="C16" s="49" t="s">
        <v>52</v>
      </c>
      <c r="D16" s="49">
        <v>0</v>
      </c>
      <c r="E16" s="49">
        <v>0</v>
      </c>
      <c r="F16" s="49">
        <f>E16-D16</f>
        <v>0</v>
      </c>
      <c r="G16" s="50">
        <f>IF(D16=0,0,ABS(F16/D16))</f>
        <v>0</v>
      </c>
      <c r="H16" s="49">
        <v>0</v>
      </c>
      <c r="I16" s="49">
        <v>1007.75</v>
      </c>
      <c r="J16" s="51" t="str">
        <f>IF(H16=0,"No plan at start",I16/H16)</f>
        <v>No plan at start</v>
      </c>
      <c r="K16" s="52">
        <f>H16-I16</f>
        <v>-1007.75</v>
      </c>
      <c r="L16" s="49">
        <v>0</v>
      </c>
      <c r="M16" s="49">
        <f>I16+L16</f>
        <v>1007.75</v>
      </c>
      <c r="N16" s="49">
        <f>M16-H16</f>
        <v>1007.75</v>
      </c>
      <c r="O16" s="50" t="str">
        <f>IF(H16=0,"No plan at start",M16/H16)</f>
        <v>No plan at start</v>
      </c>
      <c r="P16" s="53"/>
      <c r="Q16" s="54"/>
      <c r="R16" s="55"/>
      <c r="S16" s="55"/>
    </row>
    <row r="17" spans="1:19" s="10" customFormat="1" hidden="1" outlineLevel="2" x14ac:dyDescent="0.2">
      <c r="A17" s="11"/>
      <c r="B17" s="49" t="s">
        <v>51</v>
      </c>
      <c r="C17" s="49" t="s">
        <v>53</v>
      </c>
      <c r="D17" s="49">
        <v>0</v>
      </c>
      <c r="E17" s="49">
        <v>0</v>
      </c>
      <c r="F17" s="49">
        <f>E17-D17</f>
        <v>0</v>
      </c>
      <c r="G17" s="50">
        <f>IF(D17=0,0,ABS(F17/D17))</f>
        <v>0</v>
      </c>
      <c r="H17" s="49">
        <v>0</v>
      </c>
      <c r="I17" s="49">
        <v>0</v>
      </c>
      <c r="J17" s="51" t="str">
        <f>IF(H17=0,"No plan at start",I17/H17)</f>
        <v>No plan at start</v>
      </c>
      <c r="K17" s="52">
        <f>H17-I17</f>
        <v>0</v>
      </c>
      <c r="L17" s="49">
        <v>0</v>
      </c>
      <c r="M17" s="49">
        <f>I17+L17</f>
        <v>0</v>
      </c>
      <c r="N17" s="49">
        <f>M17-H17</f>
        <v>0</v>
      </c>
      <c r="O17" s="50" t="str">
        <f>IF(H17=0,"No plan at start",M17/H17)</f>
        <v>No plan at start</v>
      </c>
      <c r="P17" s="53"/>
      <c r="Q17" s="54"/>
      <c r="R17" s="55"/>
      <c r="S17" s="55"/>
    </row>
    <row r="18" spans="1:19" s="10" customFormat="1" hidden="1" outlineLevel="2" x14ac:dyDescent="0.2">
      <c r="A18" s="11"/>
      <c r="B18" s="49" t="s">
        <v>51</v>
      </c>
      <c r="C18" s="49" t="s">
        <v>54</v>
      </c>
      <c r="D18" s="49">
        <v>0</v>
      </c>
      <c r="E18" s="49">
        <v>0</v>
      </c>
      <c r="F18" s="49">
        <f>E18-D18</f>
        <v>0</v>
      </c>
      <c r="G18" s="50">
        <f>IF(D18=0,0,ABS(F18/D18))</f>
        <v>0</v>
      </c>
      <c r="H18" s="49">
        <v>0</v>
      </c>
      <c r="I18" s="49">
        <v>0</v>
      </c>
      <c r="J18" s="51" t="str">
        <f>IF(H18=0,"No plan at start",I18/H18)</f>
        <v>No plan at start</v>
      </c>
      <c r="K18" s="52">
        <f>H18-I18</f>
        <v>0</v>
      </c>
      <c r="L18" s="49">
        <v>0</v>
      </c>
      <c r="M18" s="49">
        <f>I18+L18</f>
        <v>0</v>
      </c>
      <c r="N18" s="49">
        <f>M18-H18</f>
        <v>0</v>
      </c>
      <c r="O18" s="50" t="str">
        <f>IF(H18=0,"No plan at start",M18/H18)</f>
        <v>No plan at start</v>
      </c>
      <c r="P18" s="53"/>
      <c r="Q18" s="54"/>
      <c r="R18" s="55"/>
      <c r="S18" s="55"/>
    </row>
    <row r="19" spans="1:19" s="10" customFormat="1" hidden="1" outlineLevel="2" x14ac:dyDescent="0.2">
      <c r="A19" s="11"/>
      <c r="B19" s="49" t="s">
        <v>51</v>
      </c>
      <c r="C19" s="49" t="s">
        <v>55</v>
      </c>
      <c r="D19" s="49">
        <v>0</v>
      </c>
      <c r="E19" s="49">
        <v>0</v>
      </c>
      <c r="F19" s="49">
        <f>E19-D19</f>
        <v>0</v>
      </c>
      <c r="G19" s="50">
        <f>IF(D19=0,0,ABS(F19/D19))</f>
        <v>0</v>
      </c>
      <c r="H19" s="49">
        <v>0</v>
      </c>
      <c r="I19" s="49">
        <v>0</v>
      </c>
      <c r="J19" s="51" t="str">
        <f>IF(H19=0,"No plan at start",I19/H19)</f>
        <v>No plan at start</v>
      </c>
      <c r="K19" s="52">
        <f>H19-I19</f>
        <v>0</v>
      </c>
      <c r="L19" s="49">
        <v>0</v>
      </c>
      <c r="M19" s="49">
        <f>I19+L19</f>
        <v>0</v>
      </c>
      <c r="N19" s="49">
        <f>M19-H19</f>
        <v>0</v>
      </c>
      <c r="O19" s="50" t="str">
        <f>IF(H19=0,"No plan at start",M19/H19)</f>
        <v>No plan at start</v>
      </c>
      <c r="P19" s="53"/>
      <c r="Q19" s="54"/>
      <c r="R19" s="55"/>
      <c r="S19" s="55"/>
    </row>
    <row r="20" spans="1:19" s="10" customFormat="1" hidden="1" outlineLevel="2" x14ac:dyDescent="0.2">
      <c r="A20" s="11"/>
      <c r="B20" s="49" t="s">
        <v>51</v>
      </c>
      <c r="C20" s="49" t="s">
        <v>56</v>
      </c>
      <c r="D20" s="49">
        <v>0</v>
      </c>
      <c r="E20" s="49">
        <v>0</v>
      </c>
      <c r="F20" s="49">
        <f>E20-D20</f>
        <v>0</v>
      </c>
      <c r="G20" s="50">
        <f>IF(D20=0,0,ABS(F20/D20))</f>
        <v>0</v>
      </c>
      <c r="H20" s="49">
        <v>0</v>
      </c>
      <c r="I20" s="49">
        <v>440</v>
      </c>
      <c r="J20" s="51" t="str">
        <f>IF(H20=0,"No plan at start",I20/H20)</f>
        <v>No plan at start</v>
      </c>
      <c r="K20" s="52">
        <f>H20-I20</f>
        <v>-440</v>
      </c>
      <c r="L20" s="49">
        <v>0</v>
      </c>
      <c r="M20" s="49">
        <f>I20+L20</f>
        <v>440</v>
      </c>
      <c r="N20" s="49">
        <f>M20-H20</f>
        <v>440</v>
      </c>
      <c r="O20" s="50" t="str">
        <f>IF(H20=0,"No plan at start",M20/H20)</f>
        <v>No plan at start</v>
      </c>
      <c r="P20" s="53"/>
      <c r="Q20" s="54"/>
      <c r="R20" s="55"/>
      <c r="S20" s="55"/>
    </row>
    <row r="21" spans="1:19" s="10" customFormat="1" hidden="1" outlineLevel="2" x14ac:dyDescent="0.2">
      <c r="A21" s="11"/>
      <c r="B21" s="49" t="s">
        <v>51</v>
      </c>
      <c r="C21" s="49" t="s">
        <v>57</v>
      </c>
      <c r="D21" s="49">
        <v>0</v>
      </c>
      <c r="E21" s="49">
        <v>0</v>
      </c>
      <c r="F21" s="49">
        <f>E21-D21</f>
        <v>0</v>
      </c>
      <c r="G21" s="50">
        <f>IF(D21=0,0,ABS(F21/D21))</f>
        <v>0</v>
      </c>
      <c r="H21" s="49">
        <v>0</v>
      </c>
      <c r="I21" s="49">
        <v>80</v>
      </c>
      <c r="J21" s="51" t="str">
        <f>IF(H21=0,"No plan at start",I21/H21)</f>
        <v>No plan at start</v>
      </c>
      <c r="K21" s="52">
        <f>H21-I21</f>
        <v>-80</v>
      </c>
      <c r="L21" s="49">
        <v>0</v>
      </c>
      <c r="M21" s="49">
        <f>I21+L21</f>
        <v>80</v>
      </c>
      <c r="N21" s="49">
        <f>M21-H21</f>
        <v>80</v>
      </c>
      <c r="O21" s="50" t="str">
        <f>IF(H21=0,"No plan at start",M21/H21)</f>
        <v>No plan at start</v>
      </c>
      <c r="P21" s="53"/>
      <c r="Q21" s="54"/>
      <c r="R21" s="55"/>
      <c r="S21" s="55"/>
    </row>
    <row r="22" spans="1:19" s="10" customFormat="1" hidden="1" outlineLevel="2" x14ac:dyDescent="0.2">
      <c r="A22" s="11"/>
      <c r="B22" s="49" t="s">
        <v>51</v>
      </c>
      <c r="C22" s="49" t="s">
        <v>58</v>
      </c>
      <c r="D22" s="49">
        <v>0</v>
      </c>
      <c r="E22" s="49">
        <v>0</v>
      </c>
      <c r="F22" s="49">
        <f>E22-D22</f>
        <v>0</v>
      </c>
      <c r="G22" s="50">
        <f>IF(D22=0,0,ABS(F22/D22))</f>
        <v>0</v>
      </c>
      <c r="H22" s="49">
        <v>4336</v>
      </c>
      <c r="I22" s="49">
        <v>5196.75</v>
      </c>
      <c r="J22" s="51">
        <f>IF(H22=0,"No plan at start",I22/H22)</f>
        <v>1.1985124538745386</v>
      </c>
      <c r="K22" s="52">
        <f>H22-I22</f>
        <v>-860.75</v>
      </c>
      <c r="L22" s="49">
        <v>0</v>
      </c>
      <c r="M22" s="49">
        <f>I22+L22</f>
        <v>5196.75</v>
      </c>
      <c r="N22" s="49">
        <f>M22-H22</f>
        <v>860.75</v>
      </c>
      <c r="O22" s="50">
        <f>IF(H22=0,"No plan at start",M22/H22)</f>
        <v>1.1985124538745386</v>
      </c>
      <c r="P22" s="53"/>
      <c r="Q22" s="54"/>
      <c r="R22" s="55"/>
      <c r="S22" s="55"/>
    </row>
    <row r="23" spans="1:19" s="10" customFormat="1" hidden="1" outlineLevel="2" x14ac:dyDescent="0.2">
      <c r="A23" s="11"/>
      <c r="B23" s="49" t="s">
        <v>51</v>
      </c>
      <c r="C23" s="49" t="s">
        <v>59</v>
      </c>
      <c r="D23" s="49">
        <v>0</v>
      </c>
      <c r="E23" s="49">
        <v>0</v>
      </c>
      <c r="F23" s="49">
        <f>E23-D23</f>
        <v>0</v>
      </c>
      <c r="G23" s="50">
        <f>IF(D23=0,0,ABS(F23/D23))</f>
        <v>0</v>
      </c>
      <c r="H23" s="49">
        <v>0</v>
      </c>
      <c r="I23" s="49">
        <v>0</v>
      </c>
      <c r="J23" s="51" t="str">
        <f>IF(H23=0,"No plan at start",I23/H23)</f>
        <v>No plan at start</v>
      </c>
      <c r="K23" s="52">
        <f>H23-I23</f>
        <v>0</v>
      </c>
      <c r="L23" s="49">
        <v>0</v>
      </c>
      <c r="M23" s="49">
        <f>I23+L23</f>
        <v>0</v>
      </c>
      <c r="N23" s="49">
        <f>M23-H23</f>
        <v>0</v>
      </c>
      <c r="O23" s="50" t="str">
        <f>IF(H23=0,"No plan at start",M23/H23)</f>
        <v>No plan at start</v>
      </c>
      <c r="P23" s="53"/>
      <c r="Q23" s="54"/>
      <c r="R23" s="55"/>
      <c r="S23" s="55"/>
    </row>
    <row r="24" spans="1:19" s="10" customFormat="1" outlineLevel="1" collapsed="1" x14ac:dyDescent="0.2">
      <c r="A24" s="11"/>
      <c r="B24" s="56" t="s">
        <v>98</v>
      </c>
      <c r="C24" s="49"/>
      <c r="D24" s="49">
        <f>SUBTOTAL(9,D16:D23)</f>
        <v>0</v>
      </c>
      <c r="E24" s="49">
        <f>SUBTOTAL(9,E16:E23)</f>
        <v>0</v>
      </c>
      <c r="F24" s="49">
        <f>SUBTOTAL(9,F16:F23)</f>
        <v>0</v>
      </c>
      <c r="G24" s="50">
        <f>IF(D24=0,0,ABS(F24/D24))</f>
        <v>0</v>
      </c>
      <c r="H24" s="49">
        <f>SUBTOTAL(9,H16:H23)</f>
        <v>4336</v>
      </c>
      <c r="I24" s="49">
        <f>SUBTOTAL(9,I16:I23)</f>
        <v>6724.5</v>
      </c>
      <c r="J24" s="51">
        <f>IF(H24=0,"No plan at start",I24/H24)</f>
        <v>1.5508533210332103</v>
      </c>
      <c r="K24" s="52">
        <f>SUBTOTAL(9,K16:K23)</f>
        <v>-2388.5</v>
      </c>
      <c r="L24" s="49">
        <f>SUBTOTAL(9,L16:L23)</f>
        <v>0</v>
      </c>
      <c r="M24" s="49">
        <f>SUBTOTAL(9,M16:M23)</f>
        <v>6724.5</v>
      </c>
      <c r="N24" s="49">
        <f>SUBTOTAL(9,N16:N23)</f>
        <v>2388.5</v>
      </c>
      <c r="O24" s="50">
        <f>IF(H24=0,"No plan at start",M24/H24)</f>
        <v>1.5508533210332103</v>
      </c>
      <c r="P24" s="53"/>
      <c r="Q24" s="54"/>
      <c r="R24" s="55"/>
      <c r="S24" s="55"/>
    </row>
    <row r="25" spans="1:19" s="10" customFormat="1" hidden="1" outlineLevel="2" x14ac:dyDescent="0.2">
      <c r="A25" s="11"/>
      <c r="B25" s="49" t="s">
        <v>60</v>
      </c>
      <c r="C25" s="49" t="s">
        <v>52</v>
      </c>
      <c r="D25" s="49">
        <v>0</v>
      </c>
      <c r="E25" s="49">
        <v>0</v>
      </c>
      <c r="F25" s="49">
        <f>E25-D25</f>
        <v>0</v>
      </c>
      <c r="G25" s="50">
        <f>IF(D25=0,0,ABS(F25/D25))</f>
        <v>0</v>
      </c>
      <c r="H25" s="49">
        <v>0</v>
      </c>
      <c r="I25" s="49">
        <v>0</v>
      </c>
      <c r="J25" s="51" t="str">
        <f>IF(H25=0,"No plan at start",I25/H25)</f>
        <v>No plan at start</v>
      </c>
      <c r="K25" s="52">
        <f>H25-I25</f>
        <v>0</v>
      </c>
      <c r="L25" s="49">
        <v>0</v>
      </c>
      <c r="M25" s="49">
        <f>I25+L25</f>
        <v>0</v>
      </c>
      <c r="N25" s="49">
        <f>M25-H25</f>
        <v>0</v>
      </c>
      <c r="O25" s="50" t="str">
        <f>IF(H25=0,"No plan at start",M25/H25)</f>
        <v>No plan at start</v>
      </c>
      <c r="P25" s="53"/>
      <c r="Q25" s="54"/>
      <c r="R25" s="55"/>
      <c r="S25" s="55"/>
    </row>
    <row r="26" spans="1:19" s="10" customFormat="1" hidden="1" outlineLevel="2" x14ac:dyDescent="0.2">
      <c r="A26" s="11"/>
      <c r="B26" s="49" t="s">
        <v>60</v>
      </c>
      <c r="C26" s="49" t="s">
        <v>53</v>
      </c>
      <c r="D26" s="49">
        <v>0</v>
      </c>
      <c r="E26" s="49">
        <v>0</v>
      </c>
      <c r="F26" s="49">
        <f>E26-D26</f>
        <v>0</v>
      </c>
      <c r="G26" s="50">
        <f>IF(D26=0,0,ABS(F26/D26))</f>
        <v>0</v>
      </c>
      <c r="H26" s="49">
        <v>0</v>
      </c>
      <c r="I26" s="49">
        <v>0</v>
      </c>
      <c r="J26" s="51" t="str">
        <f>IF(H26=0,"No plan at start",I26/H26)</f>
        <v>No plan at start</v>
      </c>
      <c r="K26" s="52">
        <f>H26-I26</f>
        <v>0</v>
      </c>
      <c r="L26" s="49">
        <v>0</v>
      </c>
      <c r="M26" s="49">
        <f>I26+L26</f>
        <v>0</v>
      </c>
      <c r="N26" s="49">
        <f>M26-H26</f>
        <v>0</v>
      </c>
      <c r="O26" s="50" t="str">
        <f>IF(H26=0,"No plan at start",M26/H26)</f>
        <v>No plan at start</v>
      </c>
      <c r="P26" s="53"/>
      <c r="Q26" s="54"/>
      <c r="R26" s="55"/>
      <c r="S26" s="55"/>
    </row>
    <row r="27" spans="1:19" s="10" customFormat="1" hidden="1" outlineLevel="2" x14ac:dyDescent="0.2">
      <c r="A27" s="11"/>
      <c r="B27" s="49" t="s">
        <v>60</v>
      </c>
      <c r="C27" s="49" t="s">
        <v>54</v>
      </c>
      <c r="D27" s="49">
        <v>0</v>
      </c>
      <c r="E27" s="49">
        <v>0</v>
      </c>
      <c r="F27" s="49">
        <f>E27-D27</f>
        <v>0</v>
      </c>
      <c r="G27" s="50">
        <f>IF(D27=0,0,ABS(F27/D27))</f>
        <v>0</v>
      </c>
      <c r="H27" s="49">
        <v>0</v>
      </c>
      <c r="I27" s="49">
        <v>0</v>
      </c>
      <c r="J27" s="51" t="str">
        <f>IF(H27=0,"No plan at start",I27/H27)</f>
        <v>No plan at start</v>
      </c>
      <c r="K27" s="52">
        <f>H27-I27</f>
        <v>0</v>
      </c>
      <c r="L27" s="49">
        <v>0</v>
      </c>
      <c r="M27" s="49">
        <f>I27+L27</f>
        <v>0</v>
      </c>
      <c r="N27" s="49">
        <f>M27-H27</f>
        <v>0</v>
      </c>
      <c r="O27" s="50" t="str">
        <f>IF(H27=0,"No plan at start",M27/H27)</f>
        <v>No plan at start</v>
      </c>
      <c r="P27" s="53"/>
      <c r="Q27" s="54"/>
      <c r="R27" s="55"/>
      <c r="S27" s="55"/>
    </row>
    <row r="28" spans="1:19" s="10" customFormat="1" hidden="1" outlineLevel="2" x14ac:dyDescent="0.2">
      <c r="A28" s="11"/>
      <c r="B28" s="49" t="s">
        <v>60</v>
      </c>
      <c r="C28" s="49" t="s">
        <v>55</v>
      </c>
      <c r="D28" s="49">
        <v>0</v>
      </c>
      <c r="E28" s="49">
        <v>0</v>
      </c>
      <c r="F28" s="49">
        <f>E28-D28</f>
        <v>0</v>
      </c>
      <c r="G28" s="50">
        <f>IF(D28=0,0,ABS(F28/D28))</f>
        <v>0</v>
      </c>
      <c r="H28" s="49">
        <v>0</v>
      </c>
      <c r="I28" s="49">
        <v>0</v>
      </c>
      <c r="J28" s="51" t="str">
        <f>IF(H28=0,"No plan at start",I28/H28)</f>
        <v>No plan at start</v>
      </c>
      <c r="K28" s="52">
        <f>H28-I28</f>
        <v>0</v>
      </c>
      <c r="L28" s="49">
        <v>0</v>
      </c>
      <c r="M28" s="49">
        <f>I28+L28</f>
        <v>0</v>
      </c>
      <c r="N28" s="49">
        <f>M28-H28</f>
        <v>0</v>
      </c>
      <c r="O28" s="50" t="str">
        <f>IF(H28=0,"No plan at start",M28/H28)</f>
        <v>No plan at start</v>
      </c>
      <c r="P28" s="53"/>
      <c r="Q28" s="54"/>
      <c r="R28" s="55"/>
      <c r="S28" s="55"/>
    </row>
    <row r="29" spans="1:19" s="10" customFormat="1" hidden="1" outlineLevel="2" x14ac:dyDescent="0.2">
      <c r="A29" s="11"/>
      <c r="B29" s="49" t="s">
        <v>60</v>
      </c>
      <c r="C29" s="49" t="s">
        <v>56</v>
      </c>
      <c r="D29" s="49">
        <v>0</v>
      </c>
      <c r="E29" s="49">
        <v>0</v>
      </c>
      <c r="F29" s="49">
        <f>E29-D29</f>
        <v>0</v>
      </c>
      <c r="G29" s="50">
        <f>IF(D29=0,0,ABS(F29/D29))</f>
        <v>0</v>
      </c>
      <c r="H29" s="49">
        <v>0</v>
      </c>
      <c r="I29" s="49">
        <v>0</v>
      </c>
      <c r="J29" s="51" t="str">
        <f>IF(H29=0,"No plan at start",I29/H29)</f>
        <v>No plan at start</v>
      </c>
      <c r="K29" s="52">
        <f>H29-I29</f>
        <v>0</v>
      </c>
      <c r="L29" s="49">
        <v>0</v>
      </c>
      <c r="M29" s="49">
        <f>I29+L29</f>
        <v>0</v>
      </c>
      <c r="N29" s="49">
        <f>M29-H29</f>
        <v>0</v>
      </c>
      <c r="O29" s="50" t="str">
        <f>IF(H29=0,"No plan at start",M29/H29)</f>
        <v>No plan at start</v>
      </c>
      <c r="P29" s="53"/>
      <c r="Q29" s="54"/>
      <c r="R29" s="55"/>
      <c r="S29" s="55"/>
    </row>
    <row r="30" spans="1:19" s="10" customFormat="1" hidden="1" outlineLevel="2" x14ac:dyDescent="0.2">
      <c r="A30" s="11"/>
      <c r="B30" s="49" t="s">
        <v>60</v>
      </c>
      <c r="C30" s="49" t="s">
        <v>57</v>
      </c>
      <c r="D30" s="49">
        <v>0</v>
      </c>
      <c r="E30" s="49">
        <v>0</v>
      </c>
      <c r="F30" s="49">
        <f>E30-D30</f>
        <v>0</v>
      </c>
      <c r="G30" s="50">
        <f>IF(D30=0,0,ABS(F30/D30))</f>
        <v>0</v>
      </c>
      <c r="H30" s="49">
        <v>0</v>
      </c>
      <c r="I30" s="49">
        <v>0</v>
      </c>
      <c r="J30" s="51" t="str">
        <f>IF(H30=0,"No plan at start",I30/H30)</f>
        <v>No plan at start</v>
      </c>
      <c r="K30" s="52">
        <f>H30-I30</f>
        <v>0</v>
      </c>
      <c r="L30" s="49">
        <v>0</v>
      </c>
      <c r="M30" s="49">
        <f>I30+L30</f>
        <v>0</v>
      </c>
      <c r="N30" s="49">
        <f>M30-H30</f>
        <v>0</v>
      </c>
      <c r="O30" s="50" t="str">
        <f>IF(H30=0,"No plan at start",M30/H30)</f>
        <v>No plan at start</v>
      </c>
      <c r="P30" s="53"/>
      <c r="Q30" s="54"/>
      <c r="R30" s="55"/>
      <c r="S30" s="55"/>
    </row>
    <row r="31" spans="1:19" s="10" customFormat="1" hidden="1" outlineLevel="2" x14ac:dyDescent="0.2">
      <c r="A31" s="11"/>
      <c r="B31" s="49" t="s">
        <v>60</v>
      </c>
      <c r="C31" s="49" t="s">
        <v>58</v>
      </c>
      <c r="D31" s="49">
        <v>0</v>
      </c>
      <c r="E31" s="49">
        <v>0</v>
      </c>
      <c r="F31" s="49">
        <f>E31-D31</f>
        <v>0</v>
      </c>
      <c r="G31" s="50">
        <f>IF(D31=0,0,ABS(F31/D31))</f>
        <v>0</v>
      </c>
      <c r="H31" s="49">
        <v>0</v>
      </c>
      <c r="I31" s="49">
        <v>0</v>
      </c>
      <c r="J31" s="51" t="str">
        <f>IF(H31=0,"No plan at start",I31/H31)</f>
        <v>No plan at start</v>
      </c>
      <c r="K31" s="52">
        <f>H31-I31</f>
        <v>0</v>
      </c>
      <c r="L31" s="49">
        <v>0</v>
      </c>
      <c r="M31" s="49">
        <f>I31+L31</f>
        <v>0</v>
      </c>
      <c r="N31" s="49">
        <f>M31-H31</f>
        <v>0</v>
      </c>
      <c r="O31" s="50" t="str">
        <f>IF(H31=0,"No plan at start",M31/H31)</f>
        <v>No plan at start</v>
      </c>
      <c r="P31" s="53"/>
      <c r="Q31" s="54"/>
      <c r="R31" s="55"/>
      <c r="S31" s="55"/>
    </row>
    <row r="32" spans="1:19" s="10" customFormat="1" hidden="1" outlineLevel="2" x14ac:dyDescent="0.2">
      <c r="A32" s="11"/>
      <c r="B32" s="49" t="s">
        <v>60</v>
      </c>
      <c r="C32" s="49" t="s">
        <v>59</v>
      </c>
      <c r="D32" s="49">
        <v>0</v>
      </c>
      <c r="E32" s="49">
        <v>0</v>
      </c>
      <c r="F32" s="49">
        <f>E32-D32</f>
        <v>0</v>
      </c>
      <c r="G32" s="50">
        <f>IF(D32=0,0,ABS(F32/D32))</f>
        <v>0</v>
      </c>
      <c r="H32" s="49">
        <v>0</v>
      </c>
      <c r="I32" s="49">
        <v>0</v>
      </c>
      <c r="J32" s="51" t="str">
        <f>IF(H32=0,"No plan at start",I32/H32)</f>
        <v>No plan at start</v>
      </c>
      <c r="K32" s="52">
        <f>H32-I32</f>
        <v>0</v>
      </c>
      <c r="L32" s="49">
        <v>0</v>
      </c>
      <c r="M32" s="49">
        <f>I32+L32</f>
        <v>0</v>
      </c>
      <c r="N32" s="49">
        <f>M32-H32</f>
        <v>0</v>
      </c>
      <c r="O32" s="50" t="str">
        <f>IF(H32=0,"No plan at start",M32/H32)</f>
        <v>No plan at start</v>
      </c>
      <c r="P32" s="53"/>
      <c r="Q32" s="54"/>
      <c r="R32" s="55"/>
      <c r="S32" s="55"/>
    </row>
    <row r="33" spans="1:19" s="10" customFormat="1" outlineLevel="1" collapsed="1" x14ac:dyDescent="0.2">
      <c r="A33" s="11"/>
      <c r="B33" s="56" t="s">
        <v>99</v>
      </c>
      <c r="C33" s="49"/>
      <c r="D33" s="49">
        <f>SUBTOTAL(9,D25:D32)</f>
        <v>0</v>
      </c>
      <c r="E33" s="49">
        <f>SUBTOTAL(9,E25:E32)</f>
        <v>0</v>
      </c>
      <c r="F33" s="49">
        <f>SUBTOTAL(9,F25:F32)</f>
        <v>0</v>
      </c>
      <c r="G33" s="50">
        <f>IF(D33=0,0,ABS(F33/D33))</f>
        <v>0</v>
      </c>
      <c r="H33" s="49">
        <f>SUBTOTAL(9,H25:H32)</f>
        <v>0</v>
      </c>
      <c r="I33" s="49">
        <f>SUBTOTAL(9,I25:I32)</f>
        <v>0</v>
      </c>
      <c r="J33" s="51" t="str">
        <f>IF(H33=0,"No plan at start",I33/H33)</f>
        <v>No plan at start</v>
      </c>
      <c r="K33" s="52">
        <f>SUBTOTAL(9,K25:K32)</f>
        <v>0</v>
      </c>
      <c r="L33" s="49">
        <f>SUBTOTAL(9,L25:L32)</f>
        <v>0</v>
      </c>
      <c r="M33" s="49">
        <f>SUBTOTAL(9,M25:M32)</f>
        <v>0</v>
      </c>
      <c r="N33" s="49">
        <f>SUBTOTAL(9,N25:N32)</f>
        <v>0</v>
      </c>
      <c r="O33" s="50" t="str">
        <f>IF(H33=0,"No plan at start",M33/H33)</f>
        <v>No plan at start</v>
      </c>
      <c r="P33" s="53"/>
      <c r="Q33" s="54"/>
      <c r="R33" s="55"/>
      <c r="S33" s="55"/>
    </row>
    <row r="34" spans="1:19" s="10" customFormat="1" hidden="1" outlineLevel="2" x14ac:dyDescent="0.2">
      <c r="A34" s="11"/>
      <c r="B34" s="49" t="s">
        <v>61</v>
      </c>
      <c r="C34" s="49" t="s">
        <v>52</v>
      </c>
      <c r="D34" s="49">
        <v>0</v>
      </c>
      <c r="E34" s="49">
        <v>0</v>
      </c>
      <c r="F34" s="49">
        <f>E34-D34</f>
        <v>0</v>
      </c>
      <c r="G34" s="50">
        <f>IF(D34=0,0,ABS(F34/D34))</f>
        <v>0</v>
      </c>
      <c r="H34" s="49">
        <v>0</v>
      </c>
      <c r="I34" s="49">
        <v>0</v>
      </c>
      <c r="J34" s="51" t="str">
        <f>IF(H34=0,"No plan at start",I34/H34)</f>
        <v>No plan at start</v>
      </c>
      <c r="K34" s="52">
        <f>H34-I34</f>
        <v>0</v>
      </c>
      <c r="L34" s="49">
        <v>0</v>
      </c>
      <c r="M34" s="49">
        <f>I34+L34</f>
        <v>0</v>
      </c>
      <c r="N34" s="49">
        <f>M34-H34</f>
        <v>0</v>
      </c>
      <c r="O34" s="50" t="str">
        <f>IF(H34=0,"No plan at start",M34/H34)</f>
        <v>No plan at start</v>
      </c>
      <c r="P34" s="53"/>
      <c r="Q34" s="54"/>
      <c r="R34" s="55"/>
      <c r="S34" s="55"/>
    </row>
    <row r="35" spans="1:19" s="10" customFormat="1" hidden="1" outlineLevel="2" x14ac:dyDescent="0.2">
      <c r="A35" s="11"/>
      <c r="B35" s="49" t="s">
        <v>61</v>
      </c>
      <c r="C35" s="49" t="s">
        <v>53</v>
      </c>
      <c r="D35" s="49">
        <v>0</v>
      </c>
      <c r="E35" s="49">
        <v>0</v>
      </c>
      <c r="F35" s="49">
        <f>E35-D35</f>
        <v>0</v>
      </c>
      <c r="G35" s="50">
        <f>IF(D35=0,0,ABS(F35/D35))</f>
        <v>0</v>
      </c>
      <c r="H35" s="49">
        <v>0</v>
      </c>
      <c r="I35" s="49">
        <v>0</v>
      </c>
      <c r="J35" s="51" t="str">
        <f>IF(H35=0,"No plan at start",I35/H35)</f>
        <v>No plan at start</v>
      </c>
      <c r="K35" s="52">
        <f>H35-I35</f>
        <v>0</v>
      </c>
      <c r="L35" s="49">
        <v>0</v>
      </c>
      <c r="M35" s="49">
        <f>I35+L35</f>
        <v>0</v>
      </c>
      <c r="N35" s="49">
        <f>M35-H35</f>
        <v>0</v>
      </c>
      <c r="O35" s="50" t="str">
        <f>IF(H35=0,"No plan at start",M35/H35)</f>
        <v>No plan at start</v>
      </c>
      <c r="P35" s="53"/>
      <c r="Q35" s="54"/>
      <c r="R35" s="55"/>
      <c r="S35" s="55"/>
    </row>
    <row r="36" spans="1:19" s="10" customFormat="1" hidden="1" outlineLevel="2" x14ac:dyDescent="0.2">
      <c r="A36" s="11"/>
      <c r="B36" s="49" t="s">
        <v>61</v>
      </c>
      <c r="C36" s="49" t="s">
        <v>54</v>
      </c>
      <c r="D36" s="49">
        <v>0</v>
      </c>
      <c r="E36" s="49">
        <v>0</v>
      </c>
      <c r="F36" s="49">
        <f>E36-D36</f>
        <v>0</v>
      </c>
      <c r="G36" s="50">
        <f>IF(D36=0,0,ABS(F36/D36))</f>
        <v>0</v>
      </c>
      <c r="H36" s="49">
        <v>0</v>
      </c>
      <c r="I36" s="49">
        <v>0</v>
      </c>
      <c r="J36" s="51" t="str">
        <f>IF(H36=0,"No plan at start",I36/H36)</f>
        <v>No plan at start</v>
      </c>
      <c r="K36" s="52">
        <f>H36-I36</f>
        <v>0</v>
      </c>
      <c r="L36" s="49">
        <v>0</v>
      </c>
      <c r="M36" s="49">
        <f>I36+L36</f>
        <v>0</v>
      </c>
      <c r="N36" s="49">
        <f>M36-H36</f>
        <v>0</v>
      </c>
      <c r="O36" s="50" t="str">
        <f>IF(H36=0,"No plan at start",M36/H36)</f>
        <v>No plan at start</v>
      </c>
      <c r="P36" s="53"/>
      <c r="Q36" s="54"/>
      <c r="R36" s="55"/>
      <c r="S36" s="55"/>
    </row>
    <row r="37" spans="1:19" s="10" customFormat="1" hidden="1" outlineLevel="2" x14ac:dyDescent="0.2">
      <c r="A37" s="11"/>
      <c r="B37" s="49" t="s">
        <v>61</v>
      </c>
      <c r="C37" s="49" t="s">
        <v>55</v>
      </c>
      <c r="D37" s="49">
        <v>0</v>
      </c>
      <c r="E37" s="49">
        <v>0</v>
      </c>
      <c r="F37" s="49">
        <f>E37-D37</f>
        <v>0</v>
      </c>
      <c r="G37" s="50">
        <f>IF(D37=0,0,ABS(F37/D37))</f>
        <v>0</v>
      </c>
      <c r="H37" s="49">
        <v>0</v>
      </c>
      <c r="I37" s="49">
        <v>0</v>
      </c>
      <c r="J37" s="51" t="str">
        <f>IF(H37=0,"No plan at start",I37/H37)</f>
        <v>No plan at start</v>
      </c>
      <c r="K37" s="52">
        <f>H37-I37</f>
        <v>0</v>
      </c>
      <c r="L37" s="49">
        <v>0</v>
      </c>
      <c r="M37" s="49">
        <f>I37+L37</f>
        <v>0</v>
      </c>
      <c r="N37" s="49">
        <f>M37-H37</f>
        <v>0</v>
      </c>
      <c r="O37" s="50" t="str">
        <f>IF(H37=0,"No plan at start",M37/H37)</f>
        <v>No plan at start</v>
      </c>
      <c r="P37" s="53"/>
      <c r="Q37" s="54"/>
      <c r="R37" s="55"/>
      <c r="S37" s="55"/>
    </row>
    <row r="38" spans="1:19" s="10" customFormat="1" hidden="1" outlineLevel="2" x14ac:dyDescent="0.2">
      <c r="A38" s="11"/>
      <c r="B38" s="49" t="s">
        <v>61</v>
      </c>
      <c r="C38" s="49" t="s">
        <v>56</v>
      </c>
      <c r="D38" s="49">
        <v>0</v>
      </c>
      <c r="E38" s="49">
        <v>0</v>
      </c>
      <c r="F38" s="49">
        <f>E38-D38</f>
        <v>0</v>
      </c>
      <c r="G38" s="50">
        <f>IF(D38=0,0,ABS(F38/D38))</f>
        <v>0</v>
      </c>
      <c r="H38" s="49">
        <v>0</v>
      </c>
      <c r="I38" s="49">
        <v>0</v>
      </c>
      <c r="J38" s="51" t="str">
        <f>IF(H38=0,"No plan at start",I38/H38)</f>
        <v>No plan at start</v>
      </c>
      <c r="K38" s="52">
        <f>H38-I38</f>
        <v>0</v>
      </c>
      <c r="L38" s="49">
        <v>0</v>
      </c>
      <c r="M38" s="49">
        <f>I38+L38</f>
        <v>0</v>
      </c>
      <c r="N38" s="49">
        <f>M38-H38</f>
        <v>0</v>
      </c>
      <c r="O38" s="50" t="str">
        <f>IF(H38=0,"No plan at start",M38/H38)</f>
        <v>No plan at start</v>
      </c>
      <c r="P38" s="53"/>
      <c r="Q38" s="54"/>
      <c r="R38" s="55"/>
      <c r="S38" s="55"/>
    </row>
    <row r="39" spans="1:19" s="10" customFormat="1" hidden="1" outlineLevel="2" x14ac:dyDescent="0.2">
      <c r="A39" s="11"/>
      <c r="B39" s="49" t="s">
        <v>61</v>
      </c>
      <c r="C39" s="49" t="s">
        <v>57</v>
      </c>
      <c r="D39" s="49">
        <v>0</v>
      </c>
      <c r="E39" s="49">
        <v>0</v>
      </c>
      <c r="F39" s="49">
        <f>E39-D39</f>
        <v>0</v>
      </c>
      <c r="G39" s="50">
        <f>IF(D39=0,0,ABS(F39/D39))</f>
        <v>0</v>
      </c>
      <c r="H39" s="49">
        <v>0</v>
      </c>
      <c r="I39" s="49">
        <v>0</v>
      </c>
      <c r="J39" s="51" t="str">
        <f>IF(H39=0,"No plan at start",I39/H39)</f>
        <v>No plan at start</v>
      </c>
      <c r="K39" s="52">
        <f>H39-I39</f>
        <v>0</v>
      </c>
      <c r="L39" s="49">
        <v>0</v>
      </c>
      <c r="M39" s="49">
        <f>I39+L39</f>
        <v>0</v>
      </c>
      <c r="N39" s="49">
        <f>M39-H39</f>
        <v>0</v>
      </c>
      <c r="O39" s="50" t="str">
        <f>IF(H39=0,"No plan at start",M39/H39)</f>
        <v>No plan at start</v>
      </c>
      <c r="P39" s="53"/>
      <c r="Q39" s="54"/>
      <c r="R39" s="55"/>
      <c r="S39" s="55"/>
    </row>
    <row r="40" spans="1:19" s="10" customFormat="1" hidden="1" outlineLevel="2" x14ac:dyDescent="0.2">
      <c r="A40" s="11"/>
      <c r="B40" s="49" t="s">
        <v>61</v>
      </c>
      <c r="C40" s="49" t="s">
        <v>58</v>
      </c>
      <c r="D40" s="49">
        <v>0</v>
      </c>
      <c r="E40" s="49">
        <v>0</v>
      </c>
      <c r="F40" s="49">
        <f>E40-D40</f>
        <v>0</v>
      </c>
      <c r="G40" s="50">
        <f>IF(D40=0,0,ABS(F40/D40))</f>
        <v>0</v>
      </c>
      <c r="H40" s="49">
        <v>0</v>
      </c>
      <c r="I40" s="49">
        <v>217.5</v>
      </c>
      <c r="J40" s="51" t="str">
        <f>IF(H40=0,"No plan at start",I40/H40)</f>
        <v>No plan at start</v>
      </c>
      <c r="K40" s="52">
        <f>H40-I40</f>
        <v>-217.5</v>
      </c>
      <c r="L40" s="49">
        <v>0</v>
      </c>
      <c r="M40" s="49">
        <f>I40+L40</f>
        <v>217.5</v>
      </c>
      <c r="N40" s="49">
        <f>M40-H40</f>
        <v>217.5</v>
      </c>
      <c r="O40" s="50" t="str">
        <f>IF(H40=0,"No plan at start",M40/H40)</f>
        <v>No plan at start</v>
      </c>
      <c r="P40" s="53"/>
      <c r="Q40" s="54"/>
      <c r="R40" s="55"/>
      <c r="S40" s="55"/>
    </row>
    <row r="41" spans="1:19" s="10" customFormat="1" hidden="1" outlineLevel="2" x14ac:dyDescent="0.2">
      <c r="A41" s="11"/>
      <c r="B41" s="49" t="s">
        <v>61</v>
      </c>
      <c r="C41" s="49" t="s">
        <v>59</v>
      </c>
      <c r="D41" s="49">
        <v>0</v>
      </c>
      <c r="E41" s="49">
        <v>0</v>
      </c>
      <c r="F41" s="49">
        <f>E41-D41</f>
        <v>0</v>
      </c>
      <c r="G41" s="50">
        <f>IF(D41=0,0,ABS(F41/D41))</f>
        <v>0</v>
      </c>
      <c r="H41" s="49">
        <v>0</v>
      </c>
      <c r="I41" s="49">
        <v>0</v>
      </c>
      <c r="J41" s="51" t="str">
        <f>IF(H41=0,"No plan at start",I41/H41)</f>
        <v>No plan at start</v>
      </c>
      <c r="K41" s="52">
        <f>H41-I41</f>
        <v>0</v>
      </c>
      <c r="L41" s="49">
        <v>0</v>
      </c>
      <c r="M41" s="49">
        <f>I41+L41</f>
        <v>0</v>
      </c>
      <c r="N41" s="49">
        <f>M41-H41</f>
        <v>0</v>
      </c>
      <c r="O41" s="50" t="str">
        <f>IF(H41=0,"No plan at start",M41/H41)</f>
        <v>No plan at start</v>
      </c>
      <c r="P41" s="53"/>
      <c r="Q41" s="54"/>
      <c r="R41" s="55"/>
      <c r="S41" s="55"/>
    </row>
    <row r="42" spans="1:19" s="10" customFormat="1" outlineLevel="1" collapsed="1" x14ac:dyDescent="0.2">
      <c r="A42" s="11"/>
      <c r="B42" s="56" t="s">
        <v>100</v>
      </c>
      <c r="C42" s="49"/>
      <c r="D42" s="49">
        <f>SUBTOTAL(9,D34:D41)</f>
        <v>0</v>
      </c>
      <c r="E42" s="49">
        <f>SUBTOTAL(9,E34:E41)</f>
        <v>0</v>
      </c>
      <c r="F42" s="49">
        <f>SUBTOTAL(9,F34:F41)</f>
        <v>0</v>
      </c>
      <c r="G42" s="50">
        <f>IF(D42=0,0,ABS(F42/D42))</f>
        <v>0</v>
      </c>
      <c r="H42" s="49">
        <f>SUBTOTAL(9,H34:H41)</f>
        <v>0</v>
      </c>
      <c r="I42" s="49">
        <f>SUBTOTAL(9,I34:I41)</f>
        <v>217.5</v>
      </c>
      <c r="J42" s="51" t="str">
        <f>IF(H42=0,"No plan at start",I42/H42)</f>
        <v>No plan at start</v>
      </c>
      <c r="K42" s="52">
        <f>SUBTOTAL(9,K34:K41)</f>
        <v>-217.5</v>
      </c>
      <c r="L42" s="49">
        <f>SUBTOTAL(9,L34:L41)</f>
        <v>0</v>
      </c>
      <c r="M42" s="49">
        <f>SUBTOTAL(9,M34:M41)</f>
        <v>217.5</v>
      </c>
      <c r="N42" s="49">
        <f>SUBTOTAL(9,N34:N41)</f>
        <v>217.5</v>
      </c>
      <c r="O42" s="50" t="str">
        <f>IF(H42=0,"No plan at start",M42/H42)</f>
        <v>No plan at start</v>
      </c>
      <c r="P42" s="53"/>
      <c r="Q42" s="54"/>
      <c r="R42" s="55"/>
      <c r="S42" s="55"/>
    </row>
    <row r="43" spans="1:19" s="10" customFormat="1" hidden="1" outlineLevel="2" x14ac:dyDescent="0.2">
      <c r="A43" s="11"/>
      <c r="B43" s="49" t="s">
        <v>62</v>
      </c>
      <c r="C43" s="49" t="s">
        <v>52</v>
      </c>
      <c r="D43" s="49">
        <v>0</v>
      </c>
      <c r="E43" s="49">
        <v>0</v>
      </c>
      <c r="F43" s="49">
        <f>E43-D43</f>
        <v>0</v>
      </c>
      <c r="G43" s="50">
        <f>IF(D43=0,0,ABS(F43/D43))</f>
        <v>0</v>
      </c>
      <c r="H43" s="49">
        <v>0</v>
      </c>
      <c r="I43" s="49">
        <v>0</v>
      </c>
      <c r="J43" s="51" t="str">
        <f>IF(H43=0,"No plan at start",I43/H43)</f>
        <v>No plan at start</v>
      </c>
      <c r="K43" s="52">
        <f>H43-I43</f>
        <v>0</v>
      </c>
      <c r="L43" s="49">
        <v>0</v>
      </c>
      <c r="M43" s="49">
        <f>I43+L43</f>
        <v>0</v>
      </c>
      <c r="N43" s="49">
        <f>M43-H43</f>
        <v>0</v>
      </c>
      <c r="O43" s="50" t="str">
        <f>IF(H43=0,"No plan at start",M43/H43)</f>
        <v>No plan at start</v>
      </c>
      <c r="P43" s="53"/>
      <c r="Q43" s="54"/>
      <c r="R43" s="55"/>
      <c r="S43" s="55"/>
    </row>
    <row r="44" spans="1:19" s="10" customFormat="1" hidden="1" outlineLevel="2" x14ac:dyDescent="0.2">
      <c r="A44" s="11"/>
      <c r="B44" s="49" t="s">
        <v>62</v>
      </c>
      <c r="C44" s="49" t="s">
        <v>53</v>
      </c>
      <c r="D44" s="49">
        <v>0</v>
      </c>
      <c r="E44" s="49">
        <v>0</v>
      </c>
      <c r="F44" s="49">
        <f>E44-D44</f>
        <v>0</v>
      </c>
      <c r="G44" s="50">
        <f>IF(D44=0,0,ABS(F44/D44))</f>
        <v>0</v>
      </c>
      <c r="H44" s="49">
        <v>0</v>
      </c>
      <c r="I44" s="49">
        <v>0</v>
      </c>
      <c r="J44" s="51" t="str">
        <f>IF(H44=0,"No plan at start",I44/H44)</f>
        <v>No plan at start</v>
      </c>
      <c r="K44" s="52">
        <f>H44-I44</f>
        <v>0</v>
      </c>
      <c r="L44" s="49">
        <v>0</v>
      </c>
      <c r="M44" s="49">
        <f>I44+L44</f>
        <v>0</v>
      </c>
      <c r="N44" s="49">
        <f>M44-H44</f>
        <v>0</v>
      </c>
      <c r="O44" s="50" t="str">
        <f>IF(H44=0,"No plan at start",M44/H44)</f>
        <v>No plan at start</v>
      </c>
      <c r="P44" s="53"/>
      <c r="Q44" s="54"/>
      <c r="R44" s="55"/>
      <c r="S44" s="55"/>
    </row>
    <row r="45" spans="1:19" s="10" customFormat="1" hidden="1" outlineLevel="2" x14ac:dyDescent="0.2">
      <c r="A45" s="11"/>
      <c r="B45" s="49" t="s">
        <v>62</v>
      </c>
      <c r="C45" s="49" t="s">
        <v>54</v>
      </c>
      <c r="D45" s="49">
        <v>0</v>
      </c>
      <c r="E45" s="49">
        <v>0</v>
      </c>
      <c r="F45" s="49">
        <f>E45-D45</f>
        <v>0</v>
      </c>
      <c r="G45" s="50">
        <f>IF(D45=0,0,ABS(F45/D45))</f>
        <v>0</v>
      </c>
      <c r="H45" s="49">
        <v>0</v>
      </c>
      <c r="I45" s="49">
        <v>0</v>
      </c>
      <c r="J45" s="51" t="str">
        <f>IF(H45=0,"No plan at start",I45/H45)</f>
        <v>No plan at start</v>
      </c>
      <c r="K45" s="52">
        <f>H45-I45</f>
        <v>0</v>
      </c>
      <c r="L45" s="49">
        <v>0</v>
      </c>
      <c r="M45" s="49">
        <f>I45+L45</f>
        <v>0</v>
      </c>
      <c r="N45" s="49">
        <f>M45-H45</f>
        <v>0</v>
      </c>
      <c r="O45" s="50" t="str">
        <f>IF(H45=0,"No plan at start",M45/H45)</f>
        <v>No plan at start</v>
      </c>
      <c r="P45" s="53"/>
      <c r="Q45" s="54"/>
      <c r="R45" s="55"/>
      <c r="S45" s="55"/>
    </row>
    <row r="46" spans="1:19" s="10" customFormat="1" hidden="1" outlineLevel="2" x14ac:dyDescent="0.2">
      <c r="A46" s="11"/>
      <c r="B46" s="49" t="s">
        <v>62</v>
      </c>
      <c r="C46" s="49" t="s">
        <v>55</v>
      </c>
      <c r="D46" s="49">
        <v>0</v>
      </c>
      <c r="E46" s="49">
        <v>0</v>
      </c>
      <c r="F46" s="49">
        <f>E46-D46</f>
        <v>0</v>
      </c>
      <c r="G46" s="50">
        <f>IF(D46=0,0,ABS(F46/D46))</f>
        <v>0</v>
      </c>
      <c r="H46" s="49">
        <v>0</v>
      </c>
      <c r="I46" s="49">
        <v>0</v>
      </c>
      <c r="J46" s="51" t="str">
        <f>IF(H46=0,"No plan at start",I46/H46)</f>
        <v>No plan at start</v>
      </c>
      <c r="K46" s="52">
        <f>H46-I46</f>
        <v>0</v>
      </c>
      <c r="L46" s="49">
        <v>0</v>
      </c>
      <c r="M46" s="49">
        <f>I46+L46</f>
        <v>0</v>
      </c>
      <c r="N46" s="49">
        <f>M46-H46</f>
        <v>0</v>
      </c>
      <c r="O46" s="50" t="str">
        <f>IF(H46=0,"No plan at start",M46/H46)</f>
        <v>No plan at start</v>
      </c>
      <c r="P46" s="53"/>
      <c r="Q46" s="54"/>
      <c r="R46" s="55"/>
      <c r="S46" s="55"/>
    </row>
    <row r="47" spans="1:19" s="10" customFormat="1" hidden="1" outlineLevel="2" x14ac:dyDescent="0.2">
      <c r="A47" s="11"/>
      <c r="B47" s="49" t="s">
        <v>62</v>
      </c>
      <c r="C47" s="49" t="s">
        <v>56</v>
      </c>
      <c r="D47" s="49">
        <v>0</v>
      </c>
      <c r="E47" s="49">
        <v>0</v>
      </c>
      <c r="F47" s="49">
        <f>E47-D47</f>
        <v>0</v>
      </c>
      <c r="G47" s="50">
        <f>IF(D47=0,0,ABS(F47/D47))</f>
        <v>0</v>
      </c>
      <c r="H47" s="49">
        <v>0</v>
      </c>
      <c r="I47" s="49">
        <v>0</v>
      </c>
      <c r="J47" s="51" t="str">
        <f>IF(H47=0,"No plan at start",I47/H47)</f>
        <v>No plan at start</v>
      </c>
      <c r="K47" s="52">
        <f>H47-I47</f>
        <v>0</v>
      </c>
      <c r="L47" s="49">
        <v>0</v>
      </c>
      <c r="M47" s="49">
        <f>I47+L47</f>
        <v>0</v>
      </c>
      <c r="N47" s="49">
        <f>M47-H47</f>
        <v>0</v>
      </c>
      <c r="O47" s="50" t="str">
        <f>IF(H47=0,"No plan at start",M47/H47)</f>
        <v>No plan at start</v>
      </c>
      <c r="P47" s="53"/>
      <c r="Q47" s="54"/>
      <c r="R47" s="55"/>
      <c r="S47" s="55"/>
    </row>
    <row r="48" spans="1:19" s="10" customFormat="1" hidden="1" outlineLevel="2" x14ac:dyDescent="0.2">
      <c r="A48" s="11"/>
      <c r="B48" s="49" t="s">
        <v>62</v>
      </c>
      <c r="C48" s="49" t="s">
        <v>57</v>
      </c>
      <c r="D48" s="49">
        <v>0</v>
      </c>
      <c r="E48" s="49">
        <v>0</v>
      </c>
      <c r="F48" s="49">
        <f>E48-D48</f>
        <v>0</v>
      </c>
      <c r="G48" s="50">
        <f>IF(D48=0,0,ABS(F48/D48))</f>
        <v>0</v>
      </c>
      <c r="H48" s="49">
        <v>0</v>
      </c>
      <c r="I48" s="49">
        <v>0</v>
      </c>
      <c r="J48" s="51" t="str">
        <f>IF(H48=0,"No plan at start",I48/H48)</f>
        <v>No plan at start</v>
      </c>
      <c r="K48" s="52">
        <f>H48-I48</f>
        <v>0</v>
      </c>
      <c r="L48" s="49">
        <v>0</v>
      </c>
      <c r="M48" s="49">
        <f>I48+L48</f>
        <v>0</v>
      </c>
      <c r="N48" s="49">
        <f>M48-H48</f>
        <v>0</v>
      </c>
      <c r="O48" s="50" t="str">
        <f>IF(H48=0,"No plan at start",M48/H48)</f>
        <v>No plan at start</v>
      </c>
      <c r="P48" s="53"/>
      <c r="Q48" s="54"/>
      <c r="R48" s="55"/>
      <c r="S48" s="55"/>
    </row>
    <row r="49" spans="1:19" s="10" customFormat="1" hidden="1" outlineLevel="2" x14ac:dyDescent="0.2">
      <c r="A49" s="11"/>
      <c r="B49" s="49" t="s">
        <v>62</v>
      </c>
      <c r="C49" s="49" t="s">
        <v>58</v>
      </c>
      <c r="D49" s="49">
        <v>0</v>
      </c>
      <c r="E49" s="49">
        <v>0</v>
      </c>
      <c r="F49" s="49">
        <f>E49-D49</f>
        <v>0</v>
      </c>
      <c r="G49" s="50">
        <f>IF(D49=0,0,ABS(F49/D49))</f>
        <v>0</v>
      </c>
      <c r="H49" s="49">
        <v>0</v>
      </c>
      <c r="I49" s="49">
        <v>0</v>
      </c>
      <c r="J49" s="51" t="str">
        <f>IF(H49=0,"No plan at start",I49/H49)</f>
        <v>No plan at start</v>
      </c>
      <c r="K49" s="52">
        <f>H49-I49</f>
        <v>0</v>
      </c>
      <c r="L49" s="49">
        <v>0</v>
      </c>
      <c r="M49" s="49">
        <f>I49+L49</f>
        <v>0</v>
      </c>
      <c r="N49" s="49">
        <f>M49-H49</f>
        <v>0</v>
      </c>
      <c r="O49" s="50" t="str">
        <f>IF(H49=0,"No plan at start",M49/H49)</f>
        <v>No plan at start</v>
      </c>
      <c r="P49" s="53"/>
      <c r="Q49" s="54"/>
      <c r="R49" s="55"/>
      <c r="S49" s="55"/>
    </row>
    <row r="50" spans="1:19" s="10" customFormat="1" hidden="1" outlineLevel="2" x14ac:dyDescent="0.2">
      <c r="A50" s="11"/>
      <c r="B50" s="49" t="s">
        <v>62</v>
      </c>
      <c r="C50" s="49" t="s">
        <v>59</v>
      </c>
      <c r="D50" s="49">
        <v>0</v>
      </c>
      <c r="E50" s="49">
        <v>0</v>
      </c>
      <c r="F50" s="49">
        <f>E50-D50</f>
        <v>0</v>
      </c>
      <c r="G50" s="50">
        <f>IF(D50=0,0,ABS(F50/D50))</f>
        <v>0</v>
      </c>
      <c r="H50" s="49">
        <v>0</v>
      </c>
      <c r="I50" s="49">
        <v>0</v>
      </c>
      <c r="J50" s="51" t="str">
        <f>IF(H50=0,"No plan at start",I50/H50)</f>
        <v>No plan at start</v>
      </c>
      <c r="K50" s="52">
        <f>H50-I50</f>
        <v>0</v>
      </c>
      <c r="L50" s="49">
        <v>0</v>
      </c>
      <c r="M50" s="49">
        <f>I50+L50</f>
        <v>0</v>
      </c>
      <c r="N50" s="49">
        <f>M50-H50</f>
        <v>0</v>
      </c>
      <c r="O50" s="50" t="str">
        <f>IF(H50=0,"No plan at start",M50/H50)</f>
        <v>No plan at start</v>
      </c>
      <c r="P50" s="53"/>
      <c r="Q50" s="54"/>
      <c r="R50" s="55"/>
      <c r="S50" s="55"/>
    </row>
    <row r="51" spans="1:19" s="10" customFormat="1" outlineLevel="1" collapsed="1" x14ac:dyDescent="0.2">
      <c r="A51" s="11"/>
      <c r="B51" s="56" t="s">
        <v>101</v>
      </c>
      <c r="C51" s="49"/>
      <c r="D51" s="49">
        <f>SUBTOTAL(9,D43:D50)</f>
        <v>0</v>
      </c>
      <c r="E51" s="49">
        <f>SUBTOTAL(9,E43:E50)</f>
        <v>0</v>
      </c>
      <c r="F51" s="49">
        <f>SUBTOTAL(9,F43:F50)</f>
        <v>0</v>
      </c>
      <c r="G51" s="50">
        <f>IF(D51=0,0,ABS(F51/D51))</f>
        <v>0</v>
      </c>
      <c r="H51" s="49">
        <f>SUBTOTAL(9,H43:H50)</f>
        <v>0</v>
      </c>
      <c r="I51" s="49">
        <f>SUBTOTAL(9,I43:I50)</f>
        <v>0</v>
      </c>
      <c r="J51" s="51" t="str">
        <f>IF(H51=0,"No plan at start",I51/H51)</f>
        <v>No plan at start</v>
      </c>
      <c r="K51" s="52">
        <f>SUBTOTAL(9,K43:K50)</f>
        <v>0</v>
      </c>
      <c r="L51" s="49">
        <f>SUBTOTAL(9,L43:L50)</f>
        <v>0</v>
      </c>
      <c r="M51" s="49">
        <f>SUBTOTAL(9,M43:M50)</f>
        <v>0</v>
      </c>
      <c r="N51" s="49">
        <f>SUBTOTAL(9,N43:N50)</f>
        <v>0</v>
      </c>
      <c r="O51" s="50" t="str">
        <f>IF(H51=0,"No plan at start",M51/H51)</f>
        <v>No plan at start</v>
      </c>
      <c r="P51" s="53"/>
      <c r="Q51" s="54"/>
      <c r="R51" s="55"/>
      <c r="S51" s="55"/>
    </row>
    <row r="52" spans="1:19" s="10" customFormat="1" hidden="1" outlineLevel="2" x14ac:dyDescent="0.2">
      <c r="A52" s="11"/>
      <c r="B52" s="49" t="s">
        <v>63</v>
      </c>
      <c r="C52" s="49" t="s">
        <v>52</v>
      </c>
      <c r="D52" s="49">
        <v>0</v>
      </c>
      <c r="E52" s="49">
        <v>0</v>
      </c>
      <c r="F52" s="49">
        <f>E52-D52</f>
        <v>0</v>
      </c>
      <c r="G52" s="50">
        <f>IF(D52=0,0,ABS(F52/D52))</f>
        <v>0</v>
      </c>
      <c r="H52" s="49">
        <v>0</v>
      </c>
      <c r="I52" s="49">
        <v>6.5</v>
      </c>
      <c r="J52" s="51" t="str">
        <f>IF(H52=0,"No plan at start",I52/H52)</f>
        <v>No plan at start</v>
      </c>
      <c r="K52" s="52">
        <f>H52-I52</f>
        <v>-6.5</v>
      </c>
      <c r="L52" s="49">
        <v>0</v>
      </c>
      <c r="M52" s="49">
        <f>I52+L52</f>
        <v>6.5</v>
      </c>
      <c r="N52" s="49">
        <f>M52-H52</f>
        <v>6.5</v>
      </c>
      <c r="O52" s="50" t="str">
        <f>IF(H52=0,"No plan at start",M52/H52)</f>
        <v>No plan at start</v>
      </c>
      <c r="P52" s="53"/>
      <c r="Q52" s="54"/>
      <c r="R52" s="55"/>
      <c r="S52" s="55"/>
    </row>
    <row r="53" spans="1:19" s="10" customFormat="1" hidden="1" outlineLevel="2" x14ac:dyDescent="0.2">
      <c r="A53" s="11"/>
      <c r="B53" s="49" t="s">
        <v>63</v>
      </c>
      <c r="C53" s="49" t="s">
        <v>53</v>
      </c>
      <c r="D53" s="49">
        <v>0</v>
      </c>
      <c r="E53" s="49">
        <v>0</v>
      </c>
      <c r="F53" s="49">
        <f>E53-D53</f>
        <v>0</v>
      </c>
      <c r="G53" s="50">
        <f>IF(D53=0,0,ABS(F53/D53))</f>
        <v>0</v>
      </c>
      <c r="H53" s="49">
        <v>0</v>
      </c>
      <c r="I53" s="49">
        <v>0</v>
      </c>
      <c r="J53" s="51" t="str">
        <f>IF(H53=0,"No plan at start",I53/H53)</f>
        <v>No plan at start</v>
      </c>
      <c r="K53" s="52">
        <f>H53-I53</f>
        <v>0</v>
      </c>
      <c r="L53" s="49">
        <v>0</v>
      </c>
      <c r="M53" s="49">
        <f>I53+L53</f>
        <v>0</v>
      </c>
      <c r="N53" s="49">
        <f>M53-H53</f>
        <v>0</v>
      </c>
      <c r="O53" s="50" t="str">
        <f>IF(H53=0,"No plan at start",M53/H53)</f>
        <v>No plan at start</v>
      </c>
      <c r="P53" s="53"/>
      <c r="Q53" s="54"/>
      <c r="R53" s="55"/>
      <c r="S53" s="55"/>
    </row>
    <row r="54" spans="1:19" s="10" customFormat="1" hidden="1" outlineLevel="2" x14ac:dyDescent="0.2">
      <c r="A54" s="11"/>
      <c r="B54" s="49" t="s">
        <v>63</v>
      </c>
      <c r="C54" s="49" t="s">
        <v>54</v>
      </c>
      <c r="D54" s="49">
        <v>1402.0000000000002</v>
      </c>
      <c r="E54" s="49">
        <v>64</v>
      </c>
      <c r="F54" s="49">
        <f>E54-D54</f>
        <v>-1338.0000000000002</v>
      </c>
      <c r="G54" s="50">
        <f>IF(D54=0,0,ABS(F54/D54))</f>
        <v>0.95435092724679027</v>
      </c>
      <c r="H54" s="49">
        <v>6801.6</v>
      </c>
      <c r="I54" s="49">
        <v>3699.75</v>
      </c>
      <c r="J54" s="51">
        <f>IF(H54=0,"No plan at start",I54/H54)</f>
        <v>0.54395289343683839</v>
      </c>
      <c r="K54" s="52">
        <f>H54-I54</f>
        <v>3101.8500000000004</v>
      </c>
      <c r="L54" s="49">
        <v>2804.0000000000005</v>
      </c>
      <c r="M54" s="49">
        <f>I54+L54</f>
        <v>6503.75</v>
      </c>
      <c r="N54" s="49">
        <f>M54-H54</f>
        <v>-297.85000000000036</v>
      </c>
      <c r="O54" s="50">
        <f>IF(H54=0,"No plan at start",M54/H54)</f>
        <v>0.95620883321571393</v>
      </c>
      <c r="P54" s="53"/>
      <c r="Q54" s="54"/>
      <c r="R54" s="55"/>
      <c r="S54" s="55"/>
    </row>
    <row r="55" spans="1:19" s="10" customFormat="1" hidden="1" outlineLevel="2" x14ac:dyDescent="0.2">
      <c r="A55" s="11"/>
      <c r="B55" s="49" t="s">
        <v>63</v>
      </c>
      <c r="C55" s="49" t="s">
        <v>55</v>
      </c>
      <c r="D55" s="49">
        <v>0</v>
      </c>
      <c r="E55" s="49">
        <v>0</v>
      </c>
      <c r="F55" s="49">
        <f>E55-D55</f>
        <v>0</v>
      </c>
      <c r="G55" s="50">
        <f>IF(D55=0,0,ABS(F55/D55))</f>
        <v>0</v>
      </c>
      <c r="H55" s="49">
        <v>0</v>
      </c>
      <c r="I55" s="49">
        <v>0</v>
      </c>
      <c r="J55" s="51" t="str">
        <f>IF(H55=0,"No plan at start",I55/H55)</f>
        <v>No plan at start</v>
      </c>
      <c r="K55" s="52">
        <f>H55-I55</f>
        <v>0</v>
      </c>
      <c r="L55" s="49">
        <v>0</v>
      </c>
      <c r="M55" s="49">
        <f>I55+L55</f>
        <v>0</v>
      </c>
      <c r="N55" s="49">
        <f>M55-H55</f>
        <v>0</v>
      </c>
      <c r="O55" s="50" t="str">
        <f>IF(H55=0,"No plan at start",M55/H55)</f>
        <v>No plan at start</v>
      </c>
      <c r="P55" s="53"/>
      <c r="Q55" s="54"/>
      <c r="R55" s="55"/>
      <c r="S55" s="55"/>
    </row>
    <row r="56" spans="1:19" s="10" customFormat="1" hidden="1" outlineLevel="2" x14ac:dyDescent="0.2">
      <c r="A56" s="11"/>
      <c r="B56" s="49" t="s">
        <v>63</v>
      </c>
      <c r="C56" s="49" t="s">
        <v>56</v>
      </c>
      <c r="D56" s="49">
        <v>0</v>
      </c>
      <c r="E56" s="49">
        <v>0</v>
      </c>
      <c r="F56" s="49">
        <f>E56-D56</f>
        <v>0</v>
      </c>
      <c r="G56" s="50">
        <f>IF(D56=0,0,ABS(F56/D56))</f>
        <v>0</v>
      </c>
      <c r="H56" s="49">
        <v>0</v>
      </c>
      <c r="I56" s="49">
        <v>0</v>
      </c>
      <c r="J56" s="51" t="str">
        <f>IF(H56=0,"No plan at start",I56/H56)</f>
        <v>No plan at start</v>
      </c>
      <c r="K56" s="52">
        <f>H56-I56</f>
        <v>0</v>
      </c>
      <c r="L56" s="49">
        <v>0</v>
      </c>
      <c r="M56" s="49">
        <f>I56+L56</f>
        <v>0</v>
      </c>
      <c r="N56" s="49">
        <f>M56-H56</f>
        <v>0</v>
      </c>
      <c r="O56" s="50" t="str">
        <f>IF(H56=0,"No plan at start",M56/H56)</f>
        <v>No plan at start</v>
      </c>
      <c r="P56" s="53"/>
      <c r="Q56" s="54"/>
      <c r="R56" s="55"/>
      <c r="S56" s="55"/>
    </row>
    <row r="57" spans="1:19" s="10" customFormat="1" hidden="1" outlineLevel="2" x14ac:dyDescent="0.2">
      <c r="A57" s="11"/>
      <c r="B57" s="49" t="s">
        <v>63</v>
      </c>
      <c r="C57" s="49" t="s">
        <v>57</v>
      </c>
      <c r="D57" s="49">
        <v>0</v>
      </c>
      <c r="E57" s="49">
        <v>0</v>
      </c>
      <c r="F57" s="49">
        <f>E57-D57</f>
        <v>0</v>
      </c>
      <c r="G57" s="50">
        <f>IF(D57=0,0,ABS(F57/D57))</f>
        <v>0</v>
      </c>
      <c r="H57" s="49">
        <v>0</v>
      </c>
      <c r="I57" s="49">
        <v>0</v>
      </c>
      <c r="J57" s="51" t="str">
        <f>IF(H57=0,"No plan at start",I57/H57)</f>
        <v>No plan at start</v>
      </c>
      <c r="K57" s="52">
        <f>H57-I57</f>
        <v>0</v>
      </c>
      <c r="L57" s="49">
        <v>0</v>
      </c>
      <c r="M57" s="49">
        <f>I57+L57</f>
        <v>0</v>
      </c>
      <c r="N57" s="49">
        <f>M57-H57</f>
        <v>0</v>
      </c>
      <c r="O57" s="50" t="str">
        <f>IF(H57=0,"No plan at start",M57/H57)</f>
        <v>No plan at start</v>
      </c>
      <c r="P57" s="53"/>
      <c r="Q57" s="54"/>
      <c r="R57" s="55"/>
      <c r="S57" s="55"/>
    </row>
    <row r="58" spans="1:19" s="10" customFormat="1" hidden="1" outlineLevel="2" x14ac:dyDescent="0.2">
      <c r="A58" s="11"/>
      <c r="B58" s="49" t="s">
        <v>63</v>
      </c>
      <c r="C58" s="49" t="s">
        <v>58</v>
      </c>
      <c r="D58" s="49">
        <v>0</v>
      </c>
      <c r="E58" s="49">
        <v>0</v>
      </c>
      <c r="F58" s="49">
        <f>E58-D58</f>
        <v>0</v>
      </c>
      <c r="G58" s="50">
        <f>IF(D58=0,0,ABS(F58/D58))</f>
        <v>0</v>
      </c>
      <c r="H58" s="49">
        <v>0</v>
      </c>
      <c r="I58" s="49">
        <v>0</v>
      </c>
      <c r="J58" s="51" t="str">
        <f>IF(H58=0,"No plan at start",I58/H58)</f>
        <v>No plan at start</v>
      </c>
      <c r="K58" s="52">
        <f>H58-I58</f>
        <v>0</v>
      </c>
      <c r="L58" s="49">
        <v>0</v>
      </c>
      <c r="M58" s="49">
        <f>I58+L58</f>
        <v>0</v>
      </c>
      <c r="N58" s="49">
        <f>M58-H58</f>
        <v>0</v>
      </c>
      <c r="O58" s="50" t="str">
        <f>IF(H58=0,"No plan at start",M58/H58)</f>
        <v>No plan at start</v>
      </c>
      <c r="P58" s="53"/>
      <c r="Q58" s="54"/>
      <c r="R58" s="55"/>
      <c r="S58" s="55"/>
    </row>
    <row r="59" spans="1:19" s="10" customFormat="1" hidden="1" outlineLevel="2" x14ac:dyDescent="0.2">
      <c r="A59" s="11"/>
      <c r="B59" s="49" t="s">
        <v>63</v>
      </c>
      <c r="C59" s="49" t="s">
        <v>59</v>
      </c>
      <c r="D59" s="49">
        <v>0</v>
      </c>
      <c r="E59" s="49">
        <v>0</v>
      </c>
      <c r="F59" s="49">
        <f>E59-D59</f>
        <v>0</v>
      </c>
      <c r="G59" s="50">
        <f>IF(D59=0,0,ABS(F59/D59))</f>
        <v>0</v>
      </c>
      <c r="H59" s="49">
        <v>0</v>
      </c>
      <c r="I59" s="49">
        <v>0</v>
      </c>
      <c r="J59" s="51" t="str">
        <f>IF(H59=0,"No plan at start",I59/H59)</f>
        <v>No plan at start</v>
      </c>
      <c r="K59" s="52">
        <f>H59-I59</f>
        <v>0</v>
      </c>
      <c r="L59" s="49">
        <v>0</v>
      </c>
      <c r="M59" s="49">
        <f>I59+L59</f>
        <v>0</v>
      </c>
      <c r="N59" s="49">
        <f>M59-H59</f>
        <v>0</v>
      </c>
      <c r="O59" s="50" t="str">
        <f>IF(H59=0,"No plan at start",M59/H59)</f>
        <v>No plan at start</v>
      </c>
      <c r="P59" s="53"/>
      <c r="Q59" s="54"/>
      <c r="R59" s="55"/>
      <c r="S59" s="55"/>
    </row>
    <row r="60" spans="1:19" s="10" customFormat="1" outlineLevel="1" collapsed="1" x14ac:dyDescent="0.2">
      <c r="A60" s="11"/>
      <c r="B60" s="56" t="s">
        <v>102</v>
      </c>
      <c r="C60" s="49"/>
      <c r="D60" s="49">
        <f>SUBTOTAL(9,D52:D59)</f>
        <v>1402.0000000000002</v>
      </c>
      <c r="E60" s="49">
        <f>SUBTOTAL(9,E52:E59)</f>
        <v>64</v>
      </c>
      <c r="F60" s="49">
        <f>SUBTOTAL(9,F52:F59)</f>
        <v>-1338.0000000000002</v>
      </c>
      <c r="G60" s="50">
        <f>IF(D60=0,0,ABS(F60/D60))</f>
        <v>0.95435092724679027</v>
      </c>
      <c r="H60" s="49">
        <f>SUBTOTAL(9,H52:H59)</f>
        <v>6801.6</v>
      </c>
      <c r="I60" s="49">
        <f>SUBTOTAL(9,I52:I59)</f>
        <v>3706.25</v>
      </c>
      <c r="J60" s="51">
        <f>IF(H60=0,"No plan at start",I60/H60)</f>
        <v>0.5449085509291931</v>
      </c>
      <c r="K60" s="52">
        <f>SUBTOTAL(9,K52:K59)</f>
        <v>3095.3500000000004</v>
      </c>
      <c r="L60" s="49">
        <f>SUBTOTAL(9,L52:L59)</f>
        <v>2804.0000000000005</v>
      </c>
      <c r="M60" s="49">
        <f>SUBTOTAL(9,M52:M59)</f>
        <v>6510.25</v>
      </c>
      <c r="N60" s="49">
        <f>SUBTOTAL(9,N52:N59)</f>
        <v>-291.35000000000036</v>
      </c>
      <c r="O60" s="50">
        <f>IF(H60=0,"No plan at start",M60/H60)</f>
        <v>0.95716449070806864</v>
      </c>
      <c r="P60" s="53"/>
      <c r="Q60" s="54"/>
      <c r="R60" s="55"/>
      <c r="S60" s="55"/>
    </row>
    <row r="61" spans="1:19" s="10" customFormat="1" hidden="1" outlineLevel="2" x14ac:dyDescent="0.2">
      <c r="A61" s="11"/>
      <c r="B61" s="49" t="s">
        <v>64</v>
      </c>
      <c r="C61" s="49" t="s">
        <v>52</v>
      </c>
      <c r="D61" s="49">
        <v>0</v>
      </c>
      <c r="E61" s="49">
        <v>0</v>
      </c>
      <c r="F61" s="49">
        <f>E61-D61</f>
        <v>0</v>
      </c>
      <c r="G61" s="50">
        <f>IF(D61=0,0,ABS(F61/D61))</f>
        <v>0</v>
      </c>
      <c r="H61" s="49">
        <v>0</v>
      </c>
      <c r="I61" s="49">
        <v>0</v>
      </c>
      <c r="J61" s="51" t="str">
        <f>IF(H61=0,"No plan at start",I61/H61)</f>
        <v>No plan at start</v>
      </c>
      <c r="K61" s="52">
        <f>H61-I61</f>
        <v>0</v>
      </c>
      <c r="L61" s="49">
        <v>0</v>
      </c>
      <c r="M61" s="49">
        <f>I61+L61</f>
        <v>0</v>
      </c>
      <c r="N61" s="49">
        <f>M61-H61</f>
        <v>0</v>
      </c>
      <c r="O61" s="50" t="str">
        <f>IF(H61=0,"No plan at start",M61/H61)</f>
        <v>No plan at start</v>
      </c>
      <c r="P61" s="53"/>
      <c r="Q61" s="54"/>
      <c r="R61" s="55"/>
      <c r="S61" s="55"/>
    </row>
    <row r="62" spans="1:19" s="10" customFormat="1" hidden="1" outlineLevel="2" x14ac:dyDescent="0.2">
      <c r="A62" s="11"/>
      <c r="B62" s="49" t="s">
        <v>64</v>
      </c>
      <c r="C62" s="49" t="s">
        <v>53</v>
      </c>
      <c r="D62" s="49">
        <v>0</v>
      </c>
      <c r="E62" s="49">
        <v>0</v>
      </c>
      <c r="F62" s="49">
        <f>E62-D62</f>
        <v>0</v>
      </c>
      <c r="G62" s="50">
        <f>IF(D62=0,0,ABS(F62/D62))</f>
        <v>0</v>
      </c>
      <c r="H62" s="49">
        <v>0</v>
      </c>
      <c r="I62" s="49">
        <v>0</v>
      </c>
      <c r="J62" s="51" t="str">
        <f>IF(H62=0,"No plan at start",I62/H62)</f>
        <v>No plan at start</v>
      </c>
      <c r="K62" s="52">
        <f>H62-I62</f>
        <v>0</v>
      </c>
      <c r="L62" s="49">
        <v>0</v>
      </c>
      <c r="M62" s="49">
        <f>I62+L62</f>
        <v>0</v>
      </c>
      <c r="N62" s="49">
        <f>M62-H62</f>
        <v>0</v>
      </c>
      <c r="O62" s="50" t="str">
        <f>IF(H62=0,"No plan at start",M62/H62)</f>
        <v>No plan at start</v>
      </c>
      <c r="P62" s="53"/>
      <c r="Q62" s="54"/>
      <c r="R62" s="55"/>
      <c r="S62" s="55"/>
    </row>
    <row r="63" spans="1:19" s="10" customFormat="1" hidden="1" outlineLevel="2" x14ac:dyDescent="0.2">
      <c r="A63" s="11"/>
      <c r="B63" s="49" t="s">
        <v>64</v>
      </c>
      <c r="C63" s="49" t="s">
        <v>54</v>
      </c>
      <c r="D63" s="49">
        <v>0</v>
      </c>
      <c r="E63" s="49">
        <v>0</v>
      </c>
      <c r="F63" s="49">
        <f>E63-D63</f>
        <v>0</v>
      </c>
      <c r="G63" s="50">
        <f>IF(D63=0,0,ABS(F63/D63))</f>
        <v>0</v>
      </c>
      <c r="H63" s="49">
        <v>0</v>
      </c>
      <c r="I63" s="49">
        <v>0</v>
      </c>
      <c r="J63" s="51" t="str">
        <f>IF(H63=0,"No plan at start",I63/H63)</f>
        <v>No plan at start</v>
      </c>
      <c r="K63" s="52">
        <f>H63-I63</f>
        <v>0</v>
      </c>
      <c r="L63" s="49">
        <v>0</v>
      </c>
      <c r="M63" s="49">
        <f>I63+L63</f>
        <v>0</v>
      </c>
      <c r="N63" s="49">
        <f>M63-H63</f>
        <v>0</v>
      </c>
      <c r="O63" s="50" t="str">
        <f>IF(H63=0,"No plan at start",M63/H63)</f>
        <v>No plan at start</v>
      </c>
      <c r="P63" s="53"/>
      <c r="Q63" s="54"/>
      <c r="R63" s="55"/>
      <c r="S63" s="55"/>
    </row>
    <row r="64" spans="1:19" s="10" customFormat="1" hidden="1" outlineLevel="2" x14ac:dyDescent="0.2">
      <c r="A64" s="11"/>
      <c r="B64" s="49" t="s">
        <v>64</v>
      </c>
      <c r="C64" s="49" t="s">
        <v>55</v>
      </c>
      <c r="D64" s="49">
        <v>0</v>
      </c>
      <c r="E64" s="49">
        <v>0</v>
      </c>
      <c r="F64" s="49">
        <f>E64-D64</f>
        <v>0</v>
      </c>
      <c r="G64" s="50">
        <f>IF(D64=0,0,ABS(F64/D64))</f>
        <v>0</v>
      </c>
      <c r="H64" s="49">
        <v>0</v>
      </c>
      <c r="I64" s="49">
        <v>0</v>
      </c>
      <c r="J64" s="51" t="str">
        <f>IF(H64=0,"No plan at start",I64/H64)</f>
        <v>No plan at start</v>
      </c>
      <c r="K64" s="52">
        <f>H64-I64</f>
        <v>0</v>
      </c>
      <c r="L64" s="49">
        <v>0</v>
      </c>
      <c r="M64" s="49">
        <f>I64+L64</f>
        <v>0</v>
      </c>
      <c r="N64" s="49">
        <f>M64-H64</f>
        <v>0</v>
      </c>
      <c r="O64" s="50" t="str">
        <f>IF(H64=0,"No plan at start",M64/H64)</f>
        <v>No plan at start</v>
      </c>
      <c r="P64" s="53"/>
      <c r="Q64" s="54"/>
      <c r="R64" s="55"/>
      <c r="S64" s="55"/>
    </row>
    <row r="65" spans="1:19" s="10" customFormat="1" hidden="1" outlineLevel="2" x14ac:dyDescent="0.2">
      <c r="A65" s="11"/>
      <c r="B65" s="49" t="s">
        <v>64</v>
      </c>
      <c r="C65" s="49" t="s">
        <v>56</v>
      </c>
      <c r="D65" s="49">
        <v>0</v>
      </c>
      <c r="E65" s="49">
        <v>0</v>
      </c>
      <c r="F65" s="49">
        <f>E65-D65</f>
        <v>0</v>
      </c>
      <c r="G65" s="50">
        <f>IF(D65=0,0,ABS(F65/D65))</f>
        <v>0</v>
      </c>
      <c r="H65" s="49">
        <v>0</v>
      </c>
      <c r="I65" s="49">
        <v>2</v>
      </c>
      <c r="J65" s="51" t="str">
        <f>IF(H65=0,"No plan at start",I65/H65)</f>
        <v>No plan at start</v>
      </c>
      <c r="K65" s="52">
        <f>H65-I65</f>
        <v>-2</v>
      </c>
      <c r="L65" s="49">
        <v>0</v>
      </c>
      <c r="M65" s="49">
        <f>I65+L65</f>
        <v>2</v>
      </c>
      <c r="N65" s="49">
        <f>M65-H65</f>
        <v>2</v>
      </c>
      <c r="O65" s="50" t="str">
        <f>IF(H65=0,"No plan at start",M65/H65)</f>
        <v>No plan at start</v>
      </c>
      <c r="P65" s="53"/>
      <c r="Q65" s="54"/>
      <c r="R65" s="55"/>
      <c r="S65" s="55"/>
    </row>
    <row r="66" spans="1:19" s="10" customFormat="1" hidden="1" outlineLevel="2" x14ac:dyDescent="0.2">
      <c r="A66" s="11"/>
      <c r="B66" s="49" t="s">
        <v>64</v>
      </c>
      <c r="C66" s="49" t="s">
        <v>57</v>
      </c>
      <c r="D66" s="49">
        <v>0</v>
      </c>
      <c r="E66" s="49">
        <v>0</v>
      </c>
      <c r="F66" s="49">
        <f>E66-D66</f>
        <v>0</v>
      </c>
      <c r="G66" s="50">
        <f>IF(D66=0,0,ABS(F66/D66))</f>
        <v>0</v>
      </c>
      <c r="H66" s="49">
        <v>0</v>
      </c>
      <c r="I66" s="49">
        <v>0</v>
      </c>
      <c r="J66" s="51" t="str">
        <f>IF(H66=0,"No plan at start",I66/H66)</f>
        <v>No plan at start</v>
      </c>
      <c r="K66" s="52">
        <f>H66-I66</f>
        <v>0</v>
      </c>
      <c r="L66" s="49">
        <v>0</v>
      </c>
      <c r="M66" s="49">
        <f>I66+L66</f>
        <v>0</v>
      </c>
      <c r="N66" s="49">
        <f>M66-H66</f>
        <v>0</v>
      </c>
      <c r="O66" s="50" t="str">
        <f>IF(H66=0,"No plan at start",M66/H66)</f>
        <v>No plan at start</v>
      </c>
      <c r="P66" s="53"/>
      <c r="Q66" s="54"/>
      <c r="R66" s="55"/>
      <c r="S66" s="55"/>
    </row>
    <row r="67" spans="1:19" s="10" customFormat="1" hidden="1" outlineLevel="2" x14ac:dyDescent="0.2">
      <c r="A67" s="11"/>
      <c r="B67" s="49" t="s">
        <v>64</v>
      </c>
      <c r="C67" s="49" t="s">
        <v>58</v>
      </c>
      <c r="D67" s="49">
        <v>0</v>
      </c>
      <c r="E67" s="49">
        <v>0</v>
      </c>
      <c r="F67" s="49">
        <f>E67-D67</f>
        <v>0</v>
      </c>
      <c r="G67" s="50">
        <f>IF(D67=0,0,ABS(F67/D67))</f>
        <v>0</v>
      </c>
      <c r="H67" s="49">
        <v>0</v>
      </c>
      <c r="I67" s="49">
        <v>0</v>
      </c>
      <c r="J67" s="51" t="str">
        <f>IF(H67=0,"No plan at start",I67/H67)</f>
        <v>No plan at start</v>
      </c>
      <c r="K67" s="52">
        <f>H67-I67</f>
        <v>0</v>
      </c>
      <c r="L67" s="49">
        <v>0</v>
      </c>
      <c r="M67" s="49">
        <f>I67+L67</f>
        <v>0</v>
      </c>
      <c r="N67" s="49">
        <f>M67-H67</f>
        <v>0</v>
      </c>
      <c r="O67" s="50" t="str">
        <f>IF(H67=0,"No plan at start",M67/H67)</f>
        <v>No plan at start</v>
      </c>
      <c r="P67" s="53"/>
      <c r="Q67" s="54"/>
      <c r="R67" s="55"/>
      <c r="S67" s="55"/>
    </row>
    <row r="68" spans="1:19" s="10" customFormat="1" hidden="1" outlineLevel="2" x14ac:dyDescent="0.2">
      <c r="A68" s="11"/>
      <c r="B68" s="49" t="s">
        <v>64</v>
      </c>
      <c r="C68" s="49" t="s">
        <v>59</v>
      </c>
      <c r="D68" s="49">
        <v>0</v>
      </c>
      <c r="E68" s="49">
        <v>0</v>
      </c>
      <c r="F68" s="49">
        <f>E68-D68</f>
        <v>0</v>
      </c>
      <c r="G68" s="50">
        <f>IF(D68=0,0,ABS(F68/D68))</f>
        <v>0</v>
      </c>
      <c r="H68" s="49">
        <v>0</v>
      </c>
      <c r="I68" s="49">
        <v>0</v>
      </c>
      <c r="J68" s="51" t="str">
        <f>IF(H68=0,"No plan at start",I68/H68)</f>
        <v>No plan at start</v>
      </c>
      <c r="K68" s="52">
        <f>H68-I68</f>
        <v>0</v>
      </c>
      <c r="L68" s="49">
        <v>0</v>
      </c>
      <c r="M68" s="49">
        <f>I68+L68</f>
        <v>0</v>
      </c>
      <c r="N68" s="49">
        <f>M68-H68</f>
        <v>0</v>
      </c>
      <c r="O68" s="50" t="str">
        <f>IF(H68=0,"No plan at start",M68/H68)</f>
        <v>No plan at start</v>
      </c>
      <c r="P68" s="53"/>
      <c r="Q68" s="54"/>
      <c r="R68" s="55"/>
      <c r="S68" s="55"/>
    </row>
    <row r="69" spans="1:19" s="10" customFormat="1" outlineLevel="1" collapsed="1" x14ac:dyDescent="0.2">
      <c r="A69" s="11"/>
      <c r="B69" s="56" t="s">
        <v>103</v>
      </c>
      <c r="C69" s="49"/>
      <c r="D69" s="49">
        <f>SUBTOTAL(9,D61:D68)</f>
        <v>0</v>
      </c>
      <c r="E69" s="49">
        <f>SUBTOTAL(9,E61:E68)</f>
        <v>0</v>
      </c>
      <c r="F69" s="49">
        <f>SUBTOTAL(9,F61:F68)</f>
        <v>0</v>
      </c>
      <c r="G69" s="50">
        <f>IF(D69=0,0,ABS(F69/D69))</f>
        <v>0</v>
      </c>
      <c r="H69" s="49">
        <f>SUBTOTAL(9,H61:H68)</f>
        <v>0</v>
      </c>
      <c r="I69" s="49">
        <f>SUBTOTAL(9,I61:I68)</f>
        <v>2</v>
      </c>
      <c r="J69" s="51" t="str">
        <f>IF(H69=0,"No plan at start",I69/H69)</f>
        <v>No plan at start</v>
      </c>
      <c r="K69" s="52">
        <f>SUBTOTAL(9,K61:K68)</f>
        <v>-2</v>
      </c>
      <c r="L69" s="49">
        <f>SUBTOTAL(9,L61:L68)</f>
        <v>0</v>
      </c>
      <c r="M69" s="49">
        <f>SUBTOTAL(9,M61:M68)</f>
        <v>2</v>
      </c>
      <c r="N69" s="49">
        <f>SUBTOTAL(9,N61:N68)</f>
        <v>2</v>
      </c>
      <c r="O69" s="50" t="str">
        <f>IF(H69=0,"No plan at start",M69/H69)</f>
        <v>No plan at start</v>
      </c>
      <c r="P69" s="53"/>
      <c r="Q69" s="54"/>
      <c r="R69" s="55"/>
      <c r="S69" s="55"/>
    </row>
    <row r="70" spans="1:19" s="10" customFormat="1" hidden="1" outlineLevel="2" x14ac:dyDescent="0.2">
      <c r="A70" s="11"/>
      <c r="B70" s="49" t="s">
        <v>65</v>
      </c>
      <c r="C70" s="49" t="s">
        <v>52</v>
      </c>
      <c r="D70" s="49">
        <v>0</v>
      </c>
      <c r="E70" s="49">
        <v>0</v>
      </c>
      <c r="F70" s="49">
        <f>E70-D70</f>
        <v>0</v>
      </c>
      <c r="G70" s="50">
        <f>IF(D70=0,0,ABS(F70/D70))</f>
        <v>0</v>
      </c>
      <c r="H70" s="49">
        <v>0</v>
      </c>
      <c r="I70" s="49">
        <v>0</v>
      </c>
      <c r="J70" s="51" t="str">
        <f>IF(H70=0,"No plan at start",I70/H70)</f>
        <v>No plan at start</v>
      </c>
      <c r="K70" s="52">
        <f>H70-I70</f>
        <v>0</v>
      </c>
      <c r="L70" s="49">
        <v>0</v>
      </c>
      <c r="M70" s="49">
        <f>I70+L70</f>
        <v>0</v>
      </c>
      <c r="N70" s="49">
        <f>M70-H70</f>
        <v>0</v>
      </c>
      <c r="O70" s="50" t="str">
        <f>IF(H70=0,"No plan at start",M70/H70)</f>
        <v>No plan at start</v>
      </c>
      <c r="P70" s="53"/>
      <c r="Q70" s="54"/>
      <c r="R70" s="55"/>
      <c r="S70" s="55"/>
    </row>
    <row r="71" spans="1:19" s="10" customFormat="1" hidden="1" outlineLevel="2" x14ac:dyDescent="0.2">
      <c r="A71" s="11"/>
      <c r="B71" s="49" t="s">
        <v>65</v>
      </c>
      <c r="C71" s="49" t="s">
        <v>53</v>
      </c>
      <c r="D71" s="49">
        <v>0</v>
      </c>
      <c r="E71" s="49">
        <v>0</v>
      </c>
      <c r="F71" s="49">
        <f>E71-D71</f>
        <v>0</v>
      </c>
      <c r="G71" s="50">
        <f>IF(D71=0,0,ABS(F71/D71))</f>
        <v>0</v>
      </c>
      <c r="H71" s="49">
        <v>0</v>
      </c>
      <c r="I71" s="49">
        <v>0</v>
      </c>
      <c r="J71" s="51" t="str">
        <f>IF(H71=0,"No plan at start",I71/H71)</f>
        <v>No plan at start</v>
      </c>
      <c r="K71" s="52">
        <f>H71-I71</f>
        <v>0</v>
      </c>
      <c r="L71" s="49">
        <v>0</v>
      </c>
      <c r="M71" s="49">
        <f>I71+L71</f>
        <v>0</v>
      </c>
      <c r="N71" s="49">
        <f>M71-H71</f>
        <v>0</v>
      </c>
      <c r="O71" s="50" t="str">
        <f>IF(H71=0,"No plan at start",M71/H71)</f>
        <v>No plan at start</v>
      </c>
      <c r="P71" s="53"/>
      <c r="Q71" s="54"/>
      <c r="R71" s="55"/>
      <c r="S71" s="55"/>
    </row>
    <row r="72" spans="1:19" s="10" customFormat="1" hidden="1" outlineLevel="2" x14ac:dyDescent="0.2">
      <c r="A72" s="11"/>
      <c r="B72" s="49" t="s">
        <v>65</v>
      </c>
      <c r="C72" s="49" t="s">
        <v>54</v>
      </c>
      <c r="D72" s="49">
        <v>0</v>
      </c>
      <c r="E72" s="49">
        <v>0</v>
      </c>
      <c r="F72" s="49">
        <f>E72-D72</f>
        <v>0</v>
      </c>
      <c r="G72" s="50">
        <f>IF(D72=0,0,ABS(F72/D72))</f>
        <v>0</v>
      </c>
      <c r="H72" s="49">
        <v>0</v>
      </c>
      <c r="I72" s="49">
        <v>69.75</v>
      </c>
      <c r="J72" s="51" t="str">
        <f>IF(H72=0,"No plan at start",I72/H72)</f>
        <v>No plan at start</v>
      </c>
      <c r="K72" s="52">
        <f>H72-I72</f>
        <v>-69.75</v>
      </c>
      <c r="L72" s="49">
        <v>0</v>
      </c>
      <c r="M72" s="49">
        <f>I72+L72</f>
        <v>69.75</v>
      </c>
      <c r="N72" s="49">
        <f>M72-H72</f>
        <v>69.75</v>
      </c>
      <c r="O72" s="50" t="str">
        <f>IF(H72=0,"No plan at start",M72/H72)</f>
        <v>No plan at start</v>
      </c>
      <c r="P72" s="53"/>
      <c r="Q72" s="54"/>
      <c r="R72" s="55"/>
      <c r="S72" s="55"/>
    </row>
    <row r="73" spans="1:19" s="10" customFormat="1" hidden="1" outlineLevel="2" x14ac:dyDescent="0.2">
      <c r="A73" s="11"/>
      <c r="B73" s="49" t="s">
        <v>65</v>
      </c>
      <c r="C73" s="49" t="s">
        <v>55</v>
      </c>
      <c r="D73" s="49">
        <v>0</v>
      </c>
      <c r="E73" s="49">
        <v>0</v>
      </c>
      <c r="F73" s="49">
        <f>E73-D73</f>
        <v>0</v>
      </c>
      <c r="G73" s="50">
        <f>IF(D73=0,0,ABS(F73/D73))</f>
        <v>0</v>
      </c>
      <c r="H73" s="49">
        <v>0</v>
      </c>
      <c r="I73" s="49">
        <v>0</v>
      </c>
      <c r="J73" s="51" t="str">
        <f>IF(H73=0,"No plan at start",I73/H73)</f>
        <v>No plan at start</v>
      </c>
      <c r="K73" s="52">
        <f>H73-I73</f>
        <v>0</v>
      </c>
      <c r="L73" s="49">
        <v>0</v>
      </c>
      <c r="M73" s="49">
        <f>I73+L73</f>
        <v>0</v>
      </c>
      <c r="N73" s="49">
        <f>M73-H73</f>
        <v>0</v>
      </c>
      <c r="O73" s="50" t="str">
        <f>IF(H73=0,"No plan at start",M73/H73)</f>
        <v>No plan at start</v>
      </c>
      <c r="P73" s="53"/>
      <c r="Q73" s="54"/>
      <c r="R73" s="55"/>
      <c r="S73" s="55"/>
    </row>
    <row r="74" spans="1:19" s="10" customFormat="1" hidden="1" outlineLevel="2" x14ac:dyDescent="0.2">
      <c r="A74" s="11"/>
      <c r="B74" s="49" t="s">
        <v>65</v>
      </c>
      <c r="C74" s="49" t="s">
        <v>56</v>
      </c>
      <c r="D74" s="49">
        <v>0</v>
      </c>
      <c r="E74" s="49">
        <v>0</v>
      </c>
      <c r="F74" s="49">
        <f>E74-D74</f>
        <v>0</v>
      </c>
      <c r="G74" s="50">
        <f>IF(D74=0,0,ABS(F74/D74))</f>
        <v>0</v>
      </c>
      <c r="H74" s="49">
        <v>0</v>
      </c>
      <c r="I74" s="49">
        <v>37</v>
      </c>
      <c r="J74" s="51" t="str">
        <f>IF(H74=0,"No plan at start",I74/H74)</f>
        <v>No plan at start</v>
      </c>
      <c r="K74" s="52">
        <f>H74-I74</f>
        <v>-37</v>
      </c>
      <c r="L74" s="49">
        <v>0</v>
      </c>
      <c r="M74" s="49">
        <f>I74+L74</f>
        <v>37</v>
      </c>
      <c r="N74" s="49">
        <f>M74-H74</f>
        <v>37</v>
      </c>
      <c r="O74" s="50" t="str">
        <f>IF(H74=0,"No plan at start",M74/H74)</f>
        <v>No plan at start</v>
      </c>
      <c r="P74" s="53"/>
      <c r="Q74" s="54"/>
      <c r="R74" s="55"/>
      <c r="S74" s="55"/>
    </row>
    <row r="75" spans="1:19" s="10" customFormat="1" hidden="1" outlineLevel="2" x14ac:dyDescent="0.2">
      <c r="A75" s="11"/>
      <c r="B75" s="49" t="s">
        <v>65</v>
      </c>
      <c r="C75" s="49" t="s">
        <v>57</v>
      </c>
      <c r="D75" s="49">
        <v>0</v>
      </c>
      <c r="E75" s="49">
        <v>0</v>
      </c>
      <c r="F75" s="49">
        <f>E75-D75</f>
        <v>0</v>
      </c>
      <c r="G75" s="50">
        <f>IF(D75=0,0,ABS(F75/D75))</f>
        <v>0</v>
      </c>
      <c r="H75" s="49">
        <v>0</v>
      </c>
      <c r="I75" s="49">
        <v>0</v>
      </c>
      <c r="J75" s="51" t="str">
        <f>IF(H75=0,"No plan at start",I75/H75)</f>
        <v>No plan at start</v>
      </c>
      <c r="K75" s="52">
        <f>H75-I75</f>
        <v>0</v>
      </c>
      <c r="L75" s="49">
        <v>0</v>
      </c>
      <c r="M75" s="49">
        <f>I75+L75</f>
        <v>0</v>
      </c>
      <c r="N75" s="49">
        <f>M75-H75</f>
        <v>0</v>
      </c>
      <c r="O75" s="50" t="str">
        <f>IF(H75=0,"No plan at start",M75/H75)</f>
        <v>No plan at start</v>
      </c>
      <c r="P75" s="53"/>
      <c r="Q75" s="54"/>
      <c r="R75" s="55"/>
      <c r="S75" s="55"/>
    </row>
    <row r="76" spans="1:19" s="10" customFormat="1" hidden="1" outlineLevel="2" x14ac:dyDescent="0.2">
      <c r="A76" s="11"/>
      <c r="B76" s="49" t="s">
        <v>65</v>
      </c>
      <c r="C76" s="49" t="s">
        <v>58</v>
      </c>
      <c r="D76" s="49">
        <v>0</v>
      </c>
      <c r="E76" s="49">
        <v>0</v>
      </c>
      <c r="F76" s="49">
        <f>E76-D76</f>
        <v>0</v>
      </c>
      <c r="G76" s="50">
        <f>IF(D76=0,0,ABS(F76/D76))</f>
        <v>0</v>
      </c>
      <c r="H76" s="49">
        <v>0</v>
      </c>
      <c r="I76" s="49">
        <v>0</v>
      </c>
      <c r="J76" s="51" t="str">
        <f>IF(H76=0,"No plan at start",I76/H76)</f>
        <v>No plan at start</v>
      </c>
      <c r="K76" s="52">
        <f>H76-I76</f>
        <v>0</v>
      </c>
      <c r="L76" s="49">
        <v>0</v>
      </c>
      <c r="M76" s="49">
        <f>I76+L76</f>
        <v>0</v>
      </c>
      <c r="N76" s="49">
        <f>M76-H76</f>
        <v>0</v>
      </c>
      <c r="O76" s="50" t="str">
        <f>IF(H76=0,"No plan at start",M76/H76)</f>
        <v>No plan at start</v>
      </c>
      <c r="P76" s="53"/>
      <c r="Q76" s="54"/>
      <c r="R76" s="55"/>
      <c r="S76" s="55"/>
    </row>
    <row r="77" spans="1:19" s="10" customFormat="1" hidden="1" outlineLevel="2" x14ac:dyDescent="0.2">
      <c r="A77" s="11"/>
      <c r="B77" s="49" t="s">
        <v>65</v>
      </c>
      <c r="C77" s="49" t="s">
        <v>59</v>
      </c>
      <c r="D77" s="49">
        <v>0</v>
      </c>
      <c r="E77" s="49">
        <v>0</v>
      </c>
      <c r="F77" s="49">
        <f>E77-D77</f>
        <v>0</v>
      </c>
      <c r="G77" s="50">
        <f>IF(D77=0,0,ABS(F77/D77))</f>
        <v>0</v>
      </c>
      <c r="H77" s="49">
        <v>0</v>
      </c>
      <c r="I77" s="49">
        <v>0</v>
      </c>
      <c r="J77" s="51" t="str">
        <f>IF(H77=0,"No plan at start",I77/H77)</f>
        <v>No plan at start</v>
      </c>
      <c r="K77" s="52">
        <f>H77-I77</f>
        <v>0</v>
      </c>
      <c r="L77" s="49">
        <v>0</v>
      </c>
      <c r="M77" s="49">
        <f>I77+L77</f>
        <v>0</v>
      </c>
      <c r="N77" s="49">
        <f>M77-H77</f>
        <v>0</v>
      </c>
      <c r="O77" s="50" t="str">
        <f>IF(H77=0,"No plan at start",M77/H77)</f>
        <v>No plan at start</v>
      </c>
      <c r="P77" s="53"/>
      <c r="Q77" s="54"/>
      <c r="R77" s="55"/>
      <c r="S77" s="55"/>
    </row>
    <row r="78" spans="1:19" s="10" customFormat="1" outlineLevel="1" collapsed="1" x14ac:dyDescent="0.2">
      <c r="A78" s="11"/>
      <c r="B78" s="56" t="s">
        <v>104</v>
      </c>
      <c r="C78" s="49"/>
      <c r="D78" s="49">
        <f>SUBTOTAL(9,D70:D77)</f>
        <v>0</v>
      </c>
      <c r="E78" s="49">
        <f>SUBTOTAL(9,E70:E77)</f>
        <v>0</v>
      </c>
      <c r="F78" s="49">
        <f>SUBTOTAL(9,F70:F77)</f>
        <v>0</v>
      </c>
      <c r="G78" s="50">
        <f>IF(D78=0,0,ABS(F78/D78))</f>
        <v>0</v>
      </c>
      <c r="H78" s="49">
        <f>SUBTOTAL(9,H70:H77)</f>
        <v>0</v>
      </c>
      <c r="I78" s="49">
        <f>SUBTOTAL(9,I70:I77)</f>
        <v>106.75</v>
      </c>
      <c r="J78" s="51" t="str">
        <f>IF(H78=0,"No plan at start",I78/H78)</f>
        <v>No plan at start</v>
      </c>
      <c r="K78" s="52">
        <f>SUBTOTAL(9,K70:K77)</f>
        <v>-106.75</v>
      </c>
      <c r="L78" s="49">
        <f>SUBTOTAL(9,L70:L77)</f>
        <v>0</v>
      </c>
      <c r="M78" s="49">
        <f>SUBTOTAL(9,M70:M77)</f>
        <v>106.75</v>
      </c>
      <c r="N78" s="49">
        <f>SUBTOTAL(9,N70:N77)</f>
        <v>106.75</v>
      </c>
      <c r="O78" s="50" t="str">
        <f>IF(H78=0,"No plan at start",M78/H78)</f>
        <v>No plan at start</v>
      </c>
      <c r="P78" s="53"/>
      <c r="Q78" s="54"/>
      <c r="R78" s="55"/>
      <c r="S78" s="55"/>
    </row>
    <row r="79" spans="1:19" s="10" customFormat="1" hidden="1" outlineLevel="2" x14ac:dyDescent="0.2">
      <c r="A79" s="11"/>
      <c r="B79" s="49" t="s">
        <v>66</v>
      </c>
      <c r="C79" s="49" t="s">
        <v>52</v>
      </c>
      <c r="D79" s="49">
        <v>0</v>
      </c>
      <c r="E79" s="49">
        <v>0</v>
      </c>
      <c r="F79" s="49">
        <f>E79-D79</f>
        <v>0</v>
      </c>
      <c r="G79" s="50">
        <f>IF(D79=0,0,ABS(F79/D79))</f>
        <v>0</v>
      </c>
      <c r="H79" s="49">
        <v>0</v>
      </c>
      <c r="I79" s="49">
        <v>4</v>
      </c>
      <c r="J79" s="51" t="str">
        <f>IF(H79=0,"No plan at start",I79/H79)</f>
        <v>No plan at start</v>
      </c>
      <c r="K79" s="52">
        <f>H79-I79</f>
        <v>-4</v>
      </c>
      <c r="L79" s="49">
        <v>0</v>
      </c>
      <c r="M79" s="49">
        <f>I79+L79</f>
        <v>4</v>
      </c>
      <c r="N79" s="49">
        <f>M79-H79</f>
        <v>4</v>
      </c>
      <c r="O79" s="50" t="str">
        <f>IF(H79=0,"No plan at start",M79/H79)</f>
        <v>No plan at start</v>
      </c>
      <c r="P79" s="53"/>
      <c r="Q79" s="54"/>
      <c r="R79" s="55"/>
      <c r="S79" s="55"/>
    </row>
    <row r="80" spans="1:19" s="10" customFormat="1" hidden="1" outlineLevel="2" x14ac:dyDescent="0.2">
      <c r="A80" s="11"/>
      <c r="B80" s="49" t="s">
        <v>66</v>
      </c>
      <c r="C80" s="49" t="s">
        <v>53</v>
      </c>
      <c r="D80" s="49">
        <v>0</v>
      </c>
      <c r="E80" s="49">
        <v>0</v>
      </c>
      <c r="F80" s="49">
        <f>E80-D80</f>
        <v>0</v>
      </c>
      <c r="G80" s="50">
        <f>IF(D80=0,0,ABS(F80/D80))</f>
        <v>0</v>
      </c>
      <c r="H80" s="49">
        <v>0</v>
      </c>
      <c r="I80" s="49">
        <v>0</v>
      </c>
      <c r="J80" s="51" t="str">
        <f>IF(H80=0,"No plan at start",I80/H80)</f>
        <v>No plan at start</v>
      </c>
      <c r="K80" s="52">
        <f>H80-I80</f>
        <v>0</v>
      </c>
      <c r="L80" s="49">
        <v>0</v>
      </c>
      <c r="M80" s="49">
        <f>I80+L80</f>
        <v>0</v>
      </c>
      <c r="N80" s="49">
        <f>M80-H80</f>
        <v>0</v>
      </c>
      <c r="O80" s="50" t="str">
        <f>IF(H80=0,"No plan at start",M80/H80)</f>
        <v>No plan at start</v>
      </c>
      <c r="P80" s="53"/>
      <c r="Q80" s="54"/>
      <c r="R80" s="55"/>
      <c r="S80" s="55"/>
    </row>
    <row r="81" spans="1:19" s="10" customFormat="1" hidden="1" outlineLevel="2" x14ac:dyDescent="0.2">
      <c r="A81" s="11"/>
      <c r="B81" s="49" t="s">
        <v>66</v>
      </c>
      <c r="C81" s="49" t="s">
        <v>54</v>
      </c>
      <c r="D81" s="49">
        <v>0</v>
      </c>
      <c r="E81" s="49">
        <v>0</v>
      </c>
      <c r="F81" s="49">
        <f>E81-D81</f>
        <v>0</v>
      </c>
      <c r="G81" s="50">
        <f>IF(D81=0,0,ABS(F81/D81))</f>
        <v>0</v>
      </c>
      <c r="H81" s="49">
        <v>0</v>
      </c>
      <c r="I81" s="49">
        <v>0</v>
      </c>
      <c r="J81" s="51" t="str">
        <f>IF(H81=0,"No plan at start",I81/H81)</f>
        <v>No plan at start</v>
      </c>
      <c r="K81" s="52">
        <f>H81-I81</f>
        <v>0</v>
      </c>
      <c r="L81" s="49">
        <v>0</v>
      </c>
      <c r="M81" s="49">
        <f>I81+L81</f>
        <v>0</v>
      </c>
      <c r="N81" s="49">
        <f>M81-H81</f>
        <v>0</v>
      </c>
      <c r="O81" s="50" t="str">
        <f>IF(H81=0,"No plan at start",M81/H81)</f>
        <v>No plan at start</v>
      </c>
      <c r="P81" s="53"/>
      <c r="Q81" s="54"/>
      <c r="R81" s="55"/>
      <c r="S81" s="55"/>
    </row>
    <row r="82" spans="1:19" s="10" customFormat="1" hidden="1" outlineLevel="2" x14ac:dyDescent="0.2">
      <c r="A82" s="11"/>
      <c r="B82" s="49" t="s">
        <v>66</v>
      </c>
      <c r="C82" s="49" t="s">
        <v>55</v>
      </c>
      <c r="D82" s="49">
        <v>0</v>
      </c>
      <c r="E82" s="49">
        <v>0</v>
      </c>
      <c r="F82" s="49">
        <f>E82-D82</f>
        <v>0</v>
      </c>
      <c r="G82" s="50">
        <f>IF(D82=0,0,ABS(F82/D82))</f>
        <v>0</v>
      </c>
      <c r="H82" s="49">
        <v>0</v>
      </c>
      <c r="I82" s="49">
        <v>0</v>
      </c>
      <c r="J82" s="51" t="str">
        <f>IF(H82=0,"No plan at start",I82/H82)</f>
        <v>No plan at start</v>
      </c>
      <c r="K82" s="52">
        <f>H82-I82</f>
        <v>0</v>
      </c>
      <c r="L82" s="49">
        <v>0</v>
      </c>
      <c r="M82" s="49">
        <f>I82+L82</f>
        <v>0</v>
      </c>
      <c r="N82" s="49">
        <f>M82-H82</f>
        <v>0</v>
      </c>
      <c r="O82" s="50" t="str">
        <f>IF(H82=0,"No plan at start",M82/H82)</f>
        <v>No plan at start</v>
      </c>
      <c r="P82" s="53"/>
      <c r="Q82" s="54"/>
      <c r="R82" s="55"/>
      <c r="S82" s="55"/>
    </row>
    <row r="83" spans="1:19" s="10" customFormat="1" hidden="1" outlineLevel="2" x14ac:dyDescent="0.2">
      <c r="A83" s="11"/>
      <c r="B83" s="49" t="s">
        <v>66</v>
      </c>
      <c r="C83" s="49" t="s">
        <v>56</v>
      </c>
      <c r="D83" s="49">
        <v>0</v>
      </c>
      <c r="E83" s="49">
        <v>0</v>
      </c>
      <c r="F83" s="49">
        <f>E83-D83</f>
        <v>0</v>
      </c>
      <c r="G83" s="50">
        <f>IF(D83=0,0,ABS(F83/D83))</f>
        <v>0</v>
      </c>
      <c r="H83" s="49">
        <v>0</v>
      </c>
      <c r="I83" s="49">
        <v>0</v>
      </c>
      <c r="J83" s="51" t="str">
        <f>IF(H83=0,"No plan at start",I83/H83)</f>
        <v>No plan at start</v>
      </c>
      <c r="K83" s="52">
        <f>H83-I83</f>
        <v>0</v>
      </c>
      <c r="L83" s="49">
        <v>0</v>
      </c>
      <c r="M83" s="49">
        <f>I83+L83</f>
        <v>0</v>
      </c>
      <c r="N83" s="49">
        <f>M83-H83</f>
        <v>0</v>
      </c>
      <c r="O83" s="50" t="str">
        <f>IF(H83=0,"No plan at start",M83/H83)</f>
        <v>No plan at start</v>
      </c>
      <c r="P83" s="53"/>
      <c r="Q83" s="54"/>
      <c r="R83" s="55"/>
      <c r="S83" s="55"/>
    </row>
    <row r="84" spans="1:19" s="10" customFormat="1" hidden="1" outlineLevel="2" x14ac:dyDescent="0.2">
      <c r="A84" s="11"/>
      <c r="B84" s="49" t="s">
        <v>66</v>
      </c>
      <c r="C84" s="49" t="s">
        <v>57</v>
      </c>
      <c r="D84" s="49">
        <v>0</v>
      </c>
      <c r="E84" s="49">
        <v>0</v>
      </c>
      <c r="F84" s="49">
        <f>E84-D84</f>
        <v>0</v>
      </c>
      <c r="G84" s="50">
        <f>IF(D84=0,0,ABS(F84/D84))</f>
        <v>0</v>
      </c>
      <c r="H84" s="49">
        <v>0</v>
      </c>
      <c r="I84" s="49">
        <v>0</v>
      </c>
      <c r="J84" s="51" t="str">
        <f>IF(H84=0,"No plan at start",I84/H84)</f>
        <v>No plan at start</v>
      </c>
      <c r="K84" s="52">
        <f>H84-I84</f>
        <v>0</v>
      </c>
      <c r="L84" s="49">
        <v>0</v>
      </c>
      <c r="M84" s="49">
        <f>I84+L84</f>
        <v>0</v>
      </c>
      <c r="N84" s="49">
        <f>M84-H84</f>
        <v>0</v>
      </c>
      <c r="O84" s="50" t="str">
        <f>IF(H84=0,"No plan at start",M84/H84)</f>
        <v>No plan at start</v>
      </c>
      <c r="P84" s="53"/>
      <c r="Q84" s="54"/>
      <c r="R84" s="55"/>
      <c r="S84" s="55"/>
    </row>
    <row r="85" spans="1:19" s="10" customFormat="1" hidden="1" outlineLevel="2" x14ac:dyDescent="0.2">
      <c r="A85" s="11"/>
      <c r="B85" s="49" t="s">
        <v>66</v>
      </c>
      <c r="C85" s="49" t="s">
        <v>58</v>
      </c>
      <c r="D85" s="49">
        <v>0</v>
      </c>
      <c r="E85" s="49">
        <v>0</v>
      </c>
      <c r="F85" s="49">
        <f>E85-D85</f>
        <v>0</v>
      </c>
      <c r="G85" s="50">
        <f>IF(D85=0,0,ABS(F85/D85))</f>
        <v>0</v>
      </c>
      <c r="H85" s="49">
        <v>0</v>
      </c>
      <c r="I85" s="49">
        <v>0</v>
      </c>
      <c r="J85" s="51" t="str">
        <f>IF(H85=0,"No plan at start",I85/H85)</f>
        <v>No plan at start</v>
      </c>
      <c r="K85" s="52">
        <f>H85-I85</f>
        <v>0</v>
      </c>
      <c r="L85" s="49">
        <v>0</v>
      </c>
      <c r="M85" s="49">
        <f>I85+L85</f>
        <v>0</v>
      </c>
      <c r="N85" s="49">
        <f>M85-H85</f>
        <v>0</v>
      </c>
      <c r="O85" s="50" t="str">
        <f>IF(H85=0,"No plan at start",M85/H85)</f>
        <v>No plan at start</v>
      </c>
      <c r="P85" s="53"/>
      <c r="Q85" s="54"/>
      <c r="R85" s="55"/>
      <c r="S85" s="55"/>
    </row>
    <row r="86" spans="1:19" s="10" customFormat="1" hidden="1" outlineLevel="2" x14ac:dyDescent="0.2">
      <c r="A86" s="11"/>
      <c r="B86" s="49" t="s">
        <v>66</v>
      </c>
      <c r="C86" s="49" t="s">
        <v>59</v>
      </c>
      <c r="D86" s="49">
        <v>0</v>
      </c>
      <c r="E86" s="49">
        <v>0</v>
      </c>
      <c r="F86" s="49">
        <f>E86-D86</f>
        <v>0</v>
      </c>
      <c r="G86" s="50">
        <f>IF(D86=0,0,ABS(F86/D86))</f>
        <v>0</v>
      </c>
      <c r="H86" s="49">
        <v>0</v>
      </c>
      <c r="I86" s="49">
        <v>0</v>
      </c>
      <c r="J86" s="51" t="str">
        <f>IF(H86=0,"No plan at start",I86/H86)</f>
        <v>No plan at start</v>
      </c>
      <c r="K86" s="52">
        <f>H86-I86</f>
        <v>0</v>
      </c>
      <c r="L86" s="49">
        <v>0</v>
      </c>
      <c r="M86" s="49">
        <f>I86+L86</f>
        <v>0</v>
      </c>
      <c r="N86" s="49">
        <f>M86-H86</f>
        <v>0</v>
      </c>
      <c r="O86" s="50" t="str">
        <f>IF(H86=0,"No plan at start",M86/H86)</f>
        <v>No plan at start</v>
      </c>
      <c r="P86" s="53"/>
      <c r="Q86" s="54"/>
      <c r="R86" s="55"/>
      <c r="S86" s="55"/>
    </row>
    <row r="87" spans="1:19" s="10" customFormat="1" outlineLevel="1" collapsed="1" x14ac:dyDescent="0.2">
      <c r="A87" s="11"/>
      <c r="B87" s="56" t="s">
        <v>105</v>
      </c>
      <c r="C87" s="49"/>
      <c r="D87" s="49">
        <f>SUBTOTAL(9,D79:D86)</f>
        <v>0</v>
      </c>
      <c r="E87" s="49">
        <f>SUBTOTAL(9,E79:E86)</f>
        <v>0</v>
      </c>
      <c r="F87" s="49">
        <f>SUBTOTAL(9,F79:F86)</f>
        <v>0</v>
      </c>
      <c r="G87" s="50">
        <f>IF(D87=0,0,ABS(F87/D87))</f>
        <v>0</v>
      </c>
      <c r="H87" s="49">
        <f>SUBTOTAL(9,H79:H86)</f>
        <v>0</v>
      </c>
      <c r="I87" s="49">
        <f>SUBTOTAL(9,I79:I86)</f>
        <v>4</v>
      </c>
      <c r="J87" s="51" t="str">
        <f>IF(H87=0,"No plan at start",I87/H87)</f>
        <v>No plan at start</v>
      </c>
      <c r="K87" s="52">
        <f>SUBTOTAL(9,K79:K86)</f>
        <v>-4</v>
      </c>
      <c r="L87" s="49">
        <f>SUBTOTAL(9,L79:L86)</f>
        <v>0</v>
      </c>
      <c r="M87" s="49">
        <f>SUBTOTAL(9,M79:M86)</f>
        <v>4</v>
      </c>
      <c r="N87" s="49">
        <f>SUBTOTAL(9,N79:N86)</f>
        <v>4</v>
      </c>
      <c r="O87" s="50" t="str">
        <f>IF(H87=0,"No plan at start",M87/H87)</f>
        <v>No plan at start</v>
      </c>
      <c r="P87" s="53"/>
      <c r="Q87" s="54"/>
      <c r="R87" s="55"/>
      <c r="S87" s="55"/>
    </row>
    <row r="88" spans="1:19" s="10" customFormat="1" hidden="1" outlineLevel="2" x14ac:dyDescent="0.2">
      <c r="A88" s="11"/>
      <c r="B88" s="49" t="s">
        <v>67</v>
      </c>
      <c r="C88" s="49" t="s">
        <v>52</v>
      </c>
      <c r="D88" s="49">
        <v>0</v>
      </c>
      <c r="E88" s="49">
        <v>0</v>
      </c>
      <c r="F88" s="49">
        <f>E88-D88</f>
        <v>0</v>
      </c>
      <c r="G88" s="50">
        <f>IF(D88=0,0,ABS(F88/D88))</f>
        <v>0</v>
      </c>
      <c r="H88" s="49">
        <v>0</v>
      </c>
      <c r="I88" s="49">
        <v>0</v>
      </c>
      <c r="J88" s="51" t="str">
        <f>IF(H88=0,"No plan at start",I88/H88)</f>
        <v>No plan at start</v>
      </c>
      <c r="K88" s="52">
        <f>H88-I88</f>
        <v>0</v>
      </c>
      <c r="L88" s="49">
        <v>0</v>
      </c>
      <c r="M88" s="49">
        <f>I88+L88</f>
        <v>0</v>
      </c>
      <c r="N88" s="49">
        <f>M88-H88</f>
        <v>0</v>
      </c>
      <c r="O88" s="50" t="str">
        <f>IF(H88=0,"No plan at start",M88/H88)</f>
        <v>No plan at start</v>
      </c>
      <c r="P88" s="53"/>
      <c r="Q88" s="54"/>
      <c r="R88" s="55"/>
      <c r="S88" s="55"/>
    </row>
    <row r="89" spans="1:19" s="10" customFormat="1" hidden="1" outlineLevel="2" x14ac:dyDescent="0.2">
      <c r="A89" s="11"/>
      <c r="B89" s="49" t="s">
        <v>67</v>
      </c>
      <c r="C89" s="49" t="s">
        <v>53</v>
      </c>
      <c r="D89" s="49">
        <v>0</v>
      </c>
      <c r="E89" s="49">
        <v>0</v>
      </c>
      <c r="F89" s="49">
        <f>E89-D89</f>
        <v>0</v>
      </c>
      <c r="G89" s="50">
        <f>IF(D89=0,0,ABS(F89/D89))</f>
        <v>0</v>
      </c>
      <c r="H89" s="49">
        <v>0</v>
      </c>
      <c r="I89" s="49">
        <v>0</v>
      </c>
      <c r="J89" s="51" t="str">
        <f>IF(H89=0,"No plan at start",I89/H89)</f>
        <v>No plan at start</v>
      </c>
      <c r="K89" s="52">
        <f>H89-I89</f>
        <v>0</v>
      </c>
      <c r="L89" s="49">
        <v>0</v>
      </c>
      <c r="M89" s="49">
        <f>I89+L89</f>
        <v>0</v>
      </c>
      <c r="N89" s="49">
        <f>M89-H89</f>
        <v>0</v>
      </c>
      <c r="O89" s="50" t="str">
        <f>IF(H89=0,"No plan at start",M89/H89)</f>
        <v>No plan at start</v>
      </c>
      <c r="P89" s="53"/>
      <c r="Q89" s="54"/>
      <c r="R89" s="55"/>
      <c r="S89" s="55"/>
    </row>
    <row r="90" spans="1:19" s="10" customFormat="1" hidden="1" outlineLevel="2" x14ac:dyDescent="0.2">
      <c r="A90" s="11"/>
      <c r="B90" s="49" t="s">
        <v>67</v>
      </c>
      <c r="C90" s="49" t="s">
        <v>54</v>
      </c>
      <c r="D90" s="49">
        <v>0</v>
      </c>
      <c r="E90" s="49">
        <v>0</v>
      </c>
      <c r="F90" s="49">
        <f>E90-D90</f>
        <v>0</v>
      </c>
      <c r="G90" s="50">
        <f>IF(D90=0,0,ABS(F90/D90))</f>
        <v>0</v>
      </c>
      <c r="H90" s="49">
        <v>1454</v>
      </c>
      <c r="I90" s="49">
        <v>1286.25</v>
      </c>
      <c r="J90" s="51">
        <f>IF(H90=0,"No plan at start",I90/H90)</f>
        <v>0.88462861072902343</v>
      </c>
      <c r="K90" s="52">
        <f>H90-I90</f>
        <v>167.75</v>
      </c>
      <c r="L90" s="49">
        <v>0</v>
      </c>
      <c r="M90" s="49">
        <f>I90+L90</f>
        <v>1286.25</v>
      </c>
      <c r="N90" s="49">
        <f>M90-H90</f>
        <v>-167.75</v>
      </c>
      <c r="O90" s="50">
        <f>IF(H90=0,"No plan at start",M90/H90)</f>
        <v>0.88462861072902343</v>
      </c>
      <c r="P90" s="53"/>
      <c r="Q90" s="54"/>
      <c r="R90" s="55"/>
      <c r="S90" s="55"/>
    </row>
    <row r="91" spans="1:19" s="10" customFormat="1" hidden="1" outlineLevel="2" x14ac:dyDescent="0.2">
      <c r="A91" s="11"/>
      <c r="B91" s="49" t="s">
        <v>67</v>
      </c>
      <c r="C91" s="49" t="s">
        <v>55</v>
      </c>
      <c r="D91" s="49">
        <v>0</v>
      </c>
      <c r="E91" s="49">
        <v>0</v>
      </c>
      <c r="F91" s="49">
        <f>E91-D91</f>
        <v>0</v>
      </c>
      <c r="G91" s="50">
        <f>IF(D91=0,0,ABS(F91/D91))</f>
        <v>0</v>
      </c>
      <c r="H91" s="49">
        <v>0</v>
      </c>
      <c r="I91" s="49">
        <v>0</v>
      </c>
      <c r="J91" s="51" t="str">
        <f>IF(H91=0,"No plan at start",I91/H91)</f>
        <v>No plan at start</v>
      </c>
      <c r="K91" s="52">
        <f>H91-I91</f>
        <v>0</v>
      </c>
      <c r="L91" s="49">
        <v>0</v>
      </c>
      <c r="M91" s="49">
        <f>I91+L91</f>
        <v>0</v>
      </c>
      <c r="N91" s="49">
        <f>M91-H91</f>
        <v>0</v>
      </c>
      <c r="O91" s="50" t="str">
        <f>IF(H91=0,"No plan at start",M91/H91)</f>
        <v>No plan at start</v>
      </c>
      <c r="P91" s="53"/>
      <c r="Q91" s="54"/>
      <c r="R91" s="55"/>
      <c r="S91" s="55"/>
    </row>
    <row r="92" spans="1:19" s="10" customFormat="1" hidden="1" outlineLevel="2" x14ac:dyDescent="0.2">
      <c r="A92" s="11"/>
      <c r="B92" s="49" t="s">
        <v>67</v>
      </c>
      <c r="C92" s="49" t="s">
        <v>56</v>
      </c>
      <c r="D92" s="49">
        <v>0</v>
      </c>
      <c r="E92" s="49">
        <v>0</v>
      </c>
      <c r="F92" s="49">
        <f>E92-D92</f>
        <v>0</v>
      </c>
      <c r="G92" s="50">
        <f>IF(D92=0,0,ABS(F92/D92))</f>
        <v>0</v>
      </c>
      <c r="H92" s="49">
        <v>0</v>
      </c>
      <c r="I92" s="49">
        <v>0</v>
      </c>
      <c r="J92" s="51" t="str">
        <f>IF(H92=0,"No plan at start",I92/H92)</f>
        <v>No plan at start</v>
      </c>
      <c r="K92" s="52">
        <f>H92-I92</f>
        <v>0</v>
      </c>
      <c r="L92" s="49">
        <v>0</v>
      </c>
      <c r="M92" s="49">
        <f>I92+L92</f>
        <v>0</v>
      </c>
      <c r="N92" s="49">
        <f>M92-H92</f>
        <v>0</v>
      </c>
      <c r="O92" s="50" t="str">
        <f>IF(H92=0,"No plan at start",M92/H92)</f>
        <v>No plan at start</v>
      </c>
      <c r="P92" s="53"/>
      <c r="Q92" s="54"/>
      <c r="R92" s="55"/>
      <c r="S92" s="55"/>
    </row>
    <row r="93" spans="1:19" s="10" customFormat="1" hidden="1" outlineLevel="2" x14ac:dyDescent="0.2">
      <c r="A93" s="11"/>
      <c r="B93" s="49" t="s">
        <v>67</v>
      </c>
      <c r="C93" s="49" t="s">
        <v>57</v>
      </c>
      <c r="D93" s="49">
        <v>0</v>
      </c>
      <c r="E93" s="49">
        <v>0</v>
      </c>
      <c r="F93" s="49">
        <f>E93-D93</f>
        <v>0</v>
      </c>
      <c r="G93" s="50">
        <f>IF(D93=0,0,ABS(F93/D93))</f>
        <v>0</v>
      </c>
      <c r="H93" s="49">
        <v>0</v>
      </c>
      <c r="I93" s="49">
        <v>0</v>
      </c>
      <c r="J93" s="51" t="str">
        <f>IF(H93=0,"No plan at start",I93/H93)</f>
        <v>No plan at start</v>
      </c>
      <c r="K93" s="52">
        <f>H93-I93</f>
        <v>0</v>
      </c>
      <c r="L93" s="49">
        <v>0</v>
      </c>
      <c r="M93" s="49">
        <f>I93+L93</f>
        <v>0</v>
      </c>
      <c r="N93" s="49">
        <f>M93-H93</f>
        <v>0</v>
      </c>
      <c r="O93" s="50" t="str">
        <f>IF(H93=0,"No plan at start",M93/H93)</f>
        <v>No plan at start</v>
      </c>
      <c r="P93" s="53"/>
      <c r="Q93" s="54"/>
      <c r="R93" s="55"/>
      <c r="S93" s="55"/>
    </row>
    <row r="94" spans="1:19" s="10" customFormat="1" hidden="1" outlineLevel="2" x14ac:dyDescent="0.2">
      <c r="A94" s="11"/>
      <c r="B94" s="49" t="s">
        <v>67</v>
      </c>
      <c r="C94" s="49" t="s">
        <v>58</v>
      </c>
      <c r="D94" s="49">
        <v>0</v>
      </c>
      <c r="E94" s="49">
        <v>0</v>
      </c>
      <c r="F94" s="49">
        <f>E94-D94</f>
        <v>0</v>
      </c>
      <c r="G94" s="50">
        <f>IF(D94=0,0,ABS(F94/D94))</f>
        <v>0</v>
      </c>
      <c r="H94" s="49">
        <v>0</v>
      </c>
      <c r="I94" s="49">
        <v>0</v>
      </c>
      <c r="J94" s="51" t="str">
        <f>IF(H94=0,"No plan at start",I94/H94)</f>
        <v>No plan at start</v>
      </c>
      <c r="K94" s="52">
        <f>H94-I94</f>
        <v>0</v>
      </c>
      <c r="L94" s="49">
        <v>0</v>
      </c>
      <c r="M94" s="49">
        <f>I94+L94</f>
        <v>0</v>
      </c>
      <c r="N94" s="49">
        <f>M94-H94</f>
        <v>0</v>
      </c>
      <c r="O94" s="50" t="str">
        <f>IF(H94=0,"No plan at start",M94/H94)</f>
        <v>No plan at start</v>
      </c>
      <c r="P94" s="53"/>
      <c r="Q94" s="54"/>
      <c r="R94" s="55"/>
      <c r="S94" s="55"/>
    </row>
    <row r="95" spans="1:19" s="10" customFormat="1" hidden="1" outlineLevel="2" x14ac:dyDescent="0.2">
      <c r="A95" s="11"/>
      <c r="B95" s="49" t="s">
        <v>67</v>
      </c>
      <c r="C95" s="49" t="s">
        <v>59</v>
      </c>
      <c r="D95" s="49">
        <v>0</v>
      </c>
      <c r="E95" s="49">
        <v>0</v>
      </c>
      <c r="F95" s="49">
        <f>E95-D95</f>
        <v>0</v>
      </c>
      <c r="G95" s="50">
        <f>IF(D95=0,0,ABS(F95/D95))</f>
        <v>0</v>
      </c>
      <c r="H95" s="49">
        <v>0</v>
      </c>
      <c r="I95" s="49">
        <v>0</v>
      </c>
      <c r="J95" s="51" t="str">
        <f>IF(H95=0,"No plan at start",I95/H95)</f>
        <v>No plan at start</v>
      </c>
      <c r="K95" s="52">
        <f>H95-I95</f>
        <v>0</v>
      </c>
      <c r="L95" s="49">
        <v>0</v>
      </c>
      <c r="M95" s="49">
        <f>I95+L95</f>
        <v>0</v>
      </c>
      <c r="N95" s="49">
        <f>M95-H95</f>
        <v>0</v>
      </c>
      <c r="O95" s="50" t="str">
        <f>IF(H95=0,"No plan at start",M95/H95)</f>
        <v>No plan at start</v>
      </c>
      <c r="P95" s="53"/>
      <c r="Q95" s="54"/>
      <c r="R95" s="55"/>
      <c r="S95" s="55"/>
    </row>
    <row r="96" spans="1:19" s="10" customFormat="1" outlineLevel="1" collapsed="1" x14ac:dyDescent="0.2">
      <c r="A96" s="11"/>
      <c r="B96" s="56" t="s">
        <v>106</v>
      </c>
      <c r="C96" s="49"/>
      <c r="D96" s="49">
        <f>SUBTOTAL(9,D88:D95)</f>
        <v>0</v>
      </c>
      <c r="E96" s="49">
        <f>SUBTOTAL(9,E88:E95)</f>
        <v>0</v>
      </c>
      <c r="F96" s="49">
        <f>SUBTOTAL(9,F88:F95)</f>
        <v>0</v>
      </c>
      <c r="G96" s="50">
        <f>IF(D96=0,0,ABS(F96/D96))</f>
        <v>0</v>
      </c>
      <c r="H96" s="49">
        <f>SUBTOTAL(9,H88:H95)</f>
        <v>1454</v>
      </c>
      <c r="I96" s="49">
        <f>SUBTOTAL(9,I88:I95)</f>
        <v>1286.25</v>
      </c>
      <c r="J96" s="51">
        <f>IF(H96=0,"No plan at start",I96/H96)</f>
        <v>0.88462861072902343</v>
      </c>
      <c r="K96" s="52">
        <f>SUBTOTAL(9,K88:K95)</f>
        <v>167.75</v>
      </c>
      <c r="L96" s="49">
        <f>SUBTOTAL(9,L88:L95)</f>
        <v>0</v>
      </c>
      <c r="M96" s="49">
        <f>SUBTOTAL(9,M88:M95)</f>
        <v>1286.25</v>
      </c>
      <c r="N96" s="49">
        <f>SUBTOTAL(9,N88:N95)</f>
        <v>-167.75</v>
      </c>
      <c r="O96" s="50">
        <f>IF(H96=0,"No plan at start",M96/H96)</f>
        <v>0.88462861072902343</v>
      </c>
      <c r="P96" s="53"/>
      <c r="Q96" s="54"/>
      <c r="R96" s="55"/>
      <c r="S96" s="55"/>
    </row>
    <row r="97" spans="1:19" s="10" customFormat="1" hidden="1" outlineLevel="2" x14ac:dyDescent="0.2">
      <c r="A97" s="11"/>
      <c r="B97" s="49" t="s">
        <v>68</v>
      </c>
      <c r="C97" s="49" t="s">
        <v>52</v>
      </c>
      <c r="D97" s="49">
        <v>0</v>
      </c>
      <c r="E97" s="49">
        <v>0</v>
      </c>
      <c r="F97" s="49">
        <f>E97-D97</f>
        <v>0</v>
      </c>
      <c r="G97" s="50">
        <f>IF(D97=0,0,ABS(F97/D97))</f>
        <v>0</v>
      </c>
      <c r="H97" s="49">
        <v>1082.4000000000001</v>
      </c>
      <c r="I97" s="49">
        <v>2263</v>
      </c>
      <c r="J97" s="51">
        <f>IF(H97=0,"No plan at start",I97/H97)</f>
        <v>2.0907243163340721</v>
      </c>
      <c r="K97" s="52">
        <f>H97-I97</f>
        <v>-1180.5999999999999</v>
      </c>
      <c r="L97" s="49">
        <v>0</v>
      </c>
      <c r="M97" s="49">
        <f>I97+L97</f>
        <v>2263</v>
      </c>
      <c r="N97" s="49">
        <f>M97-H97</f>
        <v>1180.5999999999999</v>
      </c>
      <c r="O97" s="50">
        <f>IF(H97=0,"No plan at start",M97/H97)</f>
        <v>2.0907243163340721</v>
      </c>
      <c r="P97" s="53"/>
      <c r="Q97" s="54"/>
      <c r="R97" s="55"/>
      <c r="S97" s="55"/>
    </row>
    <row r="98" spans="1:19" s="10" customFormat="1" hidden="1" outlineLevel="2" x14ac:dyDescent="0.2">
      <c r="A98" s="11"/>
      <c r="B98" s="49" t="s">
        <v>68</v>
      </c>
      <c r="C98" s="49" t="s">
        <v>53</v>
      </c>
      <c r="D98" s="49">
        <v>0</v>
      </c>
      <c r="E98" s="49">
        <v>0</v>
      </c>
      <c r="F98" s="49">
        <f>E98-D98</f>
        <v>0</v>
      </c>
      <c r="G98" s="50">
        <f>IF(D98=0,0,ABS(F98/D98))</f>
        <v>0</v>
      </c>
      <c r="H98" s="49">
        <v>0</v>
      </c>
      <c r="I98" s="49">
        <v>0</v>
      </c>
      <c r="J98" s="51" t="str">
        <f>IF(H98=0,"No plan at start",I98/H98)</f>
        <v>No plan at start</v>
      </c>
      <c r="K98" s="52">
        <f>H98-I98</f>
        <v>0</v>
      </c>
      <c r="L98" s="49">
        <v>0</v>
      </c>
      <c r="M98" s="49">
        <f>I98+L98</f>
        <v>0</v>
      </c>
      <c r="N98" s="49">
        <f>M98-H98</f>
        <v>0</v>
      </c>
      <c r="O98" s="50" t="str">
        <f>IF(H98=0,"No plan at start",M98/H98)</f>
        <v>No plan at start</v>
      </c>
      <c r="P98" s="53"/>
      <c r="Q98" s="54"/>
      <c r="R98" s="55"/>
      <c r="S98" s="55"/>
    </row>
    <row r="99" spans="1:19" s="10" customFormat="1" hidden="1" outlineLevel="2" x14ac:dyDescent="0.2">
      <c r="A99" s="11"/>
      <c r="B99" s="49" t="s">
        <v>68</v>
      </c>
      <c r="C99" s="49" t="s">
        <v>54</v>
      </c>
      <c r="D99" s="49">
        <v>0</v>
      </c>
      <c r="E99" s="49">
        <v>0</v>
      </c>
      <c r="F99" s="49">
        <f>E99-D99</f>
        <v>0</v>
      </c>
      <c r="G99" s="50">
        <f>IF(D99=0,0,ABS(F99/D99))</f>
        <v>0</v>
      </c>
      <c r="H99" s="49">
        <v>0</v>
      </c>
      <c r="I99" s="49">
        <v>0</v>
      </c>
      <c r="J99" s="51" t="str">
        <f>IF(H99=0,"No plan at start",I99/H99)</f>
        <v>No plan at start</v>
      </c>
      <c r="K99" s="52">
        <f>H99-I99</f>
        <v>0</v>
      </c>
      <c r="L99" s="49">
        <v>0</v>
      </c>
      <c r="M99" s="49">
        <f>I99+L99</f>
        <v>0</v>
      </c>
      <c r="N99" s="49">
        <f>M99-H99</f>
        <v>0</v>
      </c>
      <c r="O99" s="50" t="str">
        <f>IF(H99=0,"No plan at start",M99/H99)</f>
        <v>No plan at start</v>
      </c>
      <c r="P99" s="53"/>
      <c r="Q99" s="54"/>
      <c r="R99" s="55"/>
      <c r="S99" s="55"/>
    </row>
    <row r="100" spans="1:19" s="10" customFormat="1" hidden="1" outlineLevel="2" x14ac:dyDescent="0.2">
      <c r="A100" s="11"/>
      <c r="B100" s="49" t="s">
        <v>68</v>
      </c>
      <c r="C100" s="49" t="s">
        <v>55</v>
      </c>
      <c r="D100" s="49">
        <v>0</v>
      </c>
      <c r="E100" s="49">
        <v>0</v>
      </c>
      <c r="F100" s="49">
        <f>E100-D100</f>
        <v>0</v>
      </c>
      <c r="G100" s="50">
        <f>IF(D100=0,0,ABS(F100/D100))</f>
        <v>0</v>
      </c>
      <c r="H100" s="49">
        <v>0</v>
      </c>
      <c r="I100" s="49">
        <v>0</v>
      </c>
      <c r="J100" s="51" t="str">
        <f>IF(H100=0,"No plan at start",I100/H100)</f>
        <v>No plan at start</v>
      </c>
      <c r="K100" s="52">
        <f>H100-I100</f>
        <v>0</v>
      </c>
      <c r="L100" s="49">
        <v>0</v>
      </c>
      <c r="M100" s="49">
        <f>I100+L100</f>
        <v>0</v>
      </c>
      <c r="N100" s="49">
        <f>M100-H100</f>
        <v>0</v>
      </c>
      <c r="O100" s="50" t="str">
        <f>IF(H100=0,"No plan at start",M100/H100)</f>
        <v>No plan at start</v>
      </c>
      <c r="P100" s="53"/>
      <c r="Q100" s="54"/>
      <c r="R100" s="55"/>
      <c r="S100" s="55"/>
    </row>
    <row r="101" spans="1:19" s="10" customFormat="1" hidden="1" outlineLevel="2" x14ac:dyDescent="0.2">
      <c r="A101" s="11"/>
      <c r="B101" s="49" t="s">
        <v>68</v>
      </c>
      <c r="C101" s="49" t="s">
        <v>56</v>
      </c>
      <c r="D101" s="49">
        <v>0</v>
      </c>
      <c r="E101" s="49">
        <v>0</v>
      </c>
      <c r="F101" s="49">
        <f>E101-D101</f>
        <v>0</v>
      </c>
      <c r="G101" s="50">
        <f>IF(D101=0,0,ABS(F101/D101))</f>
        <v>0</v>
      </c>
      <c r="H101" s="49">
        <v>336.80000000000007</v>
      </c>
      <c r="I101" s="49">
        <v>232</v>
      </c>
      <c r="J101" s="51">
        <f>IF(H101=0,"No plan at start",I101/H101)</f>
        <v>0.68883610451306398</v>
      </c>
      <c r="K101" s="52">
        <f>H101-I101</f>
        <v>104.80000000000007</v>
      </c>
      <c r="L101" s="49">
        <v>0</v>
      </c>
      <c r="M101" s="49">
        <f>I101+L101</f>
        <v>232</v>
      </c>
      <c r="N101" s="49">
        <f>M101-H101</f>
        <v>-104.80000000000007</v>
      </c>
      <c r="O101" s="50">
        <f>IF(H101=0,"No plan at start",M101/H101)</f>
        <v>0.68883610451306398</v>
      </c>
      <c r="P101" s="53"/>
      <c r="Q101" s="54"/>
      <c r="R101" s="55"/>
      <c r="S101" s="55"/>
    </row>
    <row r="102" spans="1:19" s="10" customFormat="1" hidden="1" outlineLevel="2" x14ac:dyDescent="0.2">
      <c r="A102" s="11"/>
      <c r="B102" s="49" t="s">
        <v>68</v>
      </c>
      <c r="C102" s="49" t="s">
        <v>57</v>
      </c>
      <c r="D102" s="49">
        <v>0</v>
      </c>
      <c r="E102" s="49">
        <v>0</v>
      </c>
      <c r="F102" s="49">
        <f>E102-D102</f>
        <v>0</v>
      </c>
      <c r="G102" s="50">
        <f>IF(D102=0,0,ABS(F102/D102))</f>
        <v>0</v>
      </c>
      <c r="H102" s="49">
        <v>0</v>
      </c>
      <c r="I102" s="49">
        <v>31</v>
      </c>
      <c r="J102" s="51" t="str">
        <f>IF(H102=0,"No plan at start",I102/H102)</f>
        <v>No plan at start</v>
      </c>
      <c r="K102" s="52">
        <f>H102-I102</f>
        <v>-31</v>
      </c>
      <c r="L102" s="49">
        <v>0</v>
      </c>
      <c r="M102" s="49">
        <f>I102+L102</f>
        <v>31</v>
      </c>
      <c r="N102" s="49">
        <f>M102-H102</f>
        <v>31</v>
      </c>
      <c r="O102" s="50" t="str">
        <f>IF(H102=0,"No plan at start",M102/H102)</f>
        <v>No plan at start</v>
      </c>
      <c r="P102" s="53"/>
      <c r="Q102" s="54"/>
      <c r="R102" s="55"/>
      <c r="S102" s="55"/>
    </row>
    <row r="103" spans="1:19" s="10" customFormat="1" hidden="1" outlineLevel="2" x14ac:dyDescent="0.2">
      <c r="A103" s="11"/>
      <c r="B103" s="49" t="s">
        <v>68</v>
      </c>
      <c r="C103" s="49" t="s">
        <v>58</v>
      </c>
      <c r="D103" s="49">
        <v>0</v>
      </c>
      <c r="E103" s="49">
        <v>0</v>
      </c>
      <c r="F103" s="49">
        <f>E103-D103</f>
        <v>0</v>
      </c>
      <c r="G103" s="50">
        <f>IF(D103=0,0,ABS(F103/D103))</f>
        <v>0</v>
      </c>
      <c r="H103" s="49">
        <v>0</v>
      </c>
      <c r="I103" s="49">
        <v>0</v>
      </c>
      <c r="J103" s="51" t="str">
        <f>IF(H103=0,"No plan at start",I103/H103)</f>
        <v>No plan at start</v>
      </c>
      <c r="K103" s="52">
        <f>H103-I103</f>
        <v>0</v>
      </c>
      <c r="L103" s="49">
        <v>0</v>
      </c>
      <c r="M103" s="49">
        <f>I103+L103</f>
        <v>0</v>
      </c>
      <c r="N103" s="49">
        <f>M103-H103</f>
        <v>0</v>
      </c>
      <c r="O103" s="50" t="str">
        <f>IF(H103=0,"No plan at start",M103/H103)</f>
        <v>No plan at start</v>
      </c>
      <c r="P103" s="53"/>
      <c r="Q103" s="54"/>
      <c r="R103" s="55"/>
      <c r="S103" s="55"/>
    </row>
    <row r="104" spans="1:19" s="10" customFormat="1" hidden="1" outlineLevel="2" x14ac:dyDescent="0.2">
      <c r="A104" s="11"/>
      <c r="B104" s="49" t="s">
        <v>68</v>
      </c>
      <c r="C104" s="49" t="s">
        <v>59</v>
      </c>
      <c r="D104" s="49">
        <v>0</v>
      </c>
      <c r="E104" s="49">
        <v>0</v>
      </c>
      <c r="F104" s="49">
        <f>E104-D104</f>
        <v>0</v>
      </c>
      <c r="G104" s="50">
        <f>IF(D104=0,0,ABS(F104/D104))</f>
        <v>0</v>
      </c>
      <c r="H104" s="49">
        <v>0</v>
      </c>
      <c r="I104" s="49">
        <v>0</v>
      </c>
      <c r="J104" s="51" t="str">
        <f>IF(H104=0,"No plan at start",I104/H104)</f>
        <v>No plan at start</v>
      </c>
      <c r="K104" s="52">
        <f>H104-I104</f>
        <v>0</v>
      </c>
      <c r="L104" s="49">
        <v>0</v>
      </c>
      <c r="M104" s="49">
        <f>I104+L104</f>
        <v>0</v>
      </c>
      <c r="N104" s="49">
        <f>M104-H104</f>
        <v>0</v>
      </c>
      <c r="O104" s="50" t="str">
        <f>IF(H104=0,"No plan at start",M104/H104)</f>
        <v>No plan at start</v>
      </c>
      <c r="P104" s="53"/>
      <c r="Q104" s="54"/>
      <c r="R104" s="55"/>
      <c r="S104" s="55"/>
    </row>
    <row r="105" spans="1:19" s="10" customFormat="1" outlineLevel="1" collapsed="1" x14ac:dyDescent="0.2">
      <c r="A105" s="11"/>
      <c r="B105" s="56" t="s">
        <v>107</v>
      </c>
      <c r="C105" s="49"/>
      <c r="D105" s="49">
        <f>SUBTOTAL(9,D97:D104)</f>
        <v>0</v>
      </c>
      <c r="E105" s="49">
        <f>SUBTOTAL(9,E97:E104)</f>
        <v>0</v>
      </c>
      <c r="F105" s="49">
        <f>SUBTOTAL(9,F97:F104)</f>
        <v>0</v>
      </c>
      <c r="G105" s="50">
        <f>IF(D105=0,0,ABS(F105/D105))</f>
        <v>0</v>
      </c>
      <c r="H105" s="49">
        <f>SUBTOTAL(9,H97:H104)</f>
        <v>1419.2000000000003</v>
      </c>
      <c r="I105" s="49">
        <f>SUBTOTAL(9,I97:I104)</f>
        <v>2526</v>
      </c>
      <c r="J105" s="51">
        <f>IF(H105=0,"No plan at start",I105/H105)</f>
        <v>1.779875986471251</v>
      </c>
      <c r="K105" s="52">
        <f>SUBTOTAL(9,K97:K104)</f>
        <v>-1106.7999999999997</v>
      </c>
      <c r="L105" s="49">
        <f>SUBTOTAL(9,L97:L104)</f>
        <v>0</v>
      </c>
      <c r="M105" s="49">
        <f>SUBTOTAL(9,M97:M104)</f>
        <v>2526</v>
      </c>
      <c r="N105" s="49">
        <f>SUBTOTAL(9,N97:N104)</f>
        <v>1106.7999999999997</v>
      </c>
      <c r="O105" s="50">
        <f>IF(H105=0,"No plan at start",M105/H105)</f>
        <v>1.779875986471251</v>
      </c>
      <c r="P105" s="53"/>
      <c r="Q105" s="54"/>
      <c r="R105" s="55"/>
      <c r="S105" s="55"/>
    </row>
    <row r="106" spans="1:19" s="10" customFormat="1" hidden="1" outlineLevel="2" x14ac:dyDescent="0.2">
      <c r="A106" s="11"/>
      <c r="B106" s="49" t="s">
        <v>69</v>
      </c>
      <c r="C106" s="49" t="s">
        <v>52</v>
      </c>
      <c r="D106" s="49">
        <v>0</v>
      </c>
      <c r="E106" s="49">
        <v>0</v>
      </c>
      <c r="F106" s="49">
        <f>E106-D106</f>
        <v>0</v>
      </c>
      <c r="G106" s="50">
        <f>IF(D106=0,0,ABS(F106/D106))</f>
        <v>0</v>
      </c>
      <c r="H106" s="49">
        <v>0</v>
      </c>
      <c r="I106" s="49">
        <v>0</v>
      </c>
      <c r="J106" s="51" t="str">
        <f>IF(H106=0,"No plan at start",I106/H106)</f>
        <v>No plan at start</v>
      </c>
      <c r="K106" s="52">
        <f>H106-I106</f>
        <v>0</v>
      </c>
      <c r="L106" s="49">
        <v>0</v>
      </c>
      <c r="M106" s="49">
        <f>I106+L106</f>
        <v>0</v>
      </c>
      <c r="N106" s="49">
        <f>M106-H106</f>
        <v>0</v>
      </c>
      <c r="O106" s="50" t="str">
        <f>IF(H106=0,"No plan at start",M106/H106)</f>
        <v>No plan at start</v>
      </c>
      <c r="P106" s="53"/>
      <c r="Q106" s="54"/>
      <c r="R106" s="55"/>
      <c r="S106" s="55"/>
    </row>
    <row r="107" spans="1:19" s="10" customFormat="1" hidden="1" outlineLevel="2" x14ac:dyDescent="0.2">
      <c r="A107" s="11"/>
      <c r="B107" s="49" t="s">
        <v>69</v>
      </c>
      <c r="C107" s="49" t="s">
        <v>53</v>
      </c>
      <c r="D107" s="49">
        <v>0</v>
      </c>
      <c r="E107" s="49">
        <v>0</v>
      </c>
      <c r="F107" s="49">
        <f>E107-D107</f>
        <v>0</v>
      </c>
      <c r="G107" s="50">
        <f>IF(D107=0,0,ABS(F107/D107))</f>
        <v>0</v>
      </c>
      <c r="H107" s="49">
        <v>0</v>
      </c>
      <c r="I107" s="49">
        <v>0</v>
      </c>
      <c r="J107" s="51" t="str">
        <f>IF(H107=0,"No plan at start",I107/H107)</f>
        <v>No plan at start</v>
      </c>
      <c r="K107" s="52">
        <f>H107-I107</f>
        <v>0</v>
      </c>
      <c r="L107" s="49">
        <v>0</v>
      </c>
      <c r="M107" s="49">
        <f>I107+L107</f>
        <v>0</v>
      </c>
      <c r="N107" s="49">
        <f>M107-H107</f>
        <v>0</v>
      </c>
      <c r="O107" s="50" t="str">
        <f>IF(H107=0,"No plan at start",M107/H107)</f>
        <v>No plan at start</v>
      </c>
      <c r="P107" s="53"/>
      <c r="Q107" s="54"/>
      <c r="R107" s="55"/>
      <c r="S107" s="55"/>
    </row>
    <row r="108" spans="1:19" s="10" customFormat="1" hidden="1" outlineLevel="2" x14ac:dyDescent="0.2">
      <c r="A108" s="11"/>
      <c r="B108" s="49" t="s">
        <v>69</v>
      </c>
      <c r="C108" s="49" t="s">
        <v>54</v>
      </c>
      <c r="D108" s="49">
        <v>0</v>
      </c>
      <c r="E108" s="49">
        <v>0</v>
      </c>
      <c r="F108" s="49">
        <f>E108-D108</f>
        <v>0</v>
      </c>
      <c r="G108" s="50">
        <f>IF(D108=0,0,ABS(F108/D108))</f>
        <v>0</v>
      </c>
      <c r="H108" s="49">
        <v>0</v>
      </c>
      <c r="I108" s="49">
        <v>0</v>
      </c>
      <c r="J108" s="51" t="str">
        <f>IF(H108=0,"No plan at start",I108/H108)</f>
        <v>No plan at start</v>
      </c>
      <c r="K108" s="52">
        <f>H108-I108</f>
        <v>0</v>
      </c>
      <c r="L108" s="49">
        <v>0</v>
      </c>
      <c r="M108" s="49">
        <f>I108+L108</f>
        <v>0</v>
      </c>
      <c r="N108" s="49">
        <f>M108-H108</f>
        <v>0</v>
      </c>
      <c r="O108" s="50" t="str">
        <f>IF(H108=0,"No plan at start",M108/H108)</f>
        <v>No plan at start</v>
      </c>
      <c r="P108" s="53"/>
      <c r="Q108" s="54"/>
      <c r="R108" s="55"/>
      <c r="S108" s="55"/>
    </row>
    <row r="109" spans="1:19" s="10" customFormat="1" hidden="1" outlineLevel="2" x14ac:dyDescent="0.2">
      <c r="A109" s="11"/>
      <c r="B109" s="49" t="s">
        <v>69</v>
      </c>
      <c r="C109" s="49" t="s">
        <v>55</v>
      </c>
      <c r="D109" s="49">
        <v>0</v>
      </c>
      <c r="E109" s="49">
        <v>0</v>
      </c>
      <c r="F109" s="49">
        <f>E109-D109</f>
        <v>0</v>
      </c>
      <c r="G109" s="50">
        <f>IF(D109=0,0,ABS(F109/D109))</f>
        <v>0</v>
      </c>
      <c r="H109" s="49">
        <v>0</v>
      </c>
      <c r="I109" s="49">
        <v>0</v>
      </c>
      <c r="J109" s="51" t="str">
        <f>IF(H109=0,"No plan at start",I109/H109)</f>
        <v>No plan at start</v>
      </c>
      <c r="K109" s="52">
        <f>H109-I109</f>
        <v>0</v>
      </c>
      <c r="L109" s="49">
        <v>0</v>
      </c>
      <c r="M109" s="49">
        <f>I109+L109</f>
        <v>0</v>
      </c>
      <c r="N109" s="49">
        <f>M109-H109</f>
        <v>0</v>
      </c>
      <c r="O109" s="50" t="str">
        <f>IF(H109=0,"No plan at start",M109/H109)</f>
        <v>No plan at start</v>
      </c>
      <c r="P109" s="53"/>
      <c r="Q109" s="54"/>
      <c r="R109" s="55"/>
      <c r="S109" s="55"/>
    </row>
    <row r="110" spans="1:19" s="10" customFormat="1" hidden="1" outlineLevel="2" x14ac:dyDescent="0.2">
      <c r="A110" s="11"/>
      <c r="B110" s="49" t="s">
        <v>69</v>
      </c>
      <c r="C110" s="49" t="s">
        <v>56</v>
      </c>
      <c r="D110" s="49">
        <v>0</v>
      </c>
      <c r="E110" s="49">
        <v>0</v>
      </c>
      <c r="F110" s="49">
        <f>E110-D110</f>
        <v>0</v>
      </c>
      <c r="G110" s="50">
        <f>IF(D110=0,0,ABS(F110/D110))</f>
        <v>0</v>
      </c>
      <c r="H110" s="49">
        <v>0</v>
      </c>
      <c r="I110" s="49">
        <v>0</v>
      </c>
      <c r="J110" s="51" t="str">
        <f>IF(H110=0,"No plan at start",I110/H110)</f>
        <v>No plan at start</v>
      </c>
      <c r="K110" s="52">
        <f>H110-I110</f>
        <v>0</v>
      </c>
      <c r="L110" s="49">
        <v>0</v>
      </c>
      <c r="M110" s="49">
        <f>I110+L110</f>
        <v>0</v>
      </c>
      <c r="N110" s="49">
        <f>M110-H110</f>
        <v>0</v>
      </c>
      <c r="O110" s="50" t="str">
        <f>IF(H110=0,"No plan at start",M110/H110)</f>
        <v>No plan at start</v>
      </c>
      <c r="P110" s="53"/>
      <c r="Q110" s="54"/>
      <c r="R110" s="55"/>
      <c r="S110" s="55"/>
    </row>
    <row r="111" spans="1:19" s="10" customFormat="1" hidden="1" outlineLevel="2" x14ac:dyDescent="0.2">
      <c r="A111" s="11"/>
      <c r="B111" s="49" t="s">
        <v>69</v>
      </c>
      <c r="C111" s="49" t="s">
        <v>57</v>
      </c>
      <c r="D111" s="49">
        <v>0</v>
      </c>
      <c r="E111" s="49">
        <v>0</v>
      </c>
      <c r="F111" s="49">
        <f>E111-D111</f>
        <v>0</v>
      </c>
      <c r="G111" s="50">
        <f>IF(D111=0,0,ABS(F111/D111))</f>
        <v>0</v>
      </c>
      <c r="H111" s="49">
        <v>0</v>
      </c>
      <c r="I111" s="49">
        <v>0</v>
      </c>
      <c r="J111" s="51" t="str">
        <f>IF(H111=0,"No plan at start",I111/H111)</f>
        <v>No plan at start</v>
      </c>
      <c r="K111" s="52">
        <f>H111-I111</f>
        <v>0</v>
      </c>
      <c r="L111" s="49">
        <v>0</v>
      </c>
      <c r="M111" s="49">
        <f>I111+L111</f>
        <v>0</v>
      </c>
      <c r="N111" s="49">
        <f>M111-H111</f>
        <v>0</v>
      </c>
      <c r="O111" s="50" t="str">
        <f>IF(H111=0,"No plan at start",M111/H111)</f>
        <v>No plan at start</v>
      </c>
      <c r="P111" s="53"/>
      <c r="Q111" s="54"/>
      <c r="R111" s="55"/>
      <c r="S111" s="55"/>
    </row>
    <row r="112" spans="1:19" s="10" customFormat="1" hidden="1" outlineLevel="2" x14ac:dyDescent="0.2">
      <c r="A112" s="11"/>
      <c r="B112" s="49" t="s">
        <v>69</v>
      </c>
      <c r="C112" s="49" t="s">
        <v>58</v>
      </c>
      <c r="D112" s="49">
        <v>0</v>
      </c>
      <c r="E112" s="49">
        <v>0</v>
      </c>
      <c r="F112" s="49">
        <f>E112-D112</f>
        <v>0</v>
      </c>
      <c r="G112" s="50">
        <f>IF(D112=0,0,ABS(F112/D112))</f>
        <v>0</v>
      </c>
      <c r="H112" s="49">
        <v>0</v>
      </c>
      <c r="I112" s="49">
        <v>0</v>
      </c>
      <c r="J112" s="51" t="str">
        <f>IF(H112=0,"No plan at start",I112/H112)</f>
        <v>No plan at start</v>
      </c>
      <c r="K112" s="52">
        <f>H112-I112</f>
        <v>0</v>
      </c>
      <c r="L112" s="49">
        <v>0</v>
      </c>
      <c r="M112" s="49">
        <f>I112+L112</f>
        <v>0</v>
      </c>
      <c r="N112" s="49">
        <f>M112-H112</f>
        <v>0</v>
      </c>
      <c r="O112" s="50" t="str">
        <f>IF(H112=0,"No plan at start",M112/H112)</f>
        <v>No plan at start</v>
      </c>
      <c r="P112" s="53"/>
      <c r="Q112" s="54"/>
      <c r="R112" s="55"/>
      <c r="S112" s="55"/>
    </row>
    <row r="113" spans="1:19" s="10" customFormat="1" hidden="1" outlineLevel="2" x14ac:dyDescent="0.2">
      <c r="A113" s="11"/>
      <c r="B113" s="49" t="s">
        <v>69</v>
      </c>
      <c r="C113" s="49" t="s">
        <v>59</v>
      </c>
      <c r="D113" s="49">
        <v>0</v>
      </c>
      <c r="E113" s="49">
        <v>0</v>
      </c>
      <c r="F113" s="49">
        <f>E113-D113</f>
        <v>0</v>
      </c>
      <c r="G113" s="50">
        <f>IF(D113=0,0,ABS(F113/D113))</f>
        <v>0</v>
      </c>
      <c r="H113" s="49">
        <v>0</v>
      </c>
      <c r="I113" s="49">
        <v>0</v>
      </c>
      <c r="J113" s="51" t="str">
        <f>IF(H113=0,"No plan at start",I113/H113)</f>
        <v>No plan at start</v>
      </c>
      <c r="K113" s="52">
        <f>H113-I113</f>
        <v>0</v>
      </c>
      <c r="L113" s="49">
        <v>0</v>
      </c>
      <c r="M113" s="49">
        <f>I113+L113</f>
        <v>0</v>
      </c>
      <c r="N113" s="49">
        <f>M113-H113</f>
        <v>0</v>
      </c>
      <c r="O113" s="50" t="str">
        <f>IF(H113=0,"No plan at start",M113/H113)</f>
        <v>No plan at start</v>
      </c>
      <c r="P113" s="53"/>
      <c r="Q113" s="54"/>
      <c r="R113" s="55"/>
      <c r="S113" s="55"/>
    </row>
    <row r="114" spans="1:19" s="10" customFormat="1" outlineLevel="1" collapsed="1" x14ac:dyDescent="0.2">
      <c r="A114" s="11"/>
      <c r="B114" s="56" t="s">
        <v>108</v>
      </c>
      <c r="C114" s="49"/>
      <c r="D114" s="49">
        <f>SUBTOTAL(9,D106:D113)</f>
        <v>0</v>
      </c>
      <c r="E114" s="49">
        <f>SUBTOTAL(9,E106:E113)</f>
        <v>0</v>
      </c>
      <c r="F114" s="49">
        <f>SUBTOTAL(9,F106:F113)</f>
        <v>0</v>
      </c>
      <c r="G114" s="50">
        <f>IF(D114=0,0,ABS(F114/D114))</f>
        <v>0</v>
      </c>
      <c r="H114" s="49">
        <f>SUBTOTAL(9,H106:H113)</f>
        <v>0</v>
      </c>
      <c r="I114" s="49">
        <f>SUBTOTAL(9,I106:I113)</f>
        <v>0</v>
      </c>
      <c r="J114" s="51" t="str">
        <f>IF(H114=0,"No plan at start",I114/H114)</f>
        <v>No plan at start</v>
      </c>
      <c r="K114" s="52">
        <f>SUBTOTAL(9,K106:K113)</f>
        <v>0</v>
      </c>
      <c r="L114" s="49">
        <f>SUBTOTAL(9,L106:L113)</f>
        <v>0</v>
      </c>
      <c r="M114" s="49">
        <f>SUBTOTAL(9,M106:M113)</f>
        <v>0</v>
      </c>
      <c r="N114" s="49">
        <f>SUBTOTAL(9,N106:N113)</f>
        <v>0</v>
      </c>
      <c r="O114" s="50" t="str">
        <f>IF(H114=0,"No plan at start",M114/H114)</f>
        <v>No plan at start</v>
      </c>
      <c r="P114" s="53"/>
      <c r="Q114" s="54"/>
      <c r="R114" s="55"/>
      <c r="S114" s="55"/>
    </row>
    <row r="115" spans="1:19" s="10" customFormat="1" hidden="1" outlineLevel="2" x14ac:dyDescent="0.2">
      <c r="A115" s="11"/>
      <c r="B115" s="49" t="s">
        <v>70</v>
      </c>
      <c r="C115" s="49" t="s">
        <v>52</v>
      </c>
      <c r="D115" s="49">
        <v>0</v>
      </c>
      <c r="E115" s="49">
        <v>0</v>
      </c>
      <c r="F115" s="49">
        <f>E115-D115</f>
        <v>0</v>
      </c>
      <c r="G115" s="50">
        <f>IF(D115=0,0,ABS(F115/D115))</f>
        <v>0</v>
      </c>
      <c r="H115" s="49">
        <v>0</v>
      </c>
      <c r="I115" s="49">
        <v>0</v>
      </c>
      <c r="J115" s="51" t="str">
        <f>IF(H115=0,"No plan at start",I115/H115)</f>
        <v>No plan at start</v>
      </c>
      <c r="K115" s="52">
        <f>H115-I115</f>
        <v>0</v>
      </c>
      <c r="L115" s="49">
        <v>0</v>
      </c>
      <c r="M115" s="49">
        <f>I115+L115</f>
        <v>0</v>
      </c>
      <c r="N115" s="49">
        <f>M115-H115</f>
        <v>0</v>
      </c>
      <c r="O115" s="50" t="str">
        <f>IF(H115=0,"No plan at start",M115/H115)</f>
        <v>No plan at start</v>
      </c>
      <c r="P115" s="53"/>
      <c r="Q115" s="54"/>
      <c r="R115" s="55"/>
      <c r="S115" s="55"/>
    </row>
    <row r="116" spans="1:19" s="10" customFormat="1" hidden="1" outlineLevel="2" x14ac:dyDescent="0.2">
      <c r="A116" s="11"/>
      <c r="B116" s="49" t="s">
        <v>70</v>
      </c>
      <c r="C116" s="49" t="s">
        <v>53</v>
      </c>
      <c r="D116" s="49">
        <v>0</v>
      </c>
      <c r="E116" s="49">
        <v>0</v>
      </c>
      <c r="F116" s="49">
        <f>E116-D116</f>
        <v>0</v>
      </c>
      <c r="G116" s="50">
        <f>IF(D116=0,0,ABS(F116/D116))</f>
        <v>0</v>
      </c>
      <c r="H116" s="49">
        <v>0</v>
      </c>
      <c r="I116" s="49">
        <v>0</v>
      </c>
      <c r="J116" s="51" t="str">
        <f>IF(H116=0,"No plan at start",I116/H116)</f>
        <v>No plan at start</v>
      </c>
      <c r="K116" s="52">
        <f>H116-I116</f>
        <v>0</v>
      </c>
      <c r="L116" s="49">
        <v>0</v>
      </c>
      <c r="M116" s="49">
        <f>I116+L116</f>
        <v>0</v>
      </c>
      <c r="N116" s="49">
        <f>M116-H116</f>
        <v>0</v>
      </c>
      <c r="O116" s="50" t="str">
        <f>IF(H116=0,"No plan at start",M116/H116)</f>
        <v>No plan at start</v>
      </c>
      <c r="P116" s="53"/>
      <c r="Q116" s="54"/>
      <c r="R116" s="55"/>
      <c r="S116" s="55"/>
    </row>
    <row r="117" spans="1:19" s="10" customFormat="1" hidden="1" outlineLevel="2" x14ac:dyDescent="0.2">
      <c r="A117" s="11"/>
      <c r="B117" s="49" t="s">
        <v>70</v>
      </c>
      <c r="C117" s="49" t="s">
        <v>54</v>
      </c>
      <c r="D117" s="49">
        <v>0</v>
      </c>
      <c r="E117" s="49">
        <v>0</v>
      </c>
      <c r="F117" s="49">
        <f>E117-D117</f>
        <v>0</v>
      </c>
      <c r="G117" s="50">
        <f>IF(D117=0,0,ABS(F117/D117))</f>
        <v>0</v>
      </c>
      <c r="H117" s="49">
        <v>0</v>
      </c>
      <c r="I117" s="49">
        <v>0</v>
      </c>
      <c r="J117" s="51" t="str">
        <f>IF(H117=0,"No plan at start",I117/H117)</f>
        <v>No plan at start</v>
      </c>
      <c r="K117" s="52">
        <f>H117-I117</f>
        <v>0</v>
      </c>
      <c r="L117" s="49">
        <v>0</v>
      </c>
      <c r="M117" s="49">
        <f>I117+L117</f>
        <v>0</v>
      </c>
      <c r="N117" s="49">
        <f>M117-H117</f>
        <v>0</v>
      </c>
      <c r="O117" s="50" t="str">
        <f>IF(H117=0,"No plan at start",M117/H117)</f>
        <v>No plan at start</v>
      </c>
      <c r="P117" s="53"/>
      <c r="Q117" s="54"/>
      <c r="R117" s="55"/>
      <c r="S117" s="55"/>
    </row>
    <row r="118" spans="1:19" s="10" customFormat="1" hidden="1" outlineLevel="2" x14ac:dyDescent="0.2">
      <c r="A118" s="11"/>
      <c r="B118" s="49" t="s">
        <v>70</v>
      </c>
      <c r="C118" s="49" t="s">
        <v>55</v>
      </c>
      <c r="D118" s="49">
        <v>0</v>
      </c>
      <c r="E118" s="49">
        <v>0</v>
      </c>
      <c r="F118" s="49">
        <f>E118-D118</f>
        <v>0</v>
      </c>
      <c r="G118" s="50">
        <f>IF(D118=0,0,ABS(F118/D118))</f>
        <v>0</v>
      </c>
      <c r="H118" s="49">
        <v>0</v>
      </c>
      <c r="I118" s="49">
        <v>0</v>
      </c>
      <c r="J118" s="51" t="str">
        <f>IF(H118=0,"No plan at start",I118/H118)</f>
        <v>No plan at start</v>
      </c>
      <c r="K118" s="52">
        <f>H118-I118</f>
        <v>0</v>
      </c>
      <c r="L118" s="49">
        <v>0</v>
      </c>
      <c r="M118" s="49">
        <f>I118+L118</f>
        <v>0</v>
      </c>
      <c r="N118" s="49">
        <f>M118-H118</f>
        <v>0</v>
      </c>
      <c r="O118" s="50" t="str">
        <f>IF(H118=0,"No plan at start",M118/H118)</f>
        <v>No plan at start</v>
      </c>
      <c r="P118" s="53"/>
      <c r="Q118" s="54"/>
      <c r="R118" s="55"/>
      <c r="S118" s="55"/>
    </row>
    <row r="119" spans="1:19" s="10" customFormat="1" hidden="1" outlineLevel="2" x14ac:dyDescent="0.2">
      <c r="A119" s="11"/>
      <c r="B119" s="49" t="s">
        <v>70</v>
      </c>
      <c r="C119" s="49" t="s">
        <v>56</v>
      </c>
      <c r="D119" s="49">
        <v>0</v>
      </c>
      <c r="E119" s="49">
        <v>0</v>
      </c>
      <c r="F119" s="49">
        <f>E119-D119</f>
        <v>0</v>
      </c>
      <c r="G119" s="50">
        <f>IF(D119=0,0,ABS(F119/D119))</f>
        <v>0</v>
      </c>
      <c r="H119" s="49">
        <v>0</v>
      </c>
      <c r="I119" s="49">
        <v>0</v>
      </c>
      <c r="J119" s="51" t="str">
        <f>IF(H119=0,"No plan at start",I119/H119)</f>
        <v>No plan at start</v>
      </c>
      <c r="K119" s="52">
        <f>H119-I119</f>
        <v>0</v>
      </c>
      <c r="L119" s="49">
        <v>0</v>
      </c>
      <c r="M119" s="49">
        <f>I119+L119</f>
        <v>0</v>
      </c>
      <c r="N119" s="49">
        <f>M119-H119</f>
        <v>0</v>
      </c>
      <c r="O119" s="50" t="str">
        <f>IF(H119=0,"No plan at start",M119/H119)</f>
        <v>No plan at start</v>
      </c>
      <c r="P119" s="53"/>
      <c r="Q119" s="54"/>
      <c r="R119" s="55"/>
      <c r="S119" s="55"/>
    </row>
    <row r="120" spans="1:19" s="10" customFormat="1" hidden="1" outlineLevel="2" x14ac:dyDescent="0.2">
      <c r="A120" s="11"/>
      <c r="B120" s="49" t="s">
        <v>70</v>
      </c>
      <c r="C120" s="49" t="s">
        <v>57</v>
      </c>
      <c r="D120" s="49">
        <v>0</v>
      </c>
      <c r="E120" s="49">
        <v>0</v>
      </c>
      <c r="F120" s="49">
        <f>E120-D120</f>
        <v>0</v>
      </c>
      <c r="G120" s="50">
        <f>IF(D120=0,0,ABS(F120/D120))</f>
        <v>0</v>
      </c>
      <c r="H120" s="49">
        <v>0</v>
      </c>
      <c r="I120" s="49">
        <v>12</v>
      </c>
      <c r="J120" s="51" t="str">
        <f>IF(H120=0,"No plan at start",I120/H120)</f>
        <v>No plan at start</v>
      </c>
      <c r="K120" s="52">
        <f>H120-I120</f>
        <v>-12</v>
      </c>
      <c r="L120" s="49">
        <v>0</v>
      </c>
      <c r="M120" s="49">
        <f>I120+L120</f>
        <v>12</v>
      </c>
      <c r="N120" s="49">
        <f>M120-H120</f>
        <v>12</v>
      </c>
      <c r="O120" s="50" t="str">
        <f>IF(H120=0,"No plan at start",M120/H120)</f>
        <v>No plan at start</v>
      </c>
      <c r="P120" s="53"/>
      <c r="Q120" s="54"/>
      <c r="R120" s="55"/>
      <c r="S120" s="55"/>
    </row>
    <row r="121" spans="1:19" s="10" customFormat="1" hidden="1" outlineLevel="2" x14ac:dyDescent="0.2">
      <c r="A121" s="11"/>
      <c r="B121" s="49" t="s">
        <v>70</v>
      </c>
      <c r="C121" s="49" t="s">
        <v>58</v>
      </c>
      <c r="D121" s="49">
        <v>0</v>
      </c>
      <c r="E121" s="49">
        <v>0</v>
      </c>
      <c r="F121" s="49">
        <f>E121-D121</f>
        <v>0</v>
      </c>
      <c r="G121" s="50">
        <f>IF(D121=0,0,ABS(F121/D121))</f>
        <v>0</v>
      </c>
      <c r="H121" s="49">
        <v>0</v>
      </c>
      <c r="I121" s="49">
        <v>0</v>
      </c>
      <c r="J121" s="51" t="str">
        <f>IF(H121=0,"No plan at start",I121/H121)</f>
        <v>No plan at start</v>
      </c>
      <c r="K121" s="52">
        <f>H121-I121</f>
        <v>0</v>
      </c>
      <c r="L121" s="49">
        <v>0</v>
      </c>
      <c r="M121" s="49">
        <f>I121+L121</f>
        <v>0</v>
      </c>
      <c r="N121" s="49">
        <f>M121-H121</f>
        <v>0</v>
      </c>
      <c r="O121" s="50" t="str">
        <f>IF(H121=0,"No plan at start",M121/H121)</f>
        <v>No plan at start</v>
      </c>
      <c r="P121" s="53"/>
      <c r="Q121" s="54"/>
      <c r="R121" s="55"/>
      <c r="S121" s="55"/>
    </row>
    <row r="122" spans="1:19" s="10" customFormat="1" hidden="1" outlineLevel="2" x14ac:dyDescent="0.2">
      <c r="A122" s="11"/>
      <c r="B122" s="49" t="s">
        <v>70</v>
      </c>
      <c r="C122" s="49" t="s">
        <v>59</v>
      </c>
      <c r="D122" s="49">
        <v>0</v>
      </c>
      <c r="E122" s="49">
        <v>0</v>
      </c>
      <c r="F122" s="49">
        <f>E122-D122</f>
        <v>0</v>
      </c>
      <c r="G122" s="50">
        <f>IF(D122=0,0,ABS(F122/D122))</f>
        <v>0</v>
      </c>
      <c r="H122" s="49">
        <v>0</v>
      </c>
      <c r="I122" s="49">
        <v>0</v>
      </c>
      <c r="J122" s="51" t="str">
        <f>IF(H122=0,"No plan at start",I122/H122)</f>
        <v>No plan at start</v>
      </c>
      <c r="K122" s="52">
        <f>H122-I122</f>
        <v>0</v>
      </c>
      <c r="L122" s="49">
        <v>0</v>
      </c>
      <c r="M122" s="49">
        <f>I122+L122</f>
        <v>0</v>
      </c>
      <c r="N122" s="49">
        <f>M122-H122</f>
        <v>0</v>
      </c>
      <c r="O122" s="50" t="str">
        <f>IF(H122=0,"No plan at start",M122/H122)</f>
        <v>No plan at start</v>
      </c>
      <c r="P122" s="53"/>
      <c r="Q122" s="54"/>
      <c r="R122" s="55"/>
      <c r="S122" s="55"/>
    </row>
    <row r="123" spans="1:19" s="10" customFormat="1" outlineLevel="1" collapsed="1" x14ac:dyDescent="0.2">
      <c r="A123" s="11"/>
      <c r="B123" s="56" t="s">
        <v>109</v>
      </c>
      <c r="C123" s="49"/>
      <c r="D123" s="49">
        <f>SUBTOTAL(9,D115:D122)</f>
        <v>0</v>
      </c>
      <c r="E123" s="49">
        <f>SUBTOTAL(9,E115:E122)</f>
        <v>0</v>
      </c>
      <c r="F123" s="49">
        <f>SUBTOTAL(9,F115:F122)</f>
        <v>0</v>
      </c>
      <c r="G123" s="50">
        <f>IF(D123=0,0,ABS(F123/D123))</f>
        <v>0</v>
      </c>
      <c r="H123" s="49">
        <f>SUBTOTAL(9,H115:H122)</f>
        <v>0</v>
      </c>
      <c r="I123" s="49">
        <f>SUBTOTAL(9,I115:I122)</f>
        <v>12</v>
      </c>
      <c r="J123" s="51" t="str">
        <f>IF(H123=0,"No plan at start",I123/H123)</f>
        <v>No plan at start</v>
      </c>
      <c r="K123" s="52">
        <f>SUBTOTAL(9,K115:K122)</f>
        <v>-12</v>
      </c>
      <c r="L123" s="49">
        <f>SUBTOTAL(9,L115:L122)</f>
        <v>0</v>
      </c>
      <c r="M123" s="49">
        <f>SUBTOTAL(9,M115:M122)</f>
        <v>12</v>
      </c>
      <c r="N123" s="49">
        <f>SUBTOTAL(9,N115:N122)</f>
        <v>12</v>
      </c>
      <c r="O123" s="50" t="str">
        <f>IF(H123=0,"No plan at start",M123/H123)</f>
        <v>No plan at start</v>
      </c>
      <c r="P123" s="53"/>
      <c r="Q123" s="54"/>
      <c r="R123" s="55"/>
      <c r="S123" s="55"/>
    </row>
    <row r="124" spans="1:19" s="10" customFormat="1" hidden="1" outlineLevel="2" x14ac:dyDescent="0.2">
      <c r="A124" s="11"/>
      <c r="B124" s="49" t="s">
        <v>71</v>
      </c>
      <c r="C124" s="49" t="s">
        <v>52</v>
      </c>
      <c r="D124" s="49">
        <v>0</v>
      </c>
      <c r="E124" s="49">
        <v>0</v>
      </c>
      <c r="F124" s="49">
        <f>E124-D124</f>
        <v>0</v>
      </c>
      <c r="G124" s="50">
        <f>IF(D124=0,0,ABS(F124/D124))</f>
        <v>0</v>
      </c>
      <c r="H124" s="49">
        <v>0</v>
      </c>
      <c r="I124" s="49">
        <v>0</v>
      </c>
      <c r="J124" s="51" t="str">
        <f>IF(H124=0,"No plan at start",I124/H124)</f>
        <v>No plan at start</v>
      </c>
      <c r="K124" s="52">
        <f>H124-I124</f>
        <v>0</v>
      </c>
      <c r="L124" s="49">
        <v>0</v>
      </c>
      <c r="M124" s="49">
        <f>I124+L124</f>
        <v>0</v>
      </c>
      <c r="N124" s="49">
        <f>M124-H124</f>
        <v>0</v>
      </c>
      <c r="O124" s="50" t="str">
        <f>IF(H124=0,"No plan at start",M124/H124)</f>
        <v>No plan at start</v>
      </c>
      <c r="P124" s="53"/>
      <c r="Q124" s="54"/>
      <c r="R124" s="55"/>
      <c r="S124" s="55"/>
    </row>
    <row r="125" spans="1:19" s="10" customFormat="1" hidden="1" outlineLevel="2" x14ac:dyDescent="0.2">
      <c r="A125" s="11"/>
      <c r="B125" s="49" t="s">
        <v>71</v>
      </c>
      <c r="C125" s="49" t="s">
        <v>53</v>
      </c>
      <c r="D125" s="49">
        <v>0</v>
      </c>
      <c r="E125" s="49">
        <v>0</v>
      </c>
      <c r="F125" s="49">
        <f>E125-D125</f>
        <v>0</v>
      </c>
      <c r="G125" s="50">
        <f>IF(D125=0,0,ABS(F125/D125))</f>
        <v>0</v>
      </c>
      <c r="H125" s="49">
        <v>0</v>
      </c>
      <c r="I125" s="49">
        <v>0</v>
      </c>
      <c r="J125" s="51" t="str">
        <f>IF(H125=0,"No plan at start",I125/H125)</f>
        <v>No plan at start</v>
      </c>
      <c r="K125" s="52">
        <f>H125-I125</f>
        <v>0</v>
      </c>
      <c r="L125" s="49">
        <v>0</v>
      </c>
      <c r="M125" s="49">
        <f>I125+L125</f>
        <v>0</v>
      </c>
      <c r="N125" s="49">
        <f>M125-H125</f>
        <v>0</v>
      </c>
      <c r="O125" s="50" t="str">
        <f>IF(H125=0,"No plan at start",M125/H125)</f>
        <v>No plan at start</v>
      </c>
      <c r="P125" s="53"/>
      <c r="Q125" s="54"/>
      <c r="R125" s="55"/>
      <c r="S125" s="55"/>
    </row>
    <row r="126" spans="1:19" s="10" customFormat="1" hidden="1" outlineLevel="2" x14ac:dyDescent="0.2">
      <c r="A126" s="11"/>
      <c r="B126" s="49" t="s">
        <v>71</v>
      </c>
      <c r="C126" s="49" t="s">
        <v>54</v>
      </c>
      <c r="D126" s="49">
        <v>0</v>
      </c>
      <c r="E126" s="49">
        <v>0</v>
      </c>
      <c r="F126" s="49">
        <f>E126-D126</f>
        <v>0</v>
      </c>
      <c r="G126" s="50">
        <f>IF(D126=0,0,ABS(F126/D126))</f>
        <v>0</v>
      </c>
      <c r="H126" s="49">
        <v>0</v>
      </c>
      <c r="I126" s="49">
        <v>0</v>
      </c>
      <c r="J126" s="51" t="str">
        <f>IF(H126=0,"No plan at start",I126/H126)</f>
        <v>No plan at start</v>
      </c>
      <c r="K126" s="52">
        <f>H126-I126</f>
        <v>0</v>
      </c>
      <c r="L126" s="49">
        <v>0</v>
      </c>
      <c r="M126" s="49">
        <f>I126+L126</f>
        <v>0</v>
      </c>
      <c r="N126" s="49">
        <f>M126-H126</f>
        <v>0</v>
      </c>
      <c r="O126" s="50" t="str">
        <f>IF(H126=0,"No plan at start",M126/H126)</f>
        <v>No plan at start</v>
      </c>
      <c r="P126" s="53"/>
      <c r="Q126" s="54"/>
      <c r="R126" s="55"/>
      <c r="S126" s="55"/>
    </row>
    <row r="127" spans="1:19" s="10" customFormat="1" hidden="1" outlineLevel="2" x14ac:dyDescent="0.2">
      <c r="A127" s="11"/>
      <c r="B127" s="49" t="s">
        <v>71</v>
      </c>
      <c r="C127" s="49" t="s">
        <v>55</v>
      </c>
      <c r="D127" s="49">
        <v>0</v>
      </c>
      <c r="E127" s="49">
        <v>0</v>
      </c>
      <c r="F127" s="49">
        <f>E127-D127</f>
        <v>0</v>
      </c>
      <c r="G127" s="50">
        <f>IF(D127=0,0,ABS(F127/D127))</f>
        <v>0</v>
      </c>
      <c r="H127" s="49">
        <v>0</v>
      </c>
      <c r="I127" s="49">
        <v>0</v>
      </c>
      <c r="J127" s="51" t="str">
        <f>IF(H127=0,"No plan at start",I127/H127)</f>
        <v>No plan at start</v>
      </c>
      <c r="K127" s="52">
        <f>H127-I127</f>
        <v>0</v>
      </c>
      <c r="L127" s="49">
        <v>0</v>
      </c>
      <c r="M127" s="49">
        <f>I127+L127</f>
        <v>0</v>
      </c>
      <c r="N127" s="49">
        <f>M127-H127</f>
        <v>0</v>
      </c>
      <c r="O127" s="50" t="str">
        <f>IF(H127=0,"No plan at start",M127/H127)</f>
        <v>No plan at start</v>
      </c>
      <c r="P127" s="53"/>
      <c r="Q127" s="54"/>
      <c r="R127" s="55"/>
      <c r="S127" s="55"/>
    </row>
    <row r="128" spans="1:19" s="10" customFormat="1" hidden="1" outlineLevel="2" x14ac:dyDescent="0.2">
      <c r="A128" s="11"/>
      <c r="B128" s="49" t="s">
        <v>71</v>
      </c>
      <c r="C128" s="49" t="s">
        <v>56</v>
      </c>
      <c r="D128" s="49">
        <v>0</v>
      </c>
      <c r="E128" s="49">
        <v>0</v>
      </c>
      <c r="F128" s="49">
        <f>E128-D128</f>
        <v>0</v>
      </c>
      <c r="G128" s="50">
        <f>IF(D128=0,0,ABS(F128/D128))</f>
        <v>0</v>
      </c>
      <c r="H128" s="49">
        <v>0</v>
      </c>
      <c r="I128" s="49">
        <v>0</v>
      </c>
      <c r="J128" s="51" t="str">
        <f>IF(H128=0,"No plan at start",I128/H128)</f>
        <v>No plan at start</v>
      </c>
      <c r="K128" s="52">
        <f>H128-I128</f>
        <v>0</v>
      </c>
      <c r="L128" s="49">
        <v>0</v>
      </c>
      <c r="M128" s="49">
        <f>I128+L128</f>
        <v>0</v>
      </c>
      <c r="N128" s="49">
        <f>M128-H128</f>
        <v>0</v>
      </c>
      <c r="O128" s="50" t="str">
        <f>IF(H128=0,"No plan at start",M128/H128)</f>
        <v>No plan at start</v>
      </c>
      <c r="P128" s="53"/>
      <c r="Q128" s="54"/>
      <c r="R128" s="55"/>
      <c r="S128" s="55"/>
    </row>
    <row r="129" spans="1:19" s="10" customFormat="1" hidden="1" outlineLevel="2" x14ac:dyDescent="0.2">
      <c r="A129" s="11"/>
      <c r="B129" s="49" t="s">
        <v>71</v>
      </c>
      <c r="C129" s="49" t="s">
        <v>57</v>
      </c>
      <c r="D129" s="49">
        <v>0</v>
      </c>
      <c r="E129" s="49">
        <v>0</v>
      </c>
      <c r="F129" s="49">
        <f>E129-D129</f>
        <v>0</v>
      </c>
      <c r="G129" s="50">
        <f>IF(D129=0,0,ABS(F129/D129))</f>
        <v>0</v>
      </c>
      <c r="H129" s="49">
        <v>0</v>
      </c>
      <c r="I129" s="49">
        <v>0</v>
      </c>
      <c r="J129" s="51" t="str">
        <f>IF(H129=0,"No plan at start",I129/H129)</f>
        <v>No plan at start</v>
      </c>
      <c r="K129" s="52">
        <f>H129-I129</f>
        <v>0</v>
      </c>
      <c r="L129" s="49">
        <v>0</v>
      </c>
      <c r="M129" s="49">
        <f>I129+L129</f>
        <v>0</v>
      </c>
      <c r="N129" s="49">
        <f>M129-H129</f>
        <v>0</v>
      </c>
      <c r="O129" s="50" t="str">
        <f>IF(H129=0,"No plan at start",M129/H129)</f>
        <v>No plan at start</v>
      </c>
      <c r="P129" s="53"/>
      <c r="Q129" s="54"/>
      <c r="R129" s="55"/>
      <c r="S129" s="55"/>
    </row>
    <row r="130" spans="1:19" s="10" customFormat="1" hidden="1" outlineLevel="2" x14ac:dyDescent="0.2">
      <c r="A130" s="11"/>
      <c r="B130" s="49" t="s">
        <v>71</v>
      </c>
      <c r="C130" s="49" t="s">
        <v>58</v>
      </c>
      <c r="D130" s="49">
        <v>0</v>
      </c>
      <c r="E130" s="49">
        <v>0</v>
      </c>
      <c r="F130" s="49">
        <f>E130-D130</f>
        <v>0</v>
      </c>
      <c r="G130" s="50">
        <f>IF(D130=0,0,ABS(F130/D130))</f>
        <v>0</v>
      </c>
      <c r="H130" s="49">
        <v>0</v>
      </c>
      <c r="I130" s="49">
        <v>0</v>
      </c>
      <c r="J130" s="51" t="str">
        <f>IF(H130=0,"No plan at start",I130/H130)</f>
        <v>No plan at start</v>
      </c>
      <c r="K130" s="52">
        <f>H130-I130</f>
        <v>0</v>
      </c>
      <c r="L130" s="49">
        <v>0</v>
      </c>
      <c r="M130" s="49">
        <f>I130+L130</f>
        <v>0</v>
      </c>
      <c r="N130" s="49">
        <f>M130-H130</f>
        <v>0</v>
      </c>
      <c r="O130" s="50" t="str">
        <f>IF(H130=0,"No plan at start",M130/H130)</f>
        <v>No plan at start</v>
      </c>
      <c r="P130" s="53"/>
      <c r="Q130" s="54"/>
      <c r="R130" s="55"/>
      <c r="S130" s="55"/>
    </row>
    <row r="131" spans="1:19" s="10" customFormat="1" hidden="1" outlineLevel="2" x14ac:dyDescent="0.2">
      <c r="A131" s="11"/>
      <c r="B131" s="49" t="s">
        <v>71</v>
      </c>
      <c r="C131" s="49" t="s">
        <v>59</v>
      </c>
      <c r="D131" s="49">
        <v>0</v>
      </c>
      <c r="E131" s="49">
        <v>0</v>
      </c>
      <c r="F131" s="49">
        <f>E131-D131</f>
        <v>0</v>
      </c>
      <c r="G131" s="50">
        <f>IF(D131=0,0,ABS(F131/D131))</f>
        <v>0</v>
      </c>
      <c r="H131" s="49">
        <v>0</v>
      </c>
      <c r="I131" s="49">
        <v>0</v>
      </c>
      <c r="J131" s="51" t="str">
        <f>IF(H131=0,"No plan at start",I131/H131)</f>
        <v>No plan at start</v>
      </c>
      <c r="K131" s="52">
        <f>H131-I131</f>
        <v>0</v>
      </c>
      <c r="L131" s="49">
        <v>0</v>
      </c>
      <c r="M131" s="49">
        <f>I131+L131</f>
        <v>0</v>
      </c>
      <c r="N131" s="49">
        <f>M131-H131</f>
        <v>0</v>
      </c>
      <c r="O131" s="50" t="str">
        <f>IF(H131=0,"No plan at start",M131/H131)</f>
        <v>No plan at start</v>
      </c>
      <c r="P131" s="53"/>
      <c r="Q131" s="54"/>
      <c r="R131" s="55"/>
      <c r="S131" s="55"/>
    </row>
    <row r="132" spans="1:19" s="10" customFormat="1" outlineLevel="1" collapsed="1" x14ac:dyDescent="0.2">
      <c r="A132" s="11"/>
      <c r="B132" s="56" t="s">
        <v>110</v>
      </c>
      <c r="C132" s="49"/>
      <c r="D132" s="49">
        <f>SUBTOTAL(9,D124:D131)</f>
        <v>0</v>
      </c>
      <c r="E132" s="49">
        <f>SUBTOTAL(9,E124:E131)</f>
        <v>0</v>
      </c>
      <c r="F132" s="49">
        <f>SUBTOTAL(9,F124:F131)</f>
        <v>0</v>
      </c>
      <c r="G132" s="50">
        <f>IF(D132=0,0,ABS(F132/D132))</f>
        <v>0</v>
      </c>
      <c r="H132" s="49">
        <f>SUBTOTAL(9,H124:H131)</f>
        <v>0</v>
      </c>
      <c r="I132" s="49">
        <f>SUBTOTAL(9,I124:I131)</f>
        <v>0</v>
      </c>
      <c r="J132" s="51" t="str">
        <f>IF(H132=0,"No plan at start",I132/H132)</f>
        <v>No plan at start</v>
      </c>
      <c r="K132" s="52">
        <f>SUBTOTAL(9,K124:K131)</f>
        <v>0</v>
      </c>
      <c r="L132" s="49">
        <f>SUBTOTAL(9,L124:L131)</f>
        <v>0</v>
      </c>
      <c r="M132" s="49">
        <f>SUBTOTAL(9,M124:M131)</f>
        <v>0</v>
      </c>
      <c r="N132" s="49">
        <f>SUBTOTAL(9,N124:N131)</f>
        <v>0</v>
      </c>
      <c r="O132" s="50" t="str">
        <f>IF(H132=0,"No plan at start",M132/H132)</f>
        <v>No plan at start</v>
      </c>
      <c r="P132" s="53"/>
      <c r="Q132" s="54"/>
      <c r="R132" s="55"/>
      <c r="S132" s="55"/>
    </row>
    <row r="133" spans="1:19" s="10" customFormat="1" hidden="1" outlineLevel="2" x14ac:dyDescent="0.2">
      <c r="A133" s="11"/>
      <c r="B133" s="49" t="s">
        <v>72</v>
      </c>
      <c r="C133" s="49" t="s">
        <v>52</v>
      </c>
      <c r="D133" s="49">
        <v>0</v>
      </c>
      <c r="E133" s="49">
        <v>0</v>
      </c>
      <c r="F133" s="49">
        <f>E133-D133</f>
        <v>0</v>
      </c>
      <c r="G133" s="50">
        <f>IF(D133=0,0,ABS(F133/D133))</f>
        <v>0</v>
      </c>
      <c r="H133" s="49">
        <v>1860.8</v>
      </c>
      <c r="I133" s="49">
        <v>745</v>
      </c>
      <c r="J133" s="51">
        <f>IF(H133=0,"No plan at start",I133/H133)</f>
        <v>0.40036543422184007</v>
      </c>
      <c r="K133" s="52">
        <f>H133-I133</f>
        <v>1115.8</v>
      </c>
      <c r="L133" s="49">
        <v>0</v>
      </c>
      <c r="M133" s="49">
        <f>I133+L133</f>
        <v>745</v>
      </c>
      <c r="N133" s="49">
        <f>M133-H133</f>
        <v>-1115.8</v>
      </c>
      <c r="O133" s="50">
        <f>IF(H133=0,"No plan at start",M133/H133)</f>
        <v>0.40036543422184007</v>
      </c>
      <c r="P133" s="53"/>
      <c r="Q133" s="54"/>
      <c r="R133" s="55"/>
      <c r="S133" s="55"/>
    </row>
    <row r="134" spans="1:19" s="10" customFormat="1" hidden="1" outlineLevel="2" x14ac:dyDescent="0.2">
      <c r="A134" s="11"/>
      <c r="B134" s="49" t="s">
        <v>72</v>
      </c>
      <c r="C134" s="49" t="s">
        <v>53</v>
      </c>
      <c r="D134" s="49">
        <v>0</v>
      </c>
      <c r="E134" s="49">
        <v>0</v>
      </c>
      <c r="F134" s="49">
        <f>E134-D134</f>
        <v>0</v>
      </c>
      <c r="G134" s="50">
        <f>IF(D134=0,0,ABS(F134/D134))</f>
        <v>0</v>
      </c>
      <c r="H134" s="49">
        <v>0</v>
      </c>
      <c r="I134" s="49">
        <v>0</v>
      </c>
      <c r="J134" s="51" t="str">
        <f>IF(H134=0,"No plan at start",I134/H134)</f>
        <v>No plan at start</v>
      </c>
      <c r="K134" s="52">
        <f>H134-I134</f>
        <v>0</v>
      </c>
      <c r="L134" s="49">
        <v>0</v>
      </c>
      <c r="M134" s="49">
        <f>I134+L134</f>
        <v>0</v>
      </c>
      <c r="N134" s="49">
        <f>M134-H134</f>
        <v>0</v>
      </c>
      <c r="O134" s="50" t="str">
        <f>IF(H134=0,"No plan at start",M134/H134)</f>
        <v>No plan at start</v>
      </c>
      <c r="P134" s="53"/>
      <c r="Q134" s="54"/>
      <c r="R134" s="55"/>
      <c r="S134" s="55"/>
    </row>
    <row r="135" spans="1:19" s="10" customFormat="1" hidden="1" outlineLevel="2" x14ac:dyDescent="0.2">
      <c r="A135" s="11"/>
      <c r="B135" s="49" t="s">
        <v>72</v>
      </c>
      <c r="C135" s="49" t="s">
        <v>54</v>
      </c>
      <c r="D135" s="49">
        <v>0</v>
      </c>
      <c r="E135" s="49">
        <v>0</v>
      </c>
      <c r="F135" s="49">
        <f>E135-D135</f>
        <v>0</v>
      </c>
      <c r="G135" s="50">
        <f>IF(D135=0,0,ABS(F135/D135))</f>
        <v>0</v>
      </c>
      <c r="H135" s="49">
        <v>0</v>
      </c>
      <c r="I135" s="49">
        <v>0</v>
      </c>
      <c r="J135" s="51" t="str">
        <f>IF(H135=0,"No plan at start",I135/H135)</f>
        <v>No plan at start</v>
      </c>
      <c r="K135" s="52">
        <f>H135-I135</f>
        <v>0</v>
      </c>
      <c r="L135" s="49">
        <v>0</v>
      </c>
      <c r="M135" s="49">
        <f>I135+L135</f>
        <v>0</v>
      </c>
      <c r="N135" s="49">
        <f>M135-H135</f>
        <v>0</v>
      </c>
      <c r="O135" s="50" t="str">
        <f>IF(H135=0,"No plan at start",M135/H135)</f>
        <v>No plan at start</v>
      </c>
      <c r="P135" s="53"/>
      <c r="Q135" s="54"/>
      <c r="R135" s="55"/>
      <c r="S135" s="55"/>
    </row>
    <row r="136" spans="1:19" s="10" customFormat="1" hidden="1" outlineLevel="2" x14ac:dyDescent="0.2">
      <c r="A136" s="11"/>
      <c r="B136" s="49" t="s">
        <v>72</v>
      </c>
      <c r="C136" s="49" t="s">
        <v>55</v>
      </c>
      <c r="D136" s="49">
        <v>0</v>
      </c>
      <c r="E136" s="49">
        <v>0</v>
      </c>
      <c r="F136" s="49">
        <f>E136-D136</f>
        <v>0</v>
      </c>
      <c r="G136" s="50">
        <f>IF(D136=0,0,ABS(F136/D136))</f>
        <v>0</v>
      </c>
      <c r="H136" s="49">
        <v>0</v>
      </c>
      <c r="I136" s="49">
        <v>0</v>
      </c>
      <c r="J136" s="51" t="str">
        <f>IF(H136=0,"No plan at start",I136/H136)</f>
        <v>No plan at start</v>
      </c>
      <c r="K136" s="52">
        <f>H136-I136</f>
        <v>0</v>
      </c>
      <c r="L136" s="49">
        <v>0</v>
      </c>
      <c r="M136" s="49">
        <f>I136+L136</f>
        <v>0</v>
      </c>
      <c r="N136" s="49">
        <f>M136-H136</f>
        <v>0</v>
      </c>
      <c r="O136" s="50" t="str">
        <f>IF(H136=0,"No plan at start",M136/H136)</f>
        <v>No plan at start</v>
      </c>
      <c r="P136" s="53"/>
      <c r="Q136" s="54"/>
      <c r="R136" s="55"/>
      <c r="S136" s="55"/>
    </row>
    <row r="137" spans="1:19" s="10" customFormat="1" hidden="1" outlineLevel="2" x14ac:dyDescent="0.2">
      <c r="A137" s="11"/>
      <c r="B137" s="49" t="s">
        <v>72</v>
      </c>
      <c r="C137" s="49" t="s">
        <v>56</v>
      </c>
      <c r="D137" s="49">
        <v>0</v>
      </c>
      <c r="E137" s="49">
        <v>0</v>
      </c>
      <c r="F137" s="49">
        <f>E137-D137</f>
        <v>0</v>
      </c>
      <c r="G137" s="50">
        <f>IF(D137=0,0,ABS(F137/D137))</f>
        <v>0</v>
      </c>
      <c r="H137" s="49">
        <v>1260.8000000000004</v>
      </c>
      <c r="I137" s="49">
        <v>211.75</v>
      </c>
      <c r="J137" s="51">
        <f>IF(H137=0,"No plan at start",I137/H137)</f>
        <v>0.16794892131979691</v>
      </c>
      <c r="K137" s="52">
        <f>H137-I137</f>
        <v>1049.0500000000004</v>
      </c>
      <c r="L137" s="49">
        <v>0</v>
      </c>
      <c r="M137" s="49">
        <f>I137+L137</f>
        <v>211.75</v>
      </c>
      <c r="N137" s="49">
        <f>M137-H137</f>
        <v>-1049.0500000000004</v>
      </c>
      <c r="O137" s="50">
        <f>IF(H137=0,"No plan at start",M137/H137)</f>
        <v>0.16794892131979691</v>
      </c>
      <c r="P137" s="53"/>
      <c r="Q137" s="54"/>
      <c r="R137" s="55"/>
      <c r="S137" s="55"/>
    </row>
    <row r="138" spans="1:19" s="10" customFormat="1" hidden="1" outlineLevel="2" x14ac:dyDescent="0.2">
      <c r="A138" s="11"/>
      <c r="B138" s="49" t="s">
        <v>72</v>
      </c>
      <c r="C138" s="49" t="s">
        <v>57</v>
      </c>
      <c r="D138" s="49">
        <v>0</v>
      </c>
      <c r="E138" s="49">
        <v>0</v>
      </c>
      <c r="F138" s="49">
        <f>E138-D138</f>
        <v>0</v>
      </c>
      <c r="G138" s="50">
        <f>IF(D138=0,0,ABS(F138/D138))</f>
        <v>0</v>
      </c>
      <c r="H138" s="49">
        <v>0</v>
      </c>
      <c r="I138" s="49">
        <v>1206</v>
      </c>
      <c r="J138" s="51" t="str">
        <f>IF(H138=0,"No plan at start",I138/H138)</f>
        <v>No plan at start</v>
      </c>
      <c r="K138" s="52">
        <f>H138-I138</f>
        <v>-1206</v>
      </c>
      <c r="L138" s="49">
        <v>0</v>
      </c>
      <c r="M138" s="49">
        <f>I138+L138</f>
        <v>1206</v>
      </c>
      <c r="N138" s="49">
        <f>M138-H138</f>
        <v>1206</v>
      </c>
      <c r="O138" s="50" t="str">
        <f>IF(H138=0,"No plan at start",M138/H138)</f>
        <v>No plan at start</v>
      </c>
      <c r="P138" s="53"/>
      <c r="Q138" s="54"/>
      <c r="R138" s="55"/>
      <c r="S138" s="55"/>
    </row>
    <row r="139" spans="1:19" s="10" customFormat="1" hidden="1" outlineLevel="2" x14ac:dyDescent="0.2">
      <c r="A139" s="11"/>
      <c r="B139" s="49" t="s">
        <v>72</v>
      </c>
      <c r="C139" s="49" t="s">
        <v>58</v>
      </c>
      <c r="D139" s="49">
        <v>0</v>
      </c>
      <c r="E139" s="49">
        <v>0</v>
      </c>
      <c r="F139" s="49">
        <f>E139-D139</f>
        <v>0</v>
      </c>
      <c r="G139" s="50">
        <f>IF(D139=0,0,ABS(F139/D139))</f>
        <v>0</v>
      </c>
      <c r="H139" s="49">
        <v>0</v>
      </c>
      <c r="I139" s="49">
        <v>0</v>
      </c>
      <c r="J139" s="51" t="str">
        <f>IF(H139=0,"No plan at start",I139/H139)</f>
        <v>No plan at start</v>
      </c>
      <c r="K139" s="52">
        <f>H139-I139</f>
        <v>0</v>
      </c>
      <c r="L139" s="49">
        <v>0</v>
      </c>
      <c r="M139" s="49">
        <f>I139+L139</f>
        <v>0</v>
      </c>
      <c r="N139" s="49">
        <f>M139-H139</f>
        <v>0</v>
      </c>
      <c r="O139" s="50" t="str">
        <f>IF(H139=0,"No plan at start",M139/H139)</f>
        <v>No plan at start</v>
      </c>
      <c r="P139" s="53"/>
      <c r="Q139" s="54"/>
      <c r="R139" s="55"/>
      <c r="S139" s="55"/>
    </row>
    <row r="140" spans="1:19" s="10" customFormat="1" hidden="1" outlineLevel="2" x14ac:dyDescent="0.2">
      <c r="A140" s="11"/>
      <c r="B140" s="49" t="s">
        <v>72</v>
      </c>
      <c r="C140" s="49" t="s">
        <v>59</v>
      </c>
      <c r="D140" s="49">
        <v>0</v>
      </c>
      <c r="E140" s="49">
        <v>0</v>
      </c>
      <c r="F140" s="49">
        <f>E140-D140</f>
        <v>0</v>
      </c>
      <c r="G140" s="50">
        <f>IF(D140=0,0,ABS(F140/D140))</f>
        <v>0</v>
      </c>
      <c r="H140" s="49">
        <v>555.20000000000005</v>
      </c>
      <c r="I140" s="49">
        <v>0</v>
      </c>
      <c r="J140" s="51">
        <f>IF(H140=0,"No plan at start",I140/H140)</f>
        <v>0</v>
      </c>
      <c r="K140" s="52">
        <f>H140-I140</f>
        <v>555.20000000000005</v>
      </c>
      <c r="L140" s="49">
        <v>0</v>
      </c>
      <c r="M140" s="49">
        <f>I140+L140</f>
        <v>0</v>
      </c>
      <c r="N140" s="49">
        <f>M140-H140</f>
        <v>-555.20000000000005</v>
      </c>
      <c r="O140" s="50">
        <f>IF(H140=0,"No plan at start",M140/H140)</f>
        <v>0</v>
      </c>
      <c r="P140" s="53"/>
      <c r="Q140" s="54"/>
      <c r="R140" s="55"/>
      <c r="S140" s="55"/>
    </row>
    <row r="141" spans="1:19" s="10" customFormat="1" outlineLevel="1" collapsed="1" x14ac:dyDescent="0.2">
      <c r="A141" s="11"/>
      <c r="B141" s="56" t="s">
        <v>111</v>
      </c>
      <c r="C141" s="49"/>
      <c r="D141" s="49">
        <f>SUBTOTAL(9,D133:D140)</f>
        <v>0</v>
      </c>
      <c r="E141" s="49">
        <f>SUBTOTAL(9,E133:E140)</f>
        <v>0</v>
      </c>
      <c r="F141" s="49">
        <f>SUBTOTAL(9,F133:F140)</f>
        <v>0</v>
      </c>
      <c r="G141" s="50">
        <f>IF(D141=0,0,ABS(F141/D141))</f>
        <v>0</v>
      </c>
      <c r="H141" s="49">
        <f>SUBTOTAL(9,H133:H140)</f>
        <v>3676.8</v>
      </c>
      <c r="I141" s="49">
        <f>SUBTOTAL(9,I133:I140)</f>
        <v>2162.75</v>
      </c>
      <c r="J141" s="51">
        <f>IF(H141=0,"No plan at start",I141/H141)</f>
        <v>0.58821529590948651</v>
      </c>
      <c r="K141" s="52">
        <f>SUBTOTAL(9,K133:K140)</f>
        <v>1514.0500000000004</v>
      </c>
      <c r="L141" s="49">
        <f>SUBTOTAL(9,L133:L140)</f>
        <v>0</v>
      </c>
      <c r="M141" s="49">
        <f>SUBTOTAL(9,M133:M140)</f>
        <v>2162.75</v>
      </c>
      <c r="N141" s="49">
        <f>SUBTOTAL(9,N133:N140)</f>
        <v>-1514.0500000000004</v>
      </c>
      <c r="O141" s="50">
        <f>IF(H141=0,"No plan at start",M141/H141)</f>
        <v>0.58821529590948651</v>
      </c>
      <c r="P141" s="53"/>
      <c r="Q141" s="54"/>
      <c r="R141" s="55"/>
      <c r="S141" s="55"/>
    </row>
    <row r="142" spans="1:19" s="10" customFormat="1" hidden="1" outlineLevel="2" x14ac:dyDescent="0.2">
      <c r="A142" s="11"/>
      <c r="B142" s="49" t="s">
        <v>73</v>
      </c>
      <c r="C142" s="49" t="s">
        <v>52</v>
      </c>
      <c r="D142" s="49">
        <v>0</v>
      </c>
      <c r="E142" s="49">
        <v>0</v>
      </c>
      <c r="F142" s="49">
        <f>E142-D142</f>
        <v>0</v>
      </c>
      <c r="G142" s="50">
        <f>IF(D142=0,0,ABS(F142/D142))</f>
        <v>0</v>
      </c>
      <c r="H142" s="49">
        <v>0</v>
      </c>
      <c r="I142" s="49">
        <v>0</v>
      </c>
      <c r="J142" s="51" t="str">
        <f>IF(H142=0,"No plan at start",I142/H142)</f>
        <v>No plan at start</v>
      </c>
      <c r="K142" s="52">
        <f>H142-I142</f>
        <v>0</v>
      </c>
      <c r="L142" s="49">
        <v>0</v>
      </c>
      <c r="M142" s="49">
        <f>I142+L142</f>
        <v>0</v>
      </c>
      <c r="N142" s="49">
        <f>M142-H142</f>
        <v>0</v>
      </c>
      <c r="O142" s="50" t="str">
        <f>IF(H142=0,"No plan at start",M142/H142)</f>
        <v>No plan at start</v>
      </c>
      <c r="P142" s="53"/>
      <c r="Q142" s="54"/>
      <c r="R142" s="55"/>
      <c r="S142" s="55"/>
    </row>
    <row r="143" spans="1:19" s="10" customFormat="1" hidden="1" outlineLevel="2" x14ac:dyDescent="0.2">
      <c r="A143" s="11"/>
      <c r="B143" s="49" t="s">
        <v>73</v>
      </c>
      <c r="C143" s="49" t="s">
        <v>53</v>
      </c>
      <c r="D143" s="49">
        <v>0</v>
      </c>
      <c r="E143" s="49">
        <v>0</v>
      </c>
      <c r="F143" s="49">
        <f>E143-D143</f>
        <v>0</v>
      </c>
      <c r="G143" s="50">
        <f>IF(D143=0,0,ABS(F143/D143))</f>
        <v>0</v>
      </c>
      <c r="H143" s="49">
        <v>0</v>
      </c>
      <c r="I143" s="49">
        <v>0</v>
      </c>
      <c r="J143" s="51" t="str">
        <f>IF(H143=0,"No plan at start",I143/H143)</f>
        <v>No plan at start</v>
      </c>
      <c r="K143" s="52">
        <f>H143-I143</f>
        <v>0</v>
      </c>
      <c r="L143" s="49">
        <v>0</v>
      </c>
      <c r="M143" s="49">
        <f>I143+L143</f>
        <v>0</v>
      </c>
      <c r="N143" s="49">
        <f>M143-H143</f>
        <v>0</v>
      </c>
      <c r="O143" s="50" t="str">
        <f>IF(H143=0,"No plan at start",M143/H143)</f>
        <v>No plan at start</v>
      </c>
      <c r="P143" s="53"/>
      <c r="Q143" s="54"/>
      <c r="R143" s="55"/>
      <c r="S143" s="55"/>
    </row>
    <row r="144" spans="1:19" s="10" customFormat="1" hidden="1" outlineLevel="2" x14ac:dyDescent="0.2">
      <c r="A144" s="11"/>
      <c r="B144" s="49" t="s">
        <v>73</v>
      </c>
      <c r="C144" s="49" t="s">
        <v>54</v>
      </c>
      <c r="D144" s="49">
        <v>0</v>
      </c>
      <c r="E144" s="49">
        <v>0</v>
      </c>
      <c r="F144" s="49">
        <f>E144-D144</f>
        <v>0</v>
      </c>
      <c r="G144" s="50">
        <f>IF(D144=0,0,ABS(F144/D144))</f>
        <v>0</v>
      </c>
      <c r="H144" s="49">
        <v>0</v>
      </c>
      <c r="I144" s="49">
        <v>0</v>
      </c>
      <c r="J144" s="51" t="str">
        <f>IF(H144=0,"No plan at start",I144/H144)</f>
        <v>No plan at start</v>
      </c>
      <c r="K144" s="52">
        <f>H144-I144</f>
        <v>0</v>
      </c>
      <c r="L144" s="49">
        <v>0</v>
      </c>
      <c r="M144" s="49">
        <f>I144+L144</f>
        <v>0</v>
      </c>
      <c r="N144" s="49">
        <f>M144-H144</f>
        <v>0</v>
      </c>
      <c r="O144" s="50" t="str">
        <f>IF(H144=0,"No plan at start",M144/H144)</f>
        <v>No plan at start</v>
      </c>
      <c r="P144" s="53"/>
      <c r="Q144" s="54"/>
      <c r="R144" s="55"/>
      <c r="S144" s="55"/>
    </row>
    <row r="145" spans="1:19" s="10" customFormat="1" hidden="1" outlineLevel="2" x14ac:dyDescent="0.2">
      <c r="A145" s="11"/>
      <c r="B145" s="49" t="s">
        <v>73</v>
      </c>
      <c r="C145" s="49" t="s">
        <v>55</v>
      </c>
      <c r="D145" s="49">
        <v>0</v>
      </c>
      <c r="E145" s="49">
        <v>0</v>
      </c>
      <c r="F145" s="49">
        <f>E145-D145</f>
        <v>0</v>
      </c>
      <c r="G145" s="50">
        <f>IF(D145=0,0,ABS(F145/D145))</f>
        <v>0</v>
      </c>
      <c r="H145" s="49">
        <v>0</v>
      </c>
      <c r="I145" s="49">
        <v>0</v>
      </c>
      <c r="J145" s="51" t="str">
        <f>IF(H145=0,"No plan at start",I145/H145)</f>
        <v>No plan at start</v>
      </c>
      <c r="K145" s="52">
        <f>H145-I145</f>
        <v>0</v>
      </c>
      <c r="L145" s="49">
        <v>0</v>
      </c>
      <c r="M145" s="49">
        <f>I145+L145</f>
        <v>0</v>
      </c>
      <c r="N145" s="49">
        <f>M145-H145</f>
        <v>0</v>
      </c>
      <c r="O145" s="50" t="str">
        <f>IF(H145=0,"No plan at start",M145/H145)</f>
        <v>No plan at start</v>
      </c>
      <c r="P145" s="53"/>
      <c r="Q145" s="54"/>
      <c r="R145" s="55"/>
      <c r="S145" s="55"/>
    </row>
    <row r="146" spans="1:19" s="10" customFormat="1" hidden="1" outlineLevel="2" x14ac:dyDescent="0.2">
      <c r="A146" s="11"/>
      <c r="B146" s="49" t="s">
        <v>73</v>
      </c>
      <c r="C146" s="49" t="s">
        <v>56</v>
      </c>
      <c r="D146" s="49">
        <v>0</v>
      </c>
      <c r="E146" s="49">
        <v>0</v>
      </c>
      <c r="F146" s="49">
        <f>E146-D146</f>
        <v>0</v>
      </c>
      <c r="G146" s="50">
        <f>IF(D146=0,0,ABS(F146/D146))</f>
        <v>0</v>
      </c>
      <c r="H146" s="49">
        <v>0</v>
      </c>
      <c r="I146" s="49">
        <v>0</v>
      </c>
      <c r="J146" s="51" t="str">
        <f>IF(H146=0,"No plan at start",I146/H146)</f>
        <v>No plan at start</v>
      </c>
      <c r="K146" s="52">
        <f>H146-I146</f>
        <v>0</v>
      </c>
      <c r="L146" s="49">
        <v>0</v>
      </c>
      <c r="M146" s="49">
        <f>I146+L146</f>
        <v>0</v>
      </c>
      <c r="N146" s="49">
        <f>M146-H146</f>
        <v>0</v>
      </c>
      <c r="O146" s="50" t="str">
        <f>IF(H146=0,"No plan at start",M146/H146)</f>
        <v>No plan at start</v>
      </c>
      <c r="P146" s="53"/>
      <c r="Q146" s="54"/>
      <c r="R146" s="55"/>
      <c r="S146" s="55"/>
    </row>
    <row r="147" spans="1:19" s="10" customFormat="1" hidden="1" outlineLevel="2" x14ac:dyDescent="0.2">
      <c r="A147" s="11"/>
      <c r="B147" s="49" t="s">
        <v>73</v>
      </c>
      <c r="C147" s="49" t="s">
        <v>57</v>
      </c>
      <c r="D147" s="49">
        <v>0</v>
      </c>
      <c r="E147" s="49">
        <v>0</v>
      </c>
      <c r="F147" s="49">
        <f>E147-D147</f>
        <v>0</v>
      </c>
      <c r="G147" s="50">
        <f>IF(D147=0,0,ABS(F147/D147))</f>
        <v>0</v>
      </c>
      <c r="H147" s="49">
        <v>0</v>
      </c>
      <c r="I147" s="49">
        <v>0</v>
      </c>
      <c r="J147" s="51" t="str">
        <f>IF(H147=0,"No plan at start",I147/H147)</f>
        <v>No plan at start</v>
      </c>
      <c r="K147" s="52">
        <f>H147-I147</f>
        <v>0</v>
      </c>
      <c r="L147" s="49">
        <v>0</v>
      </c>
      <c r="M147" s="49">
        <f>I147+L147</f>
        <v>0</v>
      </c>
      <c r="N147" s="49">
        <f>M147-H147</f>
        <v>0</v>
      </c>
      <c r="O147" s="50" t="str">
        <f>IF(H147=0,"No plan at start",M147/H147)</f>
        <v>No plan at start</v>
      </c>
      <c r="P147" s="53"/>
      <c r="Q147" s="54"/>
      <c r="R147" s="55"/>
      <c r="S147" s="55"/>
    </row>
    <row r="148" spans="1:19" s="10" customFormat="1" hidden="1" outlineLevel="2" x14ac:dyDescent="0.2">
      <c r="A148" s="11"/>
      <c r="B148" s="49" t="s">
        <v>73</v>
      </c>
      <c r="C148" s="49" t="s">
        <v>58</v>
      </c>
      <c r="D148" s="49">
        <v>0</v>
      </c>
      <c r="E148" s="49">
        <v>0</v>
      </c>
      <c r="F148" s="49">
        <f>E148-D148</f>
        <v>0</v>
      </c>
      <c r="G148" s="50">
        <f>IF(D148=0,0,ABS(F148/D148))</f>
        <v>0</v>
      </c>
      <c r="H148" s="49">
        <v>0</v>
      </c>
      <c r="I148" s="49">
        <v>0</v>
      </c>
      <c r="J148" s="51" t="str">
        <f>IF(H148=0,"No plan at start",I148/H148)</f>
        <v>No plan at start</v>
      </c>
      <c r="K148" s="52">
        <f>H148-I148</f>
        <v>0</v>
      </c>
      <c r="L148" s="49">
        <v>0</v>
      </c>
      <c r="M148" s="49">
        <f>I148+L148</f>
        <v>0</v>
      </c>
      <c r="N148" s="49">
        <f>M148-H148</f>
        <v>0</v>
      </c>
      <c r="O148" s="50" t="str">
        <f>IF(H148=0,"No plan at start",M148/H148)</f>
        <v>No plan at start</v>
      </c>
      <c r="P148" s="53"/>
      <c r="Q148" s="54"/>
      <c r="R148" s="55"/>
      <c r="S148" s="55"/>
    </row>
    <row r="149" spans="1:19" s="10" customFormat="1" hidden="1" outlineLevel="2" x14ac:dyDescent="0.2">
      <c r="A149" s="11"/>
      <c r="B149" s="49" t="s">
        <v>73</v>
      </c>
      <c r="C149" s="49" t="s">
        <v>59</v>
      </c>
      <c r="D149" s="49">
        <v>0</v>
      </c>
      <c r="E149" s="49">
        <v>0</v>
      </c>
      <c r="F149" s="49">
        <f>E149-D149</f>
        <v>0</v>
      </c>
      <c r="G149" s="50">
        <f>IF(D149=0,0,ABS(F149/D149))</f>
        <v>0</v>
      </c>
      <c r="H149" s="49">
        <v>0</v>
      </c>
      <c r="I149" s="49">
        <v>0</v>
      </c>
      <c r="J149" s="51" t="str">
        <f>IF(H149=0,"No plan at start",I149/H149)</f>
        <v>No plan at start</v>
      </c>
      <c r="K149" s="52">
        <f>H149-I149</f>
        <v>0</v>
      </c>
      <c r="L149" s="49">
        <v>0</v>
      </c>
      <c r="M149" s="49">
        <f>I149+L149</f>
        <v>0</v>
      </c>
      <c r="N149" s="49">
        <f>M149-H149</f>
        <v>0</v>
      </c>
      <c r="O149" s="50" t="str">
        <f>IF(H149=0,"No plan at start",M149/H149)</f>
        <v>No plan at start</v>
      </c>
      <c r="P149" s="53"/>
      <c r="Q149" s="54"/>
      <c r="R149" s="55"/>
      <c r="S149" s="55"/>
    </row>
    <row r="150" spans="1:19" s="10" customFormat="1" outlineLevel="1" collapsed="1" x14ac:dyDescent="0.2">
      <c r="A150" s="11"/>
      <c r="B150" s="56" t="s">
        <v>112</v>
      </c>
      <c r="C150" s="49"/>
      <c r="D150" s="49">
        <f>SUBTOTAL(9,D142:D149)</f>
        <v>0</v>
      </c>
      <c r="E150" s="49">
        <f>SUBTOTAL(9,E142:E149)</f>
        <v>0</v>
      </c>
      <c r="F150" s="49">
        <f>SUBTOTAL(9,F142:F149)</f>
        <v>0</v>
      </c>
      <c r="G150" s="50">
        <f>IF(D150=0,0,ABS(F150/D150))</f>
        <v>0</v>
      </c>
      <c r="H150" s="49">
        <f>SUBTOTAL(9,H142:H149)</f>
        <v>0</v>
      </c>
      <c r="I150" s="49">
        <f>SUBTOTAL(9,I142:I149)</f>
        <v>0</v>
      </c>
      <c r="J150" s="51" t="str">
        <f>IF(H150=0,"No plan at start",I150/H150)</f>
        <v>No plan at start</v>
      </c>
      <c r="K150" s="52">
        <f>SUBTOTAL(9,K142:K149)</f>
        <v>0</v>
      </c>
      <c r="L150" s="49">
        <f>SUBTOTAL(9,L142:L149)</f>
        <v>0</v>
      </c>
      <c r="M150" s="49">
        <f>SUBTOTAL(9,M142:M149)</f>
        <v>0</v>
      </c>
      <c r="N150" s="49">
        <f>SUBTOTAL(9,N142:N149)</f>
        <v>0</v>
      </c>
      <c r="O150" s="50" t="str">
        <f>IF(H150=0,"No plan at start",M150/H150)</f>
        <v>No plan at start</v>
      </c>
      <c r="P150" s="53"/>
      <c r="Q150" s="54"/>
      <c r="R150" s="55"/>
      <c r="S150" s="55"/>
    </row>
    <row r="151" spans="1:19" s="10" customFormat="1" hidden="1" outlineLevel="2" x14ac:dyDescent="0.2">
      <c r="A151" s="11"/>
      <c r="B151" s="49" t="s">
        <v>74</v>
      </c>
      <c r="C151" s="49" t="s">
        <v>52</v>
      </c>
      <c r="D151" s="49">
        <v>0</v>
      </c>
      <c r="E151" s="49">
        <v>0</v>
      </c>
      <c r="F151" s="49">
        <f>E151-D151</f>
        <v>0</v>
      </c>
      <c r="G151" s="50">
        <f>IF(D151=0,0,ABS(F151/D151))</f>
        <v>0</v>
      </c>
      <c r="H151" s="49">
        <v>0</v>
      </c>
      <c r="I151" s="49">
        <v>0</v>
      </c>
      <c r="J151" s="51" t="str">
        <f>IF(H151=0,"No plan at start",I151/H151)</f>
        <v>No plan at start</v>
      </c>
      <c r="K151" s="52">
        <f>H151-I151</f>
        <v>0</v>
      </c>
      <c r="L151" s="49">
        <v>0</v>
      </c>
      <c r="M151" s="49">
        <f>I151+L151</f>
        <v>0</v>
      </c>
      <c r="N151" s="49">
        <f>M151-H151</f>
        <v>0</v>
      </c>
      <c r="O151" s="50" t="str">
        <f>IF(H151=0,"No plan at start",M151/H151)</f>
        <v>No plan at start</v>
      </c>
      <c r="P151" s="53"/>
      <c r="Q151" s="54"/>
      <c r="R151" s="55"/>
      <c r="S151" s="55"/>
    </row>
    <row r="152" spans="1:19" s="10" customFormat="1" hidden="1" outlineLevel="2" x14ac:dyDescent="0.2">
      <c r="A152" s="11"/>
      <c r="B152" s="49" t="s">
        <v>74</v>
      </c>
      <c r="C152" s="49" t="s">
        <v>53</v>
      </c>
      <c r="D152" s="49">
        <v>0</v>
      </c>
      <c r="E152" s="49">
        <v>0</v>
      </c>
      <c r="F152" s="49">
        <f>E152-D152</f>
        <v>0</v>
      </c>
      <c r="G152" s="50">
        <f>IF(D152=0,0,ABS(F152/D152))</f>
        <v>0</v>
      </c>
      <c r="H152" s="49">
        <v>0</v>
      </c>
      <c r="I152" s="49">
        <v>0</v>
      </c>
      <c r="J152" s="51" t="str">
        <f>IF(H152=0,"No plan at start",I152/H152)</f>
        <v>No plan at start</v>
      </c>
      <c r="K152" s="52">
        <f>H152-I152</f>
        <v>0</v>
      </c>
      <c r="L152" s="49">
        <v>0</v>
      </c>
      <c r="M152" s="49">
        <f>I152+L152</f>
        <v>0</v>
      </c>
      <c r="N152" s="49">
        <f>M152-H152</f>
        <v>0</v>
      </c>
      <c r="O152" s="50" t="str">
        <f>IF(H152=0,"No plan at start",M152/H152)</f>
        <v>No plan at start</v>
      </c>
      <c r="P152" s="53"/>
      <c r="Q152" s="54"/>
      <c r="R152" s="55"/>
      <c r="S152" s="55"/>
    </row>
    <row r="153" spans="1:19" s="10" customFormat="1" hidden="1" outlineLevel="2" x14ac:dyDescent="0.2">
      <c r="A153" s="11"/>
      <c r="B153" s="49" t="s">
        <v>74</v>
      </c>
      <c r="C153" s="49" t="s">
        <v>54</v>
      </c>
      <c r="D153" s="49">
        <v>0</v>
      </c>
      <c r="E153" s="49">
        <v>0</v>
      </c>
      <c r="F153" s="49">
        <f>E153-D153</f>
        <v>0</v>
      </c>
      <c r="G153" s="50">
        <f>IF(D153=0,0,ABS(F153/D153))</f>
        <v>0</v>
      </c>
      <c r="H153" s="49">
        <v>0</v>
      </c>
      <c r="I153" s="49">
        <v>0</v>
      </c>
      <c r="J153" s="51" t="str">
        <f>IF(H153=0,"No plan at start",I153/H153)</f>
        <v>No plan at start</v>
      </c>
      <c r="K153" s="52">
        <f>H153-I153</f>
        <v>0</v>
      </c>
      <c r="L153" s="49">
        <v>0</v>
      </c>
      <c r="M153" s="49">
        <f>I153+L153</f>
        <v>0</v>
      </c>
      <c r="N153" s="49">
        <f>M153-H153</f>
        <v>0</v>
      </c>
      <c r="O153" s="50" t="str">
        <f>IF(H153=0,"No plan at start",M153/H153)</f>
        <v>No plan at start</v>
      </c>
      <c r="P153" s="53"/>
      <c r="Q153" s="54"/>
      <c r="R153" s="55"/>
      <c r="S153" s="55"/>
    </row>
    <row r="154" spans="1:19" s="10" customFormat="1" hidden="1" outlineLevel="2" x14ac:dyDescent="0.2">
      <c r="A154" s="11"/>
      <c r="B154" s="49" t="s">
        <v>74</v>
      </c>
      <c r="C154" s="49" t="s">
        <v>55</v>
      </c>
      <c r="D154" s="49">
        <v>0</v>
      </c>
      <c r="E154" s="49">
        <v>0</v>
      </c>
      <c r="F154" s="49">
        <f>E154-D154</f>
        <v>0</v>
      </c>
      <c r="G154" s="50">
        <f>IF(D154=0,0,ABS(F154/D154))</f>
        <v>0</v>
      </c>
      <c r="H154" s="49">
        <v>0</v>
      </c>
      <c r="I154" s="49">
        <v>0</v>
      </c>
      <c r="J154" s="51" t="str">
        <f>IF(H154=0,"No plan at start",I154/H154)</f>
        <v>No plan at start</v>
      </c>
      <c r="K154" s="52">
        <f>H154-I154</f>
        <v>0</v>
      </c>
      <c r="L154" s="49">
        <v>0</v>
      </c>
      <c r="M154" s="49">
        <f>I154+L154</f>
        <v>0</v>
      </c>
      <c r="N154" s="49">
        <f>M154-H154</f>
        <v>0</v>
      </c>
      <c r="O154" s="50" t="str">
        <f>IF(H154=0,"No plan at start",M154/H154)</f>
        <v>No plan at start</v>
      </c>
      <c r="P154" s="53"/>
      <c r="Q154" s="54"/>
      <c r="R154" s="55"/>
      <c r="S154" s="55"/>
    </row>
    <row r="155" spans="1:19" s="10" customFormat="1" hidden="1" outlineLevel="2" x14ac:dyDescent="0.2">
      <c r="A155" s="11"/>
      <c r="B155" s="49" t="s">
        <v>74</v>
      </c>
      <c r="C155" s="49" t="s">
        <v>56</v>
      </c>
      <c r="D155" s="49">
        <v>0</v>
      </c>
      <c r="E155" s="49">
        <v>0</v>
      </c>
      <c r="F155" s="49">
        <f>E155-D155</f>
        <v>0</v>
      </c>
      <c r="G155" s="50">
        <f>IF(D155=0,0,ABS(F155/D155))</f>
        <v>0</v>
      </c>
      <c r="H155" s="49">
        <v>0</v>
      </c>
      <c r="I155" s="49">
        <v>0</v>
      </c>
      <c r="J155" s="51" t="str">
        <f>IF(H155=0,"No plan at start",I155/H155)</f>
        <v>No plan at start</v>
      </c>
      <c r="K155" s="52">
        <f>H155-I155</f>
        <v>0</v>
      </c>
      <c r="L155" s="49">
        <v>0</v>
      </c>
      <c r="M155" s="49">
        <f>I155+L155</f>
        <v>0</v>
      </c>
      <c r="N155" s="49">
        <f>M155-H155</f>
        <v>0</v>
      </c>
      <c r="O155" s="50" t="str">
        <f>IF(H155=0,"No plan at start",M155/H155)</f>
        <v>No plan at start</v>
      </c>
      <c r="P155" s="53"/>
      <c r="Q155" s="54"/>
      <c r="R155" s="55"/>
      <c r="S155" s="55"/>
    </row>
    <row r="156" spans="1:19" s="10" customFormat="1" hidden="1" outlineLevel="2" x14ac:dyDescent="0.2">
      <c r="A156" s="11"/>
      <c r="B156" s="49" t="s">
        <v>74</v>
      </c>
      <c r="C156" s="49" t="s">
        <v>57</v>
      </c>
      <c r="D156" s="49">
        <v>0</v>
      </c>
      <c r="E156" s="49">
        <v>0</v>
      </c>
      <c r="F156" s="49">
        <f>E156-D156</f>
        <v>0</v>
      </c>
      <c r="G156" s="50">
        <f>IF(D156=0,0,ABS(F156/D156))</f>
        <v>0</v>
      </c>
      <c r="H156" s="49">
        <v>0</v>
      </c>
      <c r="I156" s="49">
        <v>0</v>
      </c>
      <c r="J156" s="51" t="str">
        <f>IF(H156=0,"No plan at start",I156/H156)</f>
        <v>No plan at start</v>
      </c>
      <c r="K156" s="52">
        <f>H156-I156</f>
        <v>0</v>
      </c>
      <c r="L156" s="49">
        <v>0</v>
      </c>
      <c r="M156" s="49">
        <f>I156+L156</f>
        <v>0</v>
      </c>
      <c r="N156" s="49">
        <f>M156-H156</f>
        <v>0</v>
      </c>
      <c r="O156" s="50" t="str">
        <f>IF(H156=0,"No plan at start",M156/H156)</f>
        <v>No plan at start</v>
      </c>
      <c r="P156" s="53"/>
      <c r="Q156" s="54"/>
      <c r="R156" s="55"/>
      <c r="S156" s="55"/>
    </row>
    <row r="157" spans="1:19" s="10" customFormat="1" hidden="1" outlineLevel="2" x14ac:dyDescent="0.2">
      <c r="A157" s="11"/>
      <c r="B157" s="49" t="s">
        <v>74</v>
      </c>
      <c r="C157" s="49" t="s">
        <v>58</v>
      </c>
      <c r="D157" s="49">
        <v>0</v>
      </c>
      <c r="E157" s="49">
        <v>0</v>
      </c>
      <c r="F157" s="49">
        <f>E157-D157</f>
        <v>0</v>
      </c>
      <c r="G157" s="50">
        <f>IF(D157=0,0,ABS(F157/D157))</f>
        <v>0</v>
      </c>
      <c r="H157" s="49">
        <v>0</v>
      </c>
      <c r="I157" s="49">
        <v>0</v>
      </c>
      <c r="J157" s="51" t="str">
        <f>IF(H157=0,"No plan at start",I157/H157)</f>
        <v>No plan at start</v>
      </c>
      <c r="K157" s="52">
        <f>H157-I157</f>
        <v>0</v>
      </c>
      <c r="L157" s="49">
        <v>0</v>
      </c>
      <c r="M157" s="49">
        <f>I157+L157</f>
        <v>0</v>
      </c>
      <c r="N157" s="49">
        <f>M157-H157</f>
        <v>0</v>
      </c>
      <c r="O157" s="50" t="str">
        <f>IF(H157=0,"No plan at start",M157/H157)</f>
        <v>No plan at start</v>
      </c>
      <c r="P157" s="53"/>
      <c r="Q157" s="54"/>
      <c r="R157" s="55"/>
      <c r="S157" s="55"/>
    </row>
    <row r="158" spans="1:19" s="10" customFormat="1" hidden="1" outlineLevel="2" x14ac:dyDescent="0.2">
      <c r="A158" s="11"/>
      <c r="B158" s="49" t="s">
        <v>74</v>
      </c>
      <c r="C158" s="49" t="s">
        <v>59</v>
      </c>
      <c r="D158" s="49">
        <v>0</v>
      </c>
      <c r="E158" s="49">
        <v>0</v>
      </c>
      <c r="F158" s="49">
        <f>E158-D158</f>
        <v>0</v>
      </c>
      <c r="G158" s="50">
        <f>IF(D158=0,0,ABS(F158/D158))</f>
        <v>0</v>
      </c>
      <c r="H158" s="49">
        <v>0</v>
      </c>
      <c r="I158" s="49">
        <v>0</v>
      </c>
      <c r="J158" s="51" t="str">
        <f>IF(H158=0,"No plan at start",I158/H158)</f>
        <v>No plan at start</v>
      </c>
      <c r="K158" s="52">
        <f>H158-I158</f>
        <v>0</v>
      </c>
      <c r="L158" s="49">
        <v>0</v>
      </c>
      <c r="M158" s="49">
        <f>I158+L158</f>
        <v>0</v>
      </c>
      <c r="N158" s="49">
        <f>M158-H158</f>
        <v>0</v>
      </c>
      <c r="O158" s="50" t="str">
        <f>IF(H158=0,"No plan at start",M158/H158)</f>
        <v>No plan at start</v>
      </c>
      <c r="P158" s="53"/>
      <c r="Q158" s="54"/>
      <c r="R158" s="55"/>
      <c r="S158" s="55"/>
    </row>
    <row r="159" spans="1:19" s="10" customFormat="1" outlineLevel="1" collapsed="1" x14ac:dyDescent="0.2">
      <c r="A159" s="11"/>
      <c r="B159" s="56" t="s">
        <v>113</v>
      </c>
      <c r="C159" s="49"/>
      <c r="D159" s="49">
        <f>SUBTOTAL(9,D151:D158)</f>
        <v>0</v>
      </c>
      <c r="E159" s="49">
        <f>SUBTOTAL(9,E151:E158)</f>
        <v>0</v>
      </c>
      <c r="F159" s="49">
        <f>SUBTOTAL(9,F151:F158)</f>
        <v>0</v>
      </c>
      <c r="G159" s="50">
        <f>IF(D159=0,0,ABS(F159/D159))</f>
        <v>0</v>
      </c>
      <c r="H159" s="49">
        <f>SUBTOTAL(9,H151:H158)</f>
        <v>0</v>
      </c>
      <c r="I159" s="49">
        <f>SUBTOTAL(9,I151:I158)</f>
        <v>0</v>
      </c>
      <c r="J159" s="51" t="str">
        <f>IF(H159=0,"No plan at start",I159/H159)</f>
        <v>No plan at start</v>
      </c>
      <c r="K159" s="52">
        <f>SUBTOTAL(9,K151:K158)</f>
        <v>0</v>
      </c>
      <c r="L159" s="49">
        <f>SUBTOTAL(9,L151:L158)</f>
        <v>0</v>
      </c>
      <c r="M159" s="49">
        <f>SUBTOTAL(9,M151:M158)</f>
        <v>0</v>
      </c>
      <c r="N159" s="49">
        <f>SUBTOTAL(9,N151:N158)</f>
        <v>0</v>
      </c>
      <c r="O159" s="50" t="str">
        <f>IF(H159=0,"No plan at start",M159/H159)</f>
        <v>No plan at start</v>
      </c>
      <c r="P159" s="53"/>
      <c r="Q159" s="54"/>
      <c r="R159" s="55"/>
      <c r="S159" s="55"/>
    </row>
    <row r="160" spans="1:19" s="10" customFormat="1" hidden="1" outlineLevel="2" x14ac:dyDescent="0.2">
      <c r="A160" s="11"/>
      <c r="B160" s="49" t="s">
        <v>75</v>
      </c>
      <c r="C160" s="49" t="s">
        <v>52</v>
      </c>
      <c r="D160" s="49">
        <v>0</v>
      </c>
      <c r="E160" s="49">
        <v>0</v>
      </c>
      <c r="F160" s="49">
        <f>E160-D160</f>
        <v>0</v>
      </c>
      <c r="G160" s="50">
        <f>IF(D160=0,0,ABS(F160/D160))</f>
        <v>0</v>
      </c>
      <c r="H160" s="49">
        <v>0</v>
      </c>
      <c r="I160" s="49">
        <v>241.25</v>
      </c>
      <c r="J160" s="51" t="str">
        <f>IF(H160=0,"No plan at start",I160/H160)</f>
        <v>No plan at start</v>
      </c>
      <c r="K160" s="52">
        <f>H160-I160</f>
        <v>-241.25</v>
      </c>
      <c r="L160" s="49">
        <v>0</v>
      </c>
      <c r="M160" s="49">
        <f>I160+L160</f>
        <v>241.25</v>
      </c>
      <c r="N160" s="49">
        <f>M160-H160</f>
        <v>241.25</v>
      </c>
      <c r="O160" s="50" t="str">
        <f>IF(H160=0,"No plan at start",M160/H160)</f>
        <v>No plan at start</v>
      </c>
      <c r="P160" s="53"/>
      <c r="Q160" s="54"/>
      <c r="R160" s="55"/>
      <c r="S160" s="55"/>
    </row>
    <row r="161" spans="1:19" s="10" customFormat="1" hidden="1" outlineLevel="2" x14ac:dyDescent="0.2">
      <c r="A161" s="11"/>
      <c r="B161" s="49" t="s">
        <v>75</v>
      </c>
      <c r="C161" s="49" t="s">
        <v>53</v>
      </c>
      <c r="D161" s="49">
        <v>0</v>
      </c>
      <c r="E161" s="49">
        <v>0</v>
      </c>
      <c r="F161" s="49">
        <f>E161-D161</f>
        <v>0</v>
      </c>
      <c r="G161" s="50">
        <f>IF(D161=0,0,ABS(F161/D161))</f>
        <v>0</v>
      </c>
      <c r="H161" s="49">
        <v>0</v>
      </c>
      <c r="I161" s="49">
        <v>3</v>
      </c>
      <c r="J161" s="51" t="str">
        <f>IF(H161=0,"No plan at start",I161/H161)</f>
        <v>No plan at start</v>
      </c>
      <c r="K161" s="52">
        <f>H161-I161</f>
        <v>-3</v>
      </c>
      <c r="L161" s="49">
        <v>0</v>
      </c>
      <c r="M161" s="49">
        <f>I161+L161</f>
        <v>3</v>
      </c>
      <c r="N161" s="49">
        <f>M161-H161</f>
        <v>3</v>
      </c>
      <c r="O161" s="50" t="str">
        <f>IF(H161=0,"No plan at start",M161/H161)</f>
        <v>No plan at start</v>
      </c>
      <c r="P161" s="53"/>
      <c r="Q161" s="54"/>
      <c r="R161" s="55"/>
      <c r="S161" s="55"/>
    </row>
    <row r="162" spans="1:19" s="10" customFormat="1" hidden="1" outlineLevel="2" x14ac:dyDescent="0.2">
      <c r="A162" s="11"/>
      <c r="B162" s="49" t="s">
        <v>75</v>
      </c>
      <c r="C162" s="49" t="s">
        <v>54</v>
      </c>
      <c r="D162" s="49">
        <v>0</v>
      </c>
      <c r="E162" s="49">
        <v>0</v>
      </c>
      <c r="F162" s="49">
        <f>E162-D162</f>
        <v>0</v>
      </c>
      <c r="G162" s="50">
        <f>IF(D162=0,0,ABS(F162/D162))</f>
        <v>0</v>
      </c>
      <c r="H162" s="49">
        <v>0</v>
      </c>
      <c r="I162" s="49">
        <v>120</v>
      </c>
      <c r="J162" s="51" t="str">
        <f>IF(H162=0,"No plan at start",I162/H162)</f>
        <v>No plan at start</v>
      </c>
      <c r="K162" s="52">
        <f>H162-I162</f>
        <v>-120</v>
      </c>
      <c r="L162" s="49">
        <v>0</v>
      </c>
      <c r="M162" s="49">
        <f>I162+L162</f>
        <v>120</v>
      </c>
      <c r="N162" s="49">
        <f>M162-H162</f>
        <v>120</v>
      </c>
      <c r="O162" s="50" t="str">
        <f>IF(H162=0,"No plan at start",M162/H162)</f>
        <v>No plan at start</v>
      </c>
      <c r="P162" s="53"/>
      <c r="Q162" s="54"/>
      <c r="R162" s="55"/>
      <c r="S162" s="55"/>
    </row>
    <row r="163" spans="1:19" s="10" customFormat="1" hidden="1" outlineLevel="2" x14ac:dyDescent="0.2">
      <c r="A163" s="11"/>
      <c r="B163" s="49" t="s">
        <v>75</v>
      </c>
      <c r="C163" s="49" t="s">
        <v>55</v>
      </c>
      <c r="D163" s="49">
        <v>0</v>
      </c>
      <c r="E163" s="49">
        <v>0</v>
      </c>
      <c r="F163" s="49">
        <f>E163-D163</f>
        <v>0</v>
      </c>
      <c r="G163" s="50">
        <f>IF(D163=0,0,ABS(F163/D163))</f>
        <v>0</v>
      </c>
      <c r="H163" s="49">
        <v>0</v>
      </c>
      <c r="I163" s="49">
        <v>0</v>
      </c>
      <c r="J163" s="51" t="str">
        <f>IF(H163=0,"No plan at start",I163/H163)</f>
        <v>No plan at start</v>
      </c>
      <c r="K163" s="52">
        <f>H163-I163</f>
        <v>0</v>
      </c>
      <c r="L163" s="49">
        <v>0</v>
      </c>
      <c r="M163" s="49">
        <f>I163+L163</f>
        <v>0</v>
      </c>
      <c r="N163" s="49">
        <f>M163-H163</f>
        <v>0</v>
      </c>
      <c r="O163" s="50" t="str">
        <f>IF(H163=0,"No plan at start",M163/H163)</f>
        <v>No plan at start</v>
      </c>
      <c r="P163" s="53"/>
      <c r="Q163" s="54"/>
      <c r="R163" s="55"/>
      <c r="S163" s="55"/>
    </row>
    <row r="164" spans="1:19" s="10" customFormat="1" hidden="1" outlineLevel="2" x14ac:dyDescent="0.2">
      <c r="A164" s="11"/>
      <c r="B164" s="49" t="s">
        <v>75</v>
      </c>
      <c r="C164" s="49" t="s">
        <v>56</v>
      </c>
      <c r="D164" s="49">
        <v>0</v>
      </c>
      <c r="E164" s="49">
        <v>0</v>
      </c>
      <c r="F164" s="49">
        <f>E164-D164</f>
        <v>0</v>
      </c>
      <c r="G164" s="50">
        <f>IF(D164=0,0,ABS(F164/D164))</f>
        <v>0</v>
      </c>
      <c r="H164" s="49">
        <v>0</v>
      </c>
      <c r="I164" s="49">
        <v>1</v>
      </c>
      <c r="J164" s="51" t="str">
        <f>IF(H164=0,"No plan at start",I164/H164)</f>
        <v>No plan at start</v>
      </c>
      <c r="K164" s="52">
        <f>H164-I164</f>
        <v>-1</v>
      </c>
      <c r="L164" s="49">
        <v>0</v>
      </c>
      <c r="M164" s="49">
        <f>I164+L164</f>
        <v>1</v>
      </c>
      <c r="N164" s="49">
        <f>M164-H164</f>
        <v>1</v>
      </c>
      <c r="O164" s="50" t="str">
        <f>IF(H164=0,"No plan at start",M164/H164)</f>
        <v>No plan at start</v>
      </c>
      <c r="P164" s="53"/>
      <c r="Q164" s="54"/>
      <c r="R164" s="55"/>
      <c r="S164" s="55"/>
    </row>
    <row r="165" spans="1:19" s="10" customFormat="1" hidden="1" outlineLevel="2" x14ac:dyDescent="0.2">
      <c r="A165" s="11"/>
      <c r="B165" s="49" t="s">
        <v>75</v>
      </c>
      <c r="C165" s="49" t="s">
        <v>57</v>
      </c>
      <c r="D165" s="49">
        <v>0</v>
      </c>
      <c r="E165" s="49">
        <v>0</v>
      </c>
      <c r="F165" s="49">
        <f>E165-D165</f>
        <v>0</v>
      </c>
      <c r="G165" s="50">
        <f>IF(D165=0,0,ABS(F165/D165))</f>
        <v>0</v>
      </c>
      <c r="H165" s="49">
        <v>739.20000000000016</v>
      </c>
      <c r="I165" s="49">
        <v>978.5</v>
      </c>
      <c r="J165" s="51">
        <f>IF(H165=0,"No plan at start",I165/H165)</f>
        <v>1.3237283549783547</v>
      </c>
      <c r="K165" s="52">
        <f>H165-I165</f>
        <v>-239.29999999999984</v>
      </c>
      <c r="L165" s="49">
        <v>0</v>
      </c>
      <c r="M165" s="49">
        <f>I165+L165</f>
        <v>978.5</v>
      </c>
      <c r="N165" s="49">
        <f>M165-H165</f>
        <v>239.29999999999984</v>
      </c>
      <c r="O165" s="50">
        <f>IF(H165=0,"No plan at start",M165/H165)</f>
        <v>1.3237283549783547</v>
      </c>
      <c r="P165" s="53"/>
      <c r="Q165" s="54"/>
      <c r="R165" s="55"/>
      <c r="S165" s="55"/>
    </row>
    <row r="166" spans="1:19" s="10" customFormat="1" hidden="1" outlineLevel="2" x14ac:dyDescent="0.2">
      <c r="A166" s="11"/>
      <c r="B166" s="49" t="s">
        <v>75</v>
      </c>
      <c r="C166" s="49" t="s">
        <v>58</v>
      </c>
      <c r="D166" s="49">
        <v>0</v>
      </c>
      <c r="E166" s="49">
        <v>0</v>
      </c>
      <c r="F166" s="49">
        <f>E166-D166</f>
        <v>0</v>
      </c>
      <c r="G166" s="50">
        <f>IF(D166=0,0,ABS(F166/D166))</f>
        <v>0</v>
      </c>
      <c r="H166" s="49">
        <v>0</v>
      </c>
      <c r="I166" s="49">
        <v>15.5</v>
      </c>
      <c r="J166" s="51" t="str">
        <f>IF(H166=0,"No plan at start",I166/H166)</f>
        <v>No plan at start</v>
      </c>
      <c r="K166" s="52">
        <f>H166-I166</f>
        <v>-15.5</v>
      </c>
      <c r="L166" s="49">
        <v>0</v>
      </c>
      <c r="M166" s="49">
        <f>I166+L166</f>
        <v>15.5</v>
      </c>
      <c r="N166" s="49">
        <f>M166-H166</f>
        <v>15.5</v>
      </c>
      <c r="O166" s="50" t="str">
        <f>IF(H166=0,"No plan at start",M166/H166)</f>
        <v>No plan at start</v>
      </c>
      <c r="P166" s="53"/>
      <c r="Q166" s="54"/>
      <c r="R166" s="55"/>
      <c r="S166" s="55"/>
    </row>
    <row r="167" spans="1:19" s="10" customFormat="1" hidden="1" outlineLevel="2" x14ac:dyDescent="0.2">
      <c r="A167" s="11"/>
      <c r="B167" s="49" t="s">
        <v>75</v>
      </c>
      <c r="C167" s="49" t="s">
        <v>59</v>
      </c>
      <c r="D167" s="49">
        <v>0</v>
      </c>
      <c r="E167" s="49">
        <v>0</v>
      </c>
      <c r="F167" s="49">
        <f>E167-D167</f>
        <v>0</v>
      </c>
      <c r="G167" s="50">
        <f>IF(D167=0,0,ABS(F167/D167))</f>
        <v>0</v>
      </c>
      <c r="H167" s="49">
        <v>0</v>
      </c>
      <c r="I167" s="49">
        <v>0</v>
      </c>
      <c r="J167" s="51" t="str">
        <f>IF(H167=0,"No plan at start",I167/H167)</f>
        <v>No plan at start</v>
      </c>
      <c r="K167" s="52">
        <f>H167-I167</f>
        <v>0</v>
      </c>
      <c r="L167" s="49">
        <v>0</v>
      </c>
      <c r="M167" s="49">
        <f>I167+L167</f>
        <v>0</v>
      </c>
      <c r="N167" s="49">
        <f>M167-H167</f>
        <v>0</v>
      </c>
      <c r="O167" s="50" t="str">
        <f>IF(H167=0,"No plan at start",M167/H167)</f>
        <v>No plan at start</v>
      </c>
      <c r="P167" s="53"/>
      <c r="Q167" s="54"/>
      <c r="R167" s="55"/>
      <c r="S167" s="55"/>
    </row>
    <row r="168" spans="1:19" s="10" customFormat="1" outlineLevel="1" collapsed="1" x14ac:dyDescent="0.2">
      <c r="A168" s="11"/>
      <c r="B168" s="56" t="s">
        <v>114</v>
      </c>
      <c r="C168" s="49"/>
      <c r="D168" s="49">
        <f>SUBTOTAL(9,D160:D167)</f>
        <v>0</v>
      </c>
      <c r="E168" s="49">
        <f>SUBTOTAL(9,E160:E167)</f>
        <v>0</v>
      </c>
      <c r="F168" s="49">
        <f>SUBTOTAL(9,F160:F167)</f>
        <v>0</v>
      </c>
      <c r="G168" s="50">
        <f>IF(D168=0,0,ABS(F168/D168))</f>
        <v>0</v>
      </c>
      <c r="H168" s="49">
        <f>SUBTOTAL(9,H160:H167)</f>
        <v>739.20000000000016</v>
      </c>
      <c r="I168" s="49">
        <f>SUBTOTAL(9,I160:I167)</f>
        <v>1359.25</v>
      </c>
      <c r="J168" s="51">
        <f>IF(H168=0,"No plan at start",I168/H168)</f>
        <v>1.8388122294372291</v>
      </c>
      <c r="K168" s="52">
        <f>SUBTOTAL(9,K160:K167)</f>
        <v>-620.04999999999984</v>
      </c>
      <c r="L168" s="49">
        <f>SUBTOTAL(9,L160:L167)</f>
        <v>0</v>
      </c>
      <c r="M168" s="49">
        <f>SUBTOTAL(9,M160:M167)</f>
        <v>1359.25</v>
      </c>
      <c r="N168" s="49">
        <f>SUBTOTAL(9,N160:N167)</f>
        <v>620.04999999999984</v>
      </c>
      <c r="O168" s="50">
        <f>IF(H168=0,"No plan at start",M168/H168)</f>
        <v>1.8388122294372291</v>
      </c>
      <c r="P168" s="53"/>
      <c r="Q168" s="54"/>
      <c r="R168" s="55"/>
      <c r="S168" s="55"/>
    </row>
    <row r="169" spans="1:19" s="10" customFormat="1" hidden="1" outlineLevel="2" x14ac:dyDescent="0.2">
      <c r="A169" s="11"/>
      <c r="B169" s="49" t="s">
        <v>76</v>
      </c>
      <c r="C169" s="49" t="s">
        <v>52</v>
      </c>
      <c r="D169" s="49">
        <v>0</v>
      </c>
      <c r="E169" s="49">
        <v>0</v>
      </c>
      <c r="F169" s="49">
        <f>E169-D169</f>
        <v>0</v>
      </c>
      <c r="G169" s="50">
        <f>IF(D169=0,0,ABS(F169/D169))</f>
        <v>0</v>
      </c>
      <c r="H169" s="49">
        <v>0</v>
      </c>
      <c r="I169" s="49">
        <v>0</v>
      </c>
      <c r="J169" s="51" t="str">
        <f>IF(H169=0,"No plan at start",I169/H169)</f>
        <v>No plan at start</v>
      </c>
      <c r="K169" s="52">
        <f>H169-I169</f>
        <v>0</v>
      </c>
      <c r="L169" s="49">
        <v>0</v>
      </c>
      <c r="M169" s="49">
        <f>I169+L169</f>
        <v>0</v>
      </c>
      <c r="N169" s="49">
        <f>M169-H169</f>
        <v>0</v>
      </c>
      <c r="O169" s="50" t="str">
        <f>IF(H169=0,"No plan at start",M169/H169)</f>
        <v>No plan at start</v>
      </c>
      <c r="P169" s="53"/>
      <c r="Q169" s="54"/>
      <c r="R169" s="55"/>
      <c r="S169" s="55"/>
    </row>
    <row r="170" spans="1:19" s="10" customFormat="1" hidden="1" outlineLevel="2" x14ac:dyDescent="0.2">
      <c r="A170" s="11"/>
      <c r="B170" s="49" t="s">
        <v>76</v>
      </c>
      <c r="C170" s="49" t="s">
        <v>53</v>
      </c>
      <c r="D170" s="49">
        <v>0</v>
      </c>
      <c r="E170" s="49">
        <v>0</v>
      </c>
      <c r="F170" s="49">
        <f>E170-D170</f>
        <v>0</v>
      </c>
      <c r="G170" s="50">
        <f>IF(D170=0,0,ABS(F170/D170))</f>
        <v>0</v>
      </c>
      <c r="H170" s="49">
        <v>0</v>
      </c>
      <c r="I170" s="49">
        <v>0</v>
      </c>
      <c r="J170" s="51" t="str">
        <f>IF(H170=0,"No plan at start",I170/H170)</f>
        <v>No plan at start</v>
      </c>
      <c r="K170" s="52">
        <f>H170-I170</f>
        <v>0</v>
      </c>
      <c r="L170" s="49">
        <v>0</v>
      </c>
      <c r="M170" s="49">
        <f>I170+L170</f>
        <v>0</v>
      </c>
      <c r="N170" s="49">
        <f>M170-H170</f>
        <v>0</v>
      </c>
      <c r="O170" s="50" t="str">
        <f>IF(H170=0,"No plan at start",M170/H170)</f>
        <v>No plan at start</v>
      </c>
      <c r="P170" s="53"/>
      <c r="Q170" s="54"/>
      <c r="R170" s="55"/>
      <c r="S170" s="55"/>
    </row>
    <row r="171" spans="1:19" s="10" customFormat="1" hidden="1" outlineLevel="2" x14ac:dyDescent="0.2">
      <c r="A171" s="11"/>
      <c r="B171" s="49" t="s">
        <v>76</v>
      </c>
      <c r="C171" s="49" t="s">
        <v>54</v>
      </c>
      <c r="D171" s="49">
        <v>0</v>
      </c>
      <c r="E171" s="49">
        <v>0</v>
      </c>
      <c r="F171" s="49">
        <f>E171-D171</f>
        <v>0</v>
      </c>
      <c r="G171" s="50">
        <f>IF(D171=0,0,ABS(F171/D171))</f>
        <v>0</v>
      </c>
      <c r="H171" s="49">
        <v>0</v>
      </c>
      <c r="I171" s="49">
        <v>0</v>
      </c>
      <c r="J171" s="51" t="str">
        <f>IF(H171=0,"No plan at start",I171/H171)</f>
        <v>No plan at start</v>
      </c>
      <c r="K171" s="52">
        <f>H171-I171</f>
        <v>0</v>
      </c>
      <c r="L171" s="49">
        <v>0</v>
      </c>
      <c r="M171" s="49">
        <f>I171+L171</f>
        <v>0</v>
      </c>
      <c r="N171" s="49">
        <f>M171-H171</f>
        <v>0</v>
      </c>
      <c r="O171" s="50" t="str">
        <f>IF(H171=0,"No plan at start",M171/H171)</f>
        <v>No plan at start</v>
      </c>
      <c r="P171" s="53"/>
      <c r="Q171" s="54"/>
      <c r="R171" s="55"/>
      <c r="S171" s="55"/>
    </row>
    <row r="172" spans="1:19" s="10" customFormat="1" hidden="1" outlineLevel="2" x14ac:dyDescent="0.2">
      <c r="A172" s="11"/>
      <c r="B172" s="49" t="s">
        <v>76</v>
      </c>
      <c r="C172" s="49" t="s">
        <v>55</v>
      </c>
      <c r="D172" s="49">
        <v>0</v>
      </c>
      <c r="E172" s="49">
        <v>0</v>
      </c>
      <c r="F172" s="49">
        <f>E172-D172</f>
        <v>0</v>
      </c>
      <c r="G172" s="50">
        <f>IF(D172=0,0,ABS(F172/D172))</f>
        <v>0</v>
      </c>
      <c r="H172" s="49">
        <v>0</v>
      </c>
      <c r="I172" s="49">
        <v>0</v>
      </c>
      <c r="J172" s="51" t="str">
        <f>IF(H172=0,"No plan at start",I172/H172)</f>
        <v>No plan at start</v>
      </c>
      <c r="K172" s="52">
        <f>H172-I172</f>
        <v>0</v>
      </c>
      <c r="L172" s="49">
        <v>0</v>
      </c>
      <c r="M172" s="49">
        <f>I172+L172</f>
        <v>0</v>
      </c>
      <c r="N172" s="49">
        <f>M172-H172</f>
        <v>0</v>
      </c>
      <c r="O172" s="50" t="str">
        <f>IF(H172=0,"No plan at start",M172/H172)</f>
        <v>No plan at start</v>
      </c>
      <c r="P172" s="53"/>
      <c r="Q172" s="54"/>
      <c r="R172" s="55"/>
      <c r="S172" s="55"/>
    </row>
    <row r="173" spans="1:19" s="10" customFormat="1" hidden="1" outlineLevel="2" x14ac:dyDescent="0.2">
      <c r="A173" s="11"/>
      <c r="B173" s="49" t="s">
        <v>76</v>
      </c>
      <c r="C173" s="49" t="s">
        <v>56</v>
      </c>
      <c r="D173" s="49">
        <v>0</v>
      </c>
      <c r="E173" s="49">
        <v>0</v>
      </c>
      <c r="F173" s="49">
        <f>E173-D173</f>
        <v>0</v>
      </c>
      <c r="G173" s="50">
        <f>IF(D173=0,0,ABS(F173/D173))</f>
        <v>0</v>
      </c>
      <c r="H173" s="49">
        <v>0</v>
      </c>
      <c r="I173" s="49">
        <v>0</v>
      </c>
      <c r="J173" s="51" t="str">
        <f>IF(H173=0,"No plan at start",I173/H173)</f>
        <v>No plan at start</v>
      </c>
      <c r="K173" s="52">
        <f>H173-I173</f>
        <v>0</v>
      </c>
      <c r="L173" s="49">
        <v>0</v>
      </c>
      <c r="M173" s="49">
        <f>I173+L173</f>
        <v>0</v>
      </c>
      <c r="N173" s="49">
        <f>M173-H173</f>
        <v>0</v>
      </c>
      <c r="O173" s="50" t="str">
        <f>IF(H173=0,"No plan at start",M173/H173)</f>
        <v>No plan at start</v>
      </c>
      <c r="P173" s="53"/>
      <c r="Q173" s="54"/>
      <c r="R173" s="55"/>
      <c r="S173" s="55"/>
    </row>
    <row r="174" spans="1:19" s="10" customFormat="1" hidden="1" outlineLevel="2" x14ac:dyDescent="0.2">
      <c r="A174" s="11"/>
      <c r="B174" s="49" t="s">
        <v>76</v>
      </c>
      <c r="C174" s="49" t="s">
        <v>57</v>
      </c>
      <c r="D174" s="49">
        <v>0</v>
      </c>
      <c r="E174" s="49">
        <v>0</v>
      </c>
      <c r="F174" s="49">
        <f>E174-D174</f>
        <v>0</v>
      </c>
      <c r="G174" s="50">
        <f>IF(D174=0,0,ABS(F174/D174))</f>
        <v>0</v>
      </c>
      <c r="H174" s="49">
        <v>0</v>
      </c>
      <c r="I174" s="49">
        <v>0</v>
      </c>
      <c r="J174" s="51" t="str">
        <f>IF(H174=0,"No plan at start",I174/H174)</f>
        <v>No plan at start</v>
      </c>
      <c r="K174" s="52">
        <f>H174-I174</f>
        <v>0</v>
      </c>
      <c r="L174" s="49">
        <v>0</v>
      </c>
      <c r="M174" s="49">
        <f>I174+L174</f>
        <v>0</v>
      </c>
      <c r="N174" s="49">
        <f>M174-H174</f>
        <v>0</v>
      </c>
      <c r="O174" s="50" t="str">
        <f>IF(H174=0,"No plan at start",M174/H174)</f>
        <v>No plan at start</v>
      </c>
      <c r="P174" s="53"/>
      <c r="Q174" s="54"/>
      <c r="R174" s="55"/>
      <c r="S174" s="55"/>
    </row>
    <row r="175" spans="1:19" s="10" customFormat="1" hidden="1" outlineLevel="2" x14ac:dyDescent="0.2">
      <c r="A175" s="11"/>
      <c r="B175" s="49" t="s">
        <v>76</v>
      </c>
      <c r="C175" s="49" t="s">
        <v>58</v>
      </c>
      <c r="D175" s="49">
        <v>0</v>
      </c>
      <c r="E175" s="49">
        <v>0</v>
      </c>
      <c r="F175" s="49">
        <f>E175-D175</f>
        <v>0</v>
      </c>
      <c r="G175" s="50">
        <f>IF(D175=0,0,ABS(F175/D175))</f>
        <v>0</v>
      </c>
      <c r="H175" s="49">
        <v>0</v>
      </c>
      <c r="I175" s="49">
        <v>0</v>
      </c>
      <c r="J175" s="51" t="str">
        <f>IF(H175=0,"No plan at start",I175/H175)</f>
        <v>No plan at start</v>
      </c>
      <c r="K175" s="52">
        <f>H175-I175</f>
        <v>0</v>
      </c>
      <c r="L175" s="49">
        <v>0</v>
      </c>
      <c r="M175" s="49">
        <f>I175+L175</f>
        <v>0</v>
      </c>
      <c r="N175" s="49">
        <f>M175-H175</f>
        <v>0</v>
      </c>
      <c r="O175" s="50" t="str">
        <f>IF(H175=0,"No plan at start",M175/H175)</f>
        <v>No plan at start</v>
      </c>
      <c r="P175" s="53"/>
      <c r="Q175" s="54"/>
      <c r="R175" s="55"/>
      <c r="S175" s="55"/>
    </row>
    <row r="176" spans="1:19" s="10" customFormat="1" hidden="1" outlineLevel="2" x14ac:dyDescent="0.2">
      <c r="A176" s="11"/>
      <c r="B176" s="49" t="s">
        <v>76</v>
      </c>
      <c r="C176" s="49" t="s">
        <v>59</v>
      </c>
      <c r="D176" s="49">
        <v>0</v>
      </c>
      <c r="E176" s="49">
        <v>0</v>
      </c>
      <c r="F176" s="49">
        <f>E176-D176</f>
        <v>0</v>
      </c>
      <c r="G176" s="50">
        <f>IF(D176=0,0,ABS(F176/D176))</f>
        <v>0</v>
      </c>
      <c r="H176" s="49">
        <v>0</v>
      </c>
      <c r="I176" s="49">
        <v>0</v>
      </c>
      <c r="J176" s="51" t="str">
        <f>IF(H176=0,"No plan at start",I176/H176)</f>
        <v>No plan at start</v>
      </c>
      <c r="K176" s="52">
        <f>H176-I176</f>
        <v>0</v>
      </c>
      <c r="L176" s="49">
        <v>0</v>
      </c>
      <c r="M176" s="49">
        <f>I176+L176</f>
        <v>0</v>
      </c>
      <c r="N176" s="49">
        <f>M176-H176</f>
        <v>0</v>
      </c>
      <c r="O176" s="50" t="str">
        <f>IF(H176=0,"No plan at start",M176/H176)</f>
        <v>No plan at start</v>
      </c>
      <c r="P176" s="53"/>
      <c r="Q176" s="54"/>
      <c r="R176" s="55"/>
      <c r="S176" s="55"/>
    </row>
    <row r="177" spans="1:19" s="10" customFormat="1" outlineLevel="1" collapsed="1" x14ac:dyDescent="0.2">
      <c r="A177" s="11"/>
      <c r="B177" s="56" t="s">
        <v>115</v>
      </c>
      <c r="C177" s="49"/>
      <c r="D177" s="49">
        <f>SUBTOTAL(9,D169:D176)</f>
        <v>0</v>
      </c>
      <c r="E177" s="49">
        <f>SUBTOTAL(9,E169:E176)</f>
        <v>0</v>
      </c>
      <c r="F177" s="49">
        <f>SUBTOTAL(9,F169:F176)</f>
        <v>0</v>
      </c>
      <c r="G177" s="50">
        <f>IF(D177=0,0,ABS(F177/D177))</f>
        <v>0</v>
      </c>
      <c r="H177" s="49">
        <f>SUBTOTAL(9,H169:H176)</f>
        <v>0</v>
      </c>
      <c r="I177" s="49">
        <f>SUBTOTAL(9,I169:I176)</f>
        <v>0</v>
      </c>
      <c r="J177" s="51" t="str">
        <f>IF(H177=0,"No plan at start",I177/H177)</f>
        <v>No plan at start</v>
      </c>
      <c r="K177" s="52">
        <f>SUBTOTAL(9,K169:K176)</f>
        <v>0</v>
      </c>
      <c r="L177" s="49">
        <f>SUBTOTAL(9,L169:L176)</f>
        <v>0</v>
      </c>
      <c r="M177" s="49">
        <f>SUBTOTAL(9,M169:M176)</f>
        <v>0</v>
      </c>
      <c r="N177" s="49">
        <f>SUBTOTAL(9,N169:N176)</f>
        <v>0</v>
      </c>
      <c r="O177" s="50" t="str">
        <f>IF(H177=0,"No plan at start",M177/H177)</f>
        <v>No plan at start</v>
      </c>
      <c r="P177" s="53"/>
      <c r="Q177" s="54"/>
      <c r="R177" s="55"/>
      <c r="S177" s="55"/>
    </row>
    <row r="178" spans="1:19" s="10" customFormat="1" hidden="1" outlineLevel="2" x14ac:dyDescent="0.2">
      <c r="A178" s="11"/>
      <c r="B178" s="49" t="s">
        <v>77</v>
      </c>
      <c r="C178" s="49" t="s">
        <v>52</v>
      </c>
      <c r="D178" s="49">
        <v>0</v>
      </c>
      <c r="E178" s="49">
        <v>0.5</v>
      </c>
      <c r="F178" s="49">
        <f>E178-D178</f>
        <v>0.5</v>
      </c>
      <c r="G178" s="50">
        <f>IF(D178=0,0,ABS(F178/D178))</f>
        <v>0</v>
      </c>
      <c r="H178" s="49">
        <v>2627.47</v>
      </c>
      <c r="I178" s="49">
        <v>972.25</v>
      </c>
      <c r="J178" s="51">
        <f>IF(H178=0,"No plan at start",I178/H178)</f>
        <v>0.37003276916577549</v>
      </c>
      <c r="K178" s="52">
        <f>H178-I178</f>
        <v>1655.2199999999998</v>
      </c>
      <c r="L178" s="49">
        <v>0</v>
      </c>
      <c r="M178" s="49">
        <f>I178+L178</f>
        <v>972.25</v>
      </c>
      <c r="N178" s="49">
        <f>M178-H178</f>
        <v>-1655.2199999999998</v>
      </c>
      <c r="O178" s="50">
        <f>IF(H178=0,"No plan at start",M178/H178)</f>
        <v>0.37003276916577549</v>
      </c>
      <c r="P178" s="53"/>
      <c r="Q178" s="54"/>
      <c r="R178" s="55"/>
      <c r="S178" s="55"/>
    </row>
    <row r="179" spans="1:19" s="10" customFormat="1" hidden="1" outlineLevel="2" x14ac:dyDescent="0.2">
      <c r="A179" s="11"/>
      <c r="B179" s="49" t="s">
        <v>77</v>
      </c>
      <c r="C179" s="49" t="s">
        <v>53</v>
      </c>
      <c r="D179" s="49">
        <v>0</v>
      </c>
      <c r="E179" s="49">
        <v>0</v>
      </c>
      <c r="F179" s="49">
        <f>E179-D179</f>
        <v>0</v>
      </c>
      <c r="G179" s="50">
        <f>IF(D179=0,0,ABS(F179/D179))</f>
        <v>0</v>
      </c>
      <c r="H179" s="49">
        <v>0</v>
      </c>
      <c r="I179" s="49">
        <v>0</v>
      </c>
      <c r="J179" s="51" t="str">
        <f>IF(H179=0,"No plan at start",I179/H179)</f>
        <v>No plan at start</v>
      </c>
      <c r="K179" s="52">
        <f>H179-I179</f>
        <v>0</v>
      </c>
      <c r="L179" s="49">
        <v>0</v>
      </c>
      <c r="M179" s="49">
        <f>I179+L179</f>
        <v>0</v>
      </c>
      <c r="N179" s="49">
        <f>M179-H179</f>
        <v>0</v>
      </c>
      <c r="O179" s="50" t="str">
        <f>IF(H179=0,"No plan at start",M179/H179)</f>
        <v>No plan at start</v>
      </c>
      <c r="P179" s="53"/>
      <c r="Q179" s="54"/>
      <c r="R179" s="55"/>
      <c r="S179" s="55"/>
    </row>
    <row r="180" spans="1:19" s="10" customFormat="1" hidden="1" outlineLevel="2" x14ac:dyDescent="0.2">
      <c r="A180" s="11"/>
      <c r="B180" s="49" t="s">
        <v>77</v>
      </c>
      <c r="C180" s="49" t="s">
        <v>54</v>
      </c>
      <c r="D180" s="49">
        <v>0</v>
      </c>
      <c r="E180" s="49">
        <v>0</v>
      </c>
      <c r="F180" s="49">
        <f>E180-D180</f>
        <v>0</v>
      </c>
      <c r="G180" s="50">
        <f>IF(D180=0,0,ABS(F180/D180))</f>
        <v>0</v>
      </c>
      <c r="H180" s="49">
        <v>0</v>
      </c>
      <c r="I180" s="49">
        <v>0</v>
      </c>
      <c r="J180" s="51" t="str">
        <f>IF(H180=0,"No plan at start",I180/H180)</f>
        <v>No plan at start</v>
      </c>
      <c r="K180" s="52">
        <f>H180-I180</f>
        <v>0</v>
      </c>
      <c r="L180" s="49">
        <v>0</v>
      </c>
      <c r="M180" s="49">
        <f>I180+L180</f>
        <v>0</v>
      </c>
      <c r="N180" s="49">
        <f>M180-H180</f>
        <v>0</v>
      </c>
      <c r="O180" s="50" t="str">
        <f>IF(H180=0,"No plan at start",M180/H180)</f>
        <v>No plan at start</v>
      </c>
      <c r="P180" s="53"/>
      <c r="Q180" s="54"/>
      <c r="R180" s="55"/>
      <c r="S180" s="55"/>
    </row>
    <row r="181" spans="1:19" s="10" customFormat="1" hidden="1" outlineLevel="2" x14ac:dyDescent="0.2">
      <c r="A181" s="11"/>
      <c r="B181" s="49" t="s">
        <v>77</v>
      </c>
      <c r="C181" s="49" t="s">
        <v>55</v>
      </c>
      <c r="D181" s="49">
        <v>0</v>
      </c>
      <c r="E181" s="49">
        <v>0</v>
      </c>
      <c r="F181" s="49">
        <f>E181-D181</f>
        <v>0</v>
      </c>
      <c r="G181" s="50">
        <f>IF(D181=0,0,ABS(F181/D181))</f>
        <v>0</v>
      </c>
      <c r="H181" s="49">
        <v>0</v>
      </c>
      <c r="I181" s="49">
        <v>0</v>
      </c>
      <c r="J181" s="51" t="str">
        <f>IF(H181=0,"No plan at start",I181/H181)</f>
        <v>No plan at start</v>
      </c>
      <c r="K181" s="52">
        <f>H181-I181</f>
        <v>0</v>
      </c>
      <c r="L181" s="49">
        <v>0</v>
      </c>
      <c r="M181" s="49">
        <f>I181+L181</f>
        <v>0</v>
      </c>
      <c r="N181" s="49">
        <f>M181-H181</f>
        <v>0</v>
      </c>
      <c r="O181" s="50" t="str">
        <f>IF(H181=0,"No plan at start",M181/H181)</f>
        <v>No plan at start</v>
      </c>
      <c r="P181" s="53"/>
      <c r="Q181" s="54"/>
      <c r="R181" s="55"/>
      <c r="S181" s="55"/>
    </row>
    <row r="182" spans="1:19" s="10" customFormat="1" hidden="1" outlineLevel="2" x14ac:dyDescent="0.2">
      <c r="A182" s="11"/>
      <c r="B182" s="49" t="s">
        <v>77</v>
      </c>
      <c r="C182" s="49" t="s">
        <v>56</v>
      </c>
      <c r="D182" s="49">
        <v>0</v>
      </c>
      <c r="E182" s="49">
        <v>0</v>
      </c>
      <c r="F182" s="49">
        <f>E182-D182</f>
        <v>0</v>
      </c>
      <c r="G182" s="50">
        <f>IF(D182=0,0,ABS(F182/D182))</f>
        <v>0</v>
      </c>
      <c r="H182" s="49">
        <v>0</v>
      </c>
      <c r="I182" s="49">
        <v>0</v>
      </c>
      <c r="J182" s="51" t="str">
        <f>IF(H182=0,"No plan at start",I182/H182)</f>
        <v>No plan at start</v>
      </c>
      <c r="K182" s="52">
        <f>H182-I182</f>
        <v>0</v>
      </c>
      <c r="L182" s="49">
        <v>0</v>
      </c>
      <c r="M182" s="49">
        <f>I182+L182</f>
        <v>0</v>
      </c>
      <c r="N182" s="49">
        <f>M182-H182</f>
        <v>0</v>
      </c>
      <c r="O182" s="50" t="str">
        <f>IF(H182=0,"No plan at start",M182/H182)</f>
        <v>No plan at start</v>
      </c>
      <c r="P182" s="53"/>
      <c r="Q182" s="54"/>
      <c r="R182" s="55"/>
      <c r="S182" s="55"/>
    </row>
    <row r="183" spans="1:19" s="10" customFormat="1" hidden="1" outlineLevel="2" x14ac:dyDescent="0.2">
      <c r="A183" s="11"/>
      <c r="B183" s="49" t="s">
        <v>77</v>
      </c>
      <c r="C183" s="49" t="s">
        <v>57</v>
      </c>
      <c r="D183" s="49">
        <v>0</v>
      </c>
      <c r="E183" s="49">
        <v>0</v>
      </c>
      <c r="F183" s="49">
        <f>E183-D183</f>
        <v>0</v>
      </c>
      <c r="G183" s="50">
        <f>IF(D183=0,0,ABS(F183/D183))</f>
        <v>0</v>
      </c>
      <c r="H183" s="49">
        <v>0</v>
      </c>
      <c r="I183" s="49">
        <v>0</v>
      </c>
      <c r="J183" s="51" t="str">
        <f>IF(H183=0,"No plan at start",I183/H183)</f>
        <v>No plan at start</v>
      </c>
      <c r="K183" s="52">
        <f>H183-I183</f>
        <v>0</v>
      </c>
      <c r="L183" s="49">
        <v>0</v>
      </c>
      <c r="M183" s="49">
        <f>I183+L183</f>
        <v>0</v>
      </c>
      <c r="N183" s="49">
        <f>M183-H183</f>
        <v>0</v>
      </c>
      <c r="O183" s="50" t="str">
        <f>IF(H183=0,"No plan at start",M183/H183)</f>
        <v>No plan at start</v>
      </c>
      <c r="P183" s="53"/>
      <c r="Q183" s="54"/>
      <c r="R183" s="55"/>
      <c r="S183" s="55"/>
    </row>
    <row r="184" spans="1:19" s="10" customFormat="1" hidden="1" outlineLevel="2" x14ac:dyDescent="0.2">
      <c r="A184" s="11"/>
      <c r="B184" s="49" t="s">
        <v>77</v>
      </c>
      <c r="C184" s="49" t="s">
        <v>58</v>
      </c>
      <c r="D184" s="49">
        <v>0</v>
      </c>
      <c r="E184" s="49">
        <v>0</v>
      </c>
      <c r="F184" s="49">
        <f>E184-D184</f>
        <v>0</v>
      </c>
      <c r="G184" s="50">
        <f>IF(D184=0,0,ABS(F184/D184))</f>
        <v>0</v>
      </c>
      <c r="H184" s="49">
        <v>0</v>
      </c>
      <c r="I184" s="49">
        <v>6</v>
      </c>
      <c r="J184" s="51" t="str">
        <f>IF(H184=0,"No plan at start",I184/H184)</f>
        <v>No plan at start</v>
      </c>
      <c r="K184" s="52">
        <f>H184-I184</f>
        <v>-6</v>
      </c>
      <c r="L184" s="49">
        <v>0</v>
      </c>
      <c r="M184" s="49">
        <f>I184+L184</f>
        <v>6</v>
      </c>
      <c r="N184" s="49">
        <f>M184-H184</f>
        <v>6</v>
      </c>
      <c r="O184" s="50" t="str">
        <f>IF(H184=0,"No plan at start",M184/H184)</f>
        <v>No plan at start</v>
      </c>
      <c r="P184" s="53"/>
      <c r="Q184" s="54"/>
      <c r="R184" s="55"/>
      <c r="S184" s="55"/>
    </row>
    <row r="185" spans="1:19" s="10" customFormat="1" hidden="1" outlineLevel="2" x14ac:dyDescent="0.2">
      <c r="A185" s="11"/>
      <c r="B185" s="49" t="s">
        <v>77</v>
      </c>
      <c r="C185" s="49" t="s">
        <v>59</v>
      </c>
      <c r="D185" s="49">
        <v>0</v>
      </c>
      <c r="E185" s="49">
        <v>0</v>
      </c>
      <c r="F185" s="49">
        <f>E185-D185</f>
        <v>0</v>
      </c>
      <c r="G185" s="50">
        <f>IF(D185=0,0,ABS(F185/D185))</f>
        <v>0</v>
      </c>
      <c r="H185" s="49">
        <v>0</v>
      </c>
      <c r="I185" s="49">
        <v>0</v>
      </c>
      <c r="J185" s="51" t="str">
        <f>IF(H185=0,"No plan at start",I185/H185)</f>
        <v>No plan at start</v>
      </c>
      <c r="K185" s="52">
        <f>H185-I185</f>
        <v>0</v>
      </c>
      <c r="L185" s="49">
        <v>0</v>
      </c>
      <c r="M185" s="49">
        <f>I185+L185</f>
        <v>0</v>
      </c>
      <c r="N185" s="49">
        <f>M185-H185</f>
        <v>0</v>
      </c>
      <c r="O185" s="50" t="str">
        <f>IF(H185=0,"No plan at start",M185/H185)</f>
        <v>No plan at start</v>
      </c>
      <c r="P185" s="53"/>
      <c r="Q185" s="54"/>
      <c r="R185" s="55"/>
      <c r="S185" s="55"/>
    </row>
    <row r="186" spans="1:19" s="10" customFormat="1" outlineLevel="1" collapsed="1" x14ac:dyDescent="0.2">
      <c r="A186" s="11"/>
      <c r="B186" s="56" t="s">
        <v>116</v>
      </c>
      <c r="C186" s="49"/>
      <c r="D186" s="49">
        <f>SUBTOTAL(9,D178:D185)</f>
        <v>0</v>
      </c>
      <c r="E186" s="49">
        <f>SUBTOTAL(9,E178:E185)</f>
        <v>0.5</v>
      </c>
      <c r="F186" s="49">
        <f>SUBTOTAL(9,F178:F185)</f>
        <v>0.5</v>
      </c>
      <c r="G186" s="50">
        <f>IF(D186=0,0,ABS(F186/D186))</f>
        <v>0</v>
      </c>
      <c r="H186" s="49">
        <f>SUBTOTAL(9,H178:H185)</f>
        <v>2627.47</v>
      </c>
      <c r="I186" s="49">
        <f>SUBTOTAL(9,I178:I185)</f>
        <v>978.25</v>
      </c>
      <c r="J186" s="51">
        <f>IF(H186=0,"No plan at start",I186/H186)</f>
        <v>0.37231633472503972</v>
      </c>
      <c r="K186" s="52">
        <f>SUBTOTAL(9,K178:K185)</f>
        <v>1649.2199999999998</v>
      </c>
      <c r="L186" s="49">
        <f>SUBTOTAL(9,L178:L185)</f>
        <v>0</v>
      </c>
      <c r="M186" s="49">
        <f>SUBTOTAL(9,M178:M185)</f>
        <v>978.25</v>
      </c>
      <c r="N186" s="49">
        <f>SUBTOTAL(9,N178:N185)</f>
        <v>-1649.2199999999998</v>
      </c>
      <c r="O186" s="50">
        <f>IF(H186=0,"No plan at start",M186/H186)</f>
        <v>0.37231633472503972</v>
      </c>
      <c r="P186" s="53"/>
      <c r="Q186" s="54"/>
      <c r="R186" s="55"/>
      <c r="S186" s="55"/>
    </row>
    <row r="187" spans="1:19" s="10" customFormat="1" hidden="1" outlineLevel="2" x14ac:dyDescent="0.2">
      <c r="A187" s="11"/>
      <c r="B187" s="49" t="s">
        <v>78</v>
      </c>
      <c r="C187" s="49" t="s">
        <v>52</v>
      </c>
      <c r="D187" s="49">
        <v>0</v>
      </c>
      <c r="E187" s="49">
        <v>0</v>
      </c>
      <c r="F187" s="49">
        <f>E187-D187</f>
        <v>0</v>
      </c>
      <c r="G187" s="50">
        <f>IF(D187=0,0,ABS(F187/D187))</f>
        <v>0</v>
      </c>
      <c r="H187" s="49">
        <v>168</v>
      </c>
      <c r="I187" s="49">
        <v>158.5</v>
      </c>
      <c r="J187" s="51">
        <f>IF(H187=0,"No plan at start",I187/H187)</f>
        <v>0.94345238095238093</v>
      </c>
      <c r="K187" s="52">
        <f>H187-I187</f>
        <v>9.5</v>
      </c>
      <c r="L187" s="49">
        <v>0</v>
      </c>
      <c r="M187" s="49">
        <f>I187+L187</f>
        <v>158.5</v>
      </c>
      <c r="N187" s="49">
        <f>M187-H187</f>
        <v>-9.5</v>
      </c>
      <c r="O187" s="50">
        <f>IF(H187=0,"No plan at start",M187/H187)</f>
        <v>0.94345238095238093</v>
      </c>
      <c r="P187" s="53"/>
      <c r="Q187" s="54"/>
      <c r="R187" s="55"/>
      <c r="S187" s="55"/>
    </row>
    <row r="188" spans="1:19" s="10" customFormat="1" hidden="1" outlineLevel="2" x14ac:dyDescent="0.2">
      <c r="A188" s="11"/>
      <c r="B188" s="49" t="s">
        <v>78</v>
      </c>
      <c r="C188" s="49" t="s">
        <v>53</v>
      </c>
      <c r="D188" s="49">
        <v>0</v>
      </c>
      <c r="E188" s="49">
        <v>0</v>
      </c>
      <c r="F188" s="49">
        <f>E188-D188</f>
        <v>0</v>
      </c>
      <c r="G188" s="50">
        <f>IF(D188=0,0,ABS(F188/D188))</f>
        <v>0</v>
      </c>
      <c r="H188" s="49">
        <v>0</v>
      </c>
      <c r="I188" s="49">
        <v>0</v>
      </c>
      <c r="J188" s="51" t="str">
        <f>IF(H188=0,"No plan at start",I188/H188)</f>
        <v>No plan at start</v>
      </c>
      <c r="K188" s="52">
        <f>H188-I188</f>
        <v>0</v>
      </c>
      <c r="L188" s="49">
        <v>0</v>
      </c>
      <c r="M188" s="49">
        <f>I188+L188</f>
        <v>0</v>
      </c>
      <c r="N188" s="49">
        <f>M188-H188</f>
        <v>0</v>
      </c>
      <c r="O188" s="50" t="str">
        <f>IF(H188=0,"No plan at start",M188/H188)</f>
        <v>No plan at start</v>
      </c>
      <c r="P188" s="53"/>
      <c r="Q188" s="54"/>
      <c r="R188" s="55"/>
      <c r="S188" s="55"/>
    </row>
    <row r="189" spans="1:19" s="10" customFormat="1" hidden="1" outlineLevel="2" x14ac:dyDescent="0.2">
      <c r="A189" s="11"/>
      <c r="B189" s="49" t="s">
        <v>78</v>
      </c>
      <c r="C189" s="49" t="s">
        <v>54</v>
      </c>
      <c r="D189" s="49">
        <v>0</v>
      </c>
      <c r="E189" s="49">
        <v>0</v>
      </c>
      <c r="F189" s="49">
        <f>E189-D189</f>
        <v>0</v>
      </c>
      <c r="G189" s="50">
        <f>IF(D189=0,0,ABS(F189/D189))</f>
        <v>0</v>
      </c>
      <c r="H189" s="49">
        <v>0</v>
      </c>
      <c r="I189" s="49">
        <v>0</v>
      </c>
      <c r="J189" s="51" t="str">
        <f>IF(H189=0,"No plan at start",I189/H189)</f>
        <v>No plan at start</v>
      </c>
      <c r="K189" s="52">
        <f>H189-I189</f>
        <v>0</v>
      </c>
      <c r="L189" s="49">
        <v>0</v>
      </c>
      <c r="M189" s="49">
        <f>I189+L189</f>
        <v>0</v>
      </c>
      <c r="N189" s="49">
        <f>M189-H189</f>
        <v>0</v>
      </c>
      <c r="O189" s="50" t="str">
        <f>IF(H189=0,"No plan at start",M189/H189)</f>
        <v>No plan at start</v>
      </c>
      <c r="P189" s="53"/>
      <c r="Q189" s="54"/>
      <c r="R189" s="55"/>
      <c r="S189" s="55"/>
    </row>
    <row r="190" spans="1:19" s="10" customFormat="1" hidden="1" outlineLevel="2" x14ac:dyDescent="0.2">
      <c r="A190" s="11"/>
      <c r="B190" s="49" t="s">
        <v>78</v>
      </c>
      <c r="C190" s="49" t="s">
        <v>55</v>
      </c>
      <c r="D190" s="49">
        <v>0</v>
      </c>
      <c r="E190" s="49">
        <v>0</v>
      </c>
      <c r="F190" s="49">
        <f>E190-D190</f>
        <v>0</v>
      </c>
      <c r="G190" s="50">
        <f>IF(D190=0,0,ABS(F190/D190))</f>
        <v>0</v>
      </c>
      <c r="H190" s="49">
        <v>0</v>
      </c>
      <c r="I190" s="49">
        <v>0</v>
      </c>
      <c r="J190" s="51" t="str">
        <f>IF(H190=0,"No plan at start",I190/H190)</f>
        <v>No plan at start</v>
      </c>
      <c r="K190" s="52">
        <f>H190-I190</f>
        <v>0</v>
      </c>
      <c r="L190" s="49">
        <v>0</v>
      </c>
      <c r="M190" s="49">
        <f>I190+L190</f>
        <v>0</v>
      </c>
      <c r="N190" s="49">
        <f>M190-H190</f>
        <v>0</v>
      </c>
      <c r="O190" s="50" t="str">
        <f>IF(H190=0,"No plan at start",M190/H190)</f>
        <v>No plan at start</v>
      </c>
      <c r="P190" s="53"/>
      <c r="Q190" s="54"/>
      <c r="R190" s="55"/>
      <c r="S190" s="55"/>
    </row>
    <row r="191" spans="1:19" s="10" customFormat="1" hidden="1" outlineLevel="2" x14ac:dyDescent="0.2">
      <c r="A191" s="11"/>
      <c r="B191" s="49" t="s">
        <v>78</v>
      </c>
      <c r="C191" s="49" t="s">
        <v>56</v>
      </c>
      <c r="D191" s="49">
        <v>0</v>
      </c>
      <c r="E191" s="49">
        <v>0</v>
      </c>
      <c r="F191" s="49">
        <f>E191-D191</f>
        <v>0</v>
      </c>
      <c r="G191" s="50">
        <f>IF(D191=0,0,ABS(F191/D191))</f>
        <v>0</v>
      </c>
      <c r="H191" s="49">
        <v>0</v>
      </c>
      <c r="I191" s="49">
        <v>0</v>
      </c>
      <c r="J191" s="51" t="str">
        <f>IF(H191=0,"No plan at start",I191/H191)</f>
        <v>No plan at start</v>
      </c>
      <c r="K191" s="52">
        <f>H191-I191</f>
        <v>0</v>
      </c>
      <c r="L191" s="49">
        <v>0</v>
      </c>
      <c r="M191" s="49">
        <f>I191+L191</f>
        <v>0</v>
      </c>
      <c r="N191" s="49">
        <f>M191-H191</f>
        <v>0</v>
      </c>
      <c r="O191" s="50" t="str">
        <f>IF(H191=0,"No plan at start",M191/H191)</f>
        <v>No plan at start</v>
      </c>
      <c r="P191" s="53"/>
      <c r="Q191" s="54"/>
      <c r="R191" s="55"/>
      <c r="S191" s="55"/>
    </row>
    <row r="192" spans="1:19" s="10" customFormat="1" hidden="1" outlineLevel="2" x14ac:dyDescent="0.2">
      <c r="A192" s="11"/>
      <c r="B192" s="49" t="s">
        <v>78</v>
      </c>
      <c r="C192" s="49" t="s">
        <v>57</v>
      </c>
      <c r="D192" s="49">
        <v>0</v>
      </c>
      <c r="E192" s="49">
        <v>0</v>
      </c>
      <c r="F192" s="49">
        <f>E192-D192</f>
        <v>0</v>
      </c>
      <c r="G192" s="50">
        <f>IF(D192=0,0,ABS(F192/D192))</f>
        <v>0</v>
      </c>
      <c r="H192" s="49">
        <v>0</v>
      </c>
      <c r="I192" s="49">
        <v>0</v>
      </c>
      <c r="J192" s="51" t="str">
        <f>IF(H192=0,"No plan at start",I192/H192)</f>
        <v>No plan at start</v>
      </c>
      <c r="K192" s="52">
        <f>H192-I192</f>
        <v>0</v>
      </c>
      <c r="L192" s="49">
        <v>0</v>
      </c>
      <c r="M192" s="49">
        <f>I192+L192</f>
        <v>0</v>
      </c>
      <c r="N192" s="49">
        <f>M192-H192</f>
        <v>0</v>
      </c>
      <c r="O192" s="50" t="str">
        <f>IF(H192=0,"No plan at start",M192/H192)</f>
        <v>No plan at start</v>
      </c>
      <c r="P192" s="53"/>
      <c r="Q192" s="54"/>
      <c r="R192" s="55"/>
      <c r="S192" s="55"/>
    </row>
    <row r="193" spans="1:19" s="10" customFormat="1" hidden="1" outlineLevel="2" x14ac:dyDescent="0.2">
      <c r="A193" s="11"/>
      <c r="B193" s="49" t="s">
        <v>78</v>
      </c>
      <c r="C193" s="49" t="s">
        <v>58</v>
      </c>
      <c r="D193" s="49">
        <v>0</v>
      </c>
      <c r="E193" s="49">
        <v>0</v>
      </c>
      <c r="F193" s="49">
        <f>E193-D193</f>
        <v>0</v>
      </c>
      <c r="G193" s="50">
        <f>IF(D193=0,0,ABS(F193/D193))</f>
        <v>0</v>
      </c>
      <c r="H193" s="49">
        <v>907.19999999999982</v>
      </c>
      <c r="I193" s="49">
        <v>1810</v>
      </c>
      <c r="J193" s="51">
        <f>IF(H193=0,"No plan at start",I193/H193)</f>
        <v>1.995149911816579</v>
      </c>
      <c r="K193" s="52">
        <f>H193-I193</f>
        <v>-902.80000000000018</v>
      </c>
      <c r="L193" s="49">
        <v>0</v>
      </c>
      <c r="M193" s="49">
        <f>I193+L193</f>
        <v>1810</v>
      </c>
      <c r="N193" s="49">
        <f>M193-H193</f>
        <v>902.80000000000018</v>
      </c>
      <c r="O193" s="50">
        <f>IF(H193=0,"No plan at start",M193/H193)</f>
        <v>1.995149911816579</v>
      </c>
      <c r="P193" s="53"/>
      <c r="Q193" s="54"/>
      <c r="R193" s="55"/>
      <c r="S193" s="55"/>
    </row>
    <row r="194" spans="1:19" s="10" customFormat="1" hidden="1" outlineLevel="2" x14ac:dyDescent="0.2">
      <c r="A194" s="11"/>
      <c r="B194" s="49" t="s">
        <v>78</v>
      </c>
      <c r="C194" s="49" t="s">
        <v>59</v>
      </c>
      <c r="D194" s="49">
        <v>0</v>
      </c>
      <c r="E194" s="49">
        <v>0</v>
      </c>
      <c r="F194" s="49">
        <f>E194-D194</f>
        <v>0</v>
      </c>
      <c r="G194" s="50">
        <f>IF(D194=0,0,ABS(F194/D194))</f>
        <v>0</v>
      </c>
      <c r="H194" s="49">
        <v>0</v>
      </c>
      <c r="I194" s="49">
        <v>0</v>
      </c>
      <c r="J194" s="51" t="str">
        <f>IF(H194=0,"No plan at start",I194/H194)</f>
        <v>No plan at start</v>
      </c>
      <c r="K194" s="52">
        <f>H194-I194</f>
        <v>0</v>
      </c>
      <c r="L194" s="49">
        <v>0</v>
      </c>
      <c r="M194" s="49">
        <f>I194+L194</f>
        <v>0</v>
      </c>
      <c r="N194" s="49">
        <f>M194-H194</f>
        <v>0</v>
      </c>
      <c r="O194" s="50" t="str">
        <f>IF(H194=0,"No plan at start",M194/H194)</f>
        <v>No plan at start</v>
      </c>
      <c r="P194" s="53"/>
      <c r="Q194" s="54"/>
      <c r="R194" s="55"/>
      <c r="S194" s="55"/>
    </row>
    <row r="195" spans="1:19" s="10" customFormat="1" outlineLevel="1" collapsed="1" x14ac:dyDescent="0.2">
      <c r="A195" s="11"/>
      <c r="B195" s="56" t="s">
        <v>117</v>
      </c>
      <c r="C195" s="49"/>
      <c r="D195" s="49">
        <f>SUBTOTAL(9,D187:D194)</f>
        <v>0</v>
      </c>
      <c r="E195" s="49">
        <f>SUBTOTAL(9,E187:E194)</f>
        <v>0</v>
      </c>
      <c r="F195" s="49">
        <f>SUBTOTAL(9,F187:F194)</f>
        <v>0</v>
      </c>
      <c r="G195" s="50">
        <f>IF(D195=0,0,ABS(F195/D195))</f>
        <v>0</v>
      </c>
      <c r="H195" s="49">
        <f>SUBTOTAL(9,H187:H194)</f>
        <v>1075.1999999999998</v>
      </c>
      <c r="I195" s="49">
        <f>SUBTOTAL(9,I187:I194)</f>
        <v>1968.5</v>
      </c>
      <c r="J195" s="51">
        <f>IF(H195=0,"No plan at start",I195/H195)</f>
        <v>1.8308221726190479</v>
      </c>
      <c r="K195" s="52">
        <f>SUBTOTAL(9,K187:K194)</f>
        <v>-893.30000000000018</v>
      </c>
      <c r="L195" s="49">
        <f>SUBTOTAL(9,L187:L194)</f>
        <v>0</v>
      </c>
      <c r="M195" s="49">
        <f>SUBTOTAL(9,M187:M194)</f>
        <v>1968.5</v>
      </c>
      <c r="N195" s="49">
        <f>SUBTOTAL(9,N187:N194)</f>
        <v>893.30000000000018</v>
      </c>
      <c r="O195" s="50">
        <f>IF(H195=0,"No plan at start",M195/H195)</f>
        <v>1.8308221726190479</v>
      </c>
      <c r="P195" s="53"/>
      <c r="Q195" s="54"/>
      <c r="R195" s="55"/>
      <c r="S195" s="55"/>
    </row>
    <row r="196" spans="1:19" s="10" customFormat="1" hidden="1" outlineLevel="2" x14ac:dyDescent="0.2">
      <c r="A196" s="11"/>
      <c r="B196" s="49" t="s">
        <v>79</v>
      </c>
      <c r="C196" s="49" t="s">
        <v>52</v>
      </c>
      <c r="D196" s="49">
        <v>0</v>
      </c>
      <c r="E196" s="49">
        <v>0</v>
      </c>
      <c r="F196" s="49">
        <f>E196-D196</f>
        <v>0</v>
      </c>
      <c r="G196" s="50">
        <f>IF(D196=0,0,ABS(F196/D196))</f>
        <v>0</v>
      </c>
      <c r="H196" s="49">
        <v>46.22</v>
      </c>
      <c r="I196" s="49">
        <v>21</v>
      </c>
      <c r="J196" s="51">
        <f>IF(H196=0,"No plan at start",I196/H196)</f>
        <v>0.45434876676763308</v>
      </c>
      <c r="K196" s="52">
        <f>H196-I196</f>
        <v>25.22</v>
      </c>
      <c r="L196" s="49">
        <v>0</v>
      </c>
      <c r="M196" s="49">
        <f>I196+L196</f>
        <v>21</v>
      </c>
      <c r="N196" s="49">
        <f>M196-H196</f>
        <v>-25.22</v>
      </c>
      <c r="O196" s="50">
        <f>IF(H196=0,"No plan at start",M196/H196)</f>
        <v>0.45434876676763308</v>
      </c>
      <c r="P196" s="53"/>
      <c r="Q196" s="54"/>
      <c r="R196" s="55"/>
      <c r="S196" s="55"/>
    </row>
    <row r="197" spans="1:19" s="10" customFormat="1" hidden="1" outlineLevel="2" x14ac:dyDescent="0.2">
      <c r="A197" s="11"/>
      <c r="B197" s="49" t="s">
        <v>79</v>
      </c>
      <c r="C197" s="49" t="s">
        <v>53</v>
      </c>
      <c r="D197" s="49">
        <v>0</v>
      </c>
      <c r="E197" s="49">
        <v>0</v>
      </c>
      <c r="F197" s="49">
        <f>E197-D197</f>
        <v>0</v>
      </c>
      <c r="G197" s="50">
        <f>IF(D197=0,0,ABS(F197/D197))</f>
        <v>0</v>
      </c>
      <c r="H197" s="49">
        <v>0</v>
      </c>
      <c r="I197" s="49">
        <v>0</v>
      </c>
      <c r="J197" s="51" t="str">
        <f>IF(H197=0,"No plan at start",I197/H197)</f>
        <v>No plan at start</v>
      </c>
      <c r="K197" s="52">
        <f>H197-I197</f>
        <v>0</v>
      </c>
      <c r="L197" s="49">
        <v>0</v>
      </c>
      <c r="M197" s="49">
        <f>I197+L197</f>
        <v>0</v>
      </c>
      <c r="N197" s="49">
        <f>M197-H197</f>
        <v>0</v>
      </c>
      <c r="O197" s="50" t="str">
        <f>IF(H197=0,"No plan at start",M197/H197)</f>
        <v>No plan at start</v>
      </c>
      <c r="P197" s="53"/>
      <c r="Q197" s="54"/>
      <c r="R197" s="55"/>
      <c r="S197" s="55"/>
    </row>
    <row r="198" spans="1:19" s="10" customFormat="1" hidden="1" outlineLevel="2" x14ac:dyDescent="0.2">
      <c r="A198" s="11"/>
      <c r="B198" s="49" t="s">
        <v>79</v>
      </c>
      <c r="C198" s="49" t="s">
        <v>54</v>
      </c>
      <c r="D198" s="49">
        <v>0</v>
      </c>
      <c r="E198" s="49">
        <v>0</v>
      </c>
      <c r="F198" s="49">
        <f>E198-D198</f>
        <v>0</v>
      </c>
      <c r="G198" s="50">
        <f>IF(D198=0,0,ABS(F198/D198))</f>
        <v>0</v>
      </c>
      <c r="H198" s="49">
        <v>0</v>
      </c>
      <c r="I198" s="49">
        <v>0</v>
      </c>
      <c r="J198" s="51" t="str">
        <f>IF(H198=0,"No plan at start",I198/H198)</f>
        <v>No plan at start</v>
      </c>
      <c r="K198" s="52">
        <f>H198-I198</f>
        <v>0</v>
      </c>
      <c r="L198" s="49">
        <v>0</v>
      </c>
      <c r="M198" s="49">
        <f>I198+L198</f>
        <v>0</v>
      </c>
      <c r="N198" s="49">
        <f>M198-H198</f>
        <v>0</v>
      </c>
      <c r="O198" s="50" t="str">
        <f>IF(H198=0,"No plan at start",M198/H198)</f>
        <v>No plan at start</v>
      </c>
      <c r="P198" s="53"/>
      <c r="Q198" s="54"/>
      <c r="R198" s="55"/>
      <c r="S198" s="55"/>
    </row>
    <row r="199" spans="1:19" s="10" customFormat="1" hidden="1" outlineLevel="2" x14ac:dyDescent="0.2">
      <c r="A199" s="11"/>
      <c r="B199" s="49" t="s">
        <v>79</v>
      </c>
      <c r="C199" s="49" t="s">
        <v>55</v>
      </c>
      <c r="D199" s="49">
        <v>0</v>
      </c>
      <c r="E199" s="49">
        <v>0</v>
      </c>
      <c r="F199" s="49">
        <f>E199-D199</f>
        <v>0</v>
      </c>
      <c r="G199" s="50">
        <f>IF(D199=0,0,ABS(F199/D199))</f>
        <v>0</v>
      </c>
      <c r="H199" s="49">
        <v>0</v>
      </c>
      <c r="I199" s="49">
        <v>0</v>
      </c>
      <c r="J199" s="51" t="str">
        <f>IF(H199=0,"No plan at start",I199/H199)</f>
        <v>No plan at start</v>
      </c>
      <c r="K199" s="52">
        <f>H199-I199</f>
        <v>0</v>
      </c>
      <c r="L199" s="49">
        <v>0</v>
      </c>
      <c r="M199" s="49">
        <f>I199+L199</f>
        <v>0</v>
      </c>
      <c r="N199" s="49">
        <f>M199-H199</f>
        <v>0</v>
      </c>
      <c r="O199" s="50" t="str">
        <f>IF(H199=0,"No plan at start",M199/H199)</f>
        <v>No plan at start</v>
      </c>
      <c r="P199" s="53"/>
      <c r="Q199" s="54"/>
      <c r="R199" s="55"/>
      <c r="S199" s="55"/>
    </row>
    <row r="200" spans="1:19" s="10" customFormat="1" hidden="1" outlineLevel="2" x14ac:dyDescent="0.2">
      <c r="A200" s="11"/>
      <c r="B200" s="49" t="s">
        <v>79</v>
      </c>
      <c r="C200" s="49" t="s">
        <v>56</v>
      </c>
      <c r="D200" s="49">
        <v>0</v>
      </c>
      <c r="E200" s="49">
        <v>0</v>
      </c>
      <c r="F200" s="49">
        <f>E200-D200</f>
        <v>0</v>
      </c>
      <c r="G200" s="50">
        <f>IF(D200=0,0,ABS(F200/D200))</f>
        <v>0</v>
      </c>
      <c r="H200" s="49">
        <v>0</v>
      </c>
      <c r="I200" s="49">
        <v>0</v>
      </c>
      <c r="J200" s="51" t="str">
        <f>IF(H200=0,"No plan at start",I200/H200)</f>
        <v>No plan at start</v>
      </c>
      <c r="K200" s="52">
        <f>H200-I200</f>
        <v>0</v>
      </c>
      <c r="L200" s="49">
        <v>0</v>
      </c>
      <c r="M200" s="49">
        <f>I200+L200</f>
        <v>0</v>
      </c>
      <c r="N200" s="49">
        <f>M200-H200</f>
        <v>0</v>
      </c>
      <c r="O200" s="50" t="str">
        <f>IF(H200=0,"No plan at start",M200/H200)</f>
        <v>No plan at start</v>
      </c>
      <c r="P200" s="53"/>
      <c r="Q200" s="54"/>
      <c r="R200" s="55"/>
      <c r="S200" s="55"/>
    </row>
    <row r="201" spans="1:19" s="10" customFormat="1" hidden="1" outlineLevel="2" x14ac:dyDescent="0.2">
      <c r="A201" s="11"/>
      <c r="B201" s="49" t="s">
        <v>79</v>
      </c>
      <c r="C201" s="49" t="s">
        <v>57</v>
      </c>
      <c r="D201" s="49">
        <v>0</v>
      </c>
      <c r="E201" s="49">
        <v>0</v>
      </c>
      <c r="F201" s="49">
        <f>E201-D201</f>
        <v>0</v>
      </c>
      <c r="G201" s="50">
        <f>IF(D201=0,0,ABS(F201/D201))</f>
        <v>0</v>
      </c>
      <c r="H201" s="49">
        <v>0</v>
      </c>
      <c r="I201" s="49">
        <v>0</v>
      </c>
      <c r="J201" s="51" t="str">
        <f>IF(H201=0,"No plan at start",I201/H201)</f>
        <v>No plan at start</v>
      </c>
      <c r="K201" s="52">
        <f>H201-I201</f>
        <v>0</v>
      </c>
      <c r="L201" s="49">
        <v>0</v>
      </c>
      <c r="M201" s="49">
        <f>I201+L201</f>
        <v>0</v>
      </c>
      <c r="N201" s="49">
        <f>M201-H201</f>
        <v>0</v>
      </c>
      <c r="O201" s="50" t="str">
        <f>IF(H201=0,"No plan at start",M201/H201)</f>
        <v>No plan at start</v>
      </c>
      <c r="P201" s="53"/>
      <c r="Q201" s="54"/>
      <c r="R201" s="55"/>
      <c r="S201" s="55"/>
    </row>
    <row r="202" spans="1:19" s="10" customFormat="1" hidden="1" outlineLevel="2" x14ac:dyDescent="0.2">
      <c r="A202" s="11"/>
      <c r="B202" s="49" t="s">
        <v>79</v>
      </c>
      <c r="C202" s="49" t="s">
        <v>58</v>
      </c>
      <c r="D202" s="49">
        <v>0</v>
      </c>
      <c r="E202" s="49">
        <v>0</v>
      </c>
      <c r="F202" s="49">
        <f>E202-D202</f>
        <v>0</v>
      </c>
      <c r="G202" s="50">
        <f>IF(D202=0,0,ABS(F202/D202))</f>
        <v>0</v>
      </c>
      <c r="H202" s="49">
        <v>0</v>
      </c>
      <c r="I202" s="49">
        <v>0</v>
      </c>
      <c r="J202" s="51" t="str">
        <f>IF(H202=0,"No plan at start",I202/H202)</f>
        <v>No plan at start</v>
      </c>
      <c r="K202" s="52">
        <f>H202-I202</f>
        <v>0</v>
      </c>
      <c r="L202" s="49">
        <v>0</v>
      </c>
      <c r="M202" s="49">
        <f>I202+L202</f>
        <v>0</v>
      </c>
      <c r="N202" s="49">
        <f>M202-H202</f>
        <v>0</v>
      </c>
      <c r="O202" s="50" t="str">
        <f>IF(H202=0,"No plan at start",M202/H202)</f>
        <v>No plan at start</v>
      </c>
      <c r="P202" s="53"/>
      <c r="Q202" s="54"/>
      <c r="R202" s="55"/>
      <c r="S202" s="55"/>
    </row>
    <row r="203" spans="1:19" s="10" customFormat="1" hidden="1" outlineLevel="2" x14ac:dyDescent="0.2">
      <c r="A203" s="11"/>
      <c r="B203" s="49" t="s">
        <v>79</v>
      </c>
      <c r="C203" s="49" t="s">
        <v>59</v>
      </c>
      <c r="D203" s="49">
        <v>0</v>
      </c>
      <c r="E203" s="49">
        <v>0</v>
      </c>
      <c r="F203" s="49">
        <f>E203-D203</f>
        <v>0</v>
      </c>
      <c r="G203" s="50">
        <f>IF(D203=0,0,ABS(F203/D203))</f>
        <v>0</v>
      </c>
      <c r="H203" s="49">
        <v>0</v>
      </c>
      <c r="I203" s="49">
        <v>0</v>
      </c>
      <c r="J203" s="51" t="str">
        <f>IF(H203=0,"No plan at start",I203/H203)</f>
        <v>No plan at start</v>
      </c>
      <c r="K203" s="52">
        <f>H203-I203</f>
        <v>0</v>
      </c>
      <c r="L203" s="49">
        <v>0</v>
      </c>
      <c r="M203" s="49">
        <f>I203+L203</f>
        <v>0</v>
      </c>
      <c r="N203" s="49">
        <f>M203-H203</f>
        <v>0</v>
      </c>
      <c r="O203" s="50" t="str">
        <f>IF(H203=0,"No plan at start",M203/H203)</f>
        <v>No plan at start</v>
      </c>
      <c r="P203" s="53"/>
      <c r="Q203" s="54"/>
      <c r="R203" s="55"/>
      <c r="S203" s="55"/>
    </row>
    <row r="204" spans="1:19" s="10" customFormat="1" outlineLevel="1" collapsed="1" x14ac:dyDescent="0.2">
      <c r="A204" s="11"/>
      <c r="B204" s="56" t="s">
        <v>118</v>
      </c>
      <c r="C204" s="49"/>
      <c r="D204" s="49">
        <f>SUBTOTAL(9,D196:D203)</f>
        <v>0</v>
      </c>
      <c r="E204" s="49">
        <f>SUBTOTAL(9,E196:E203)</f>
        <v>0</v>
      </c>
      <c r="F204" s="49">
        <f>SUBTOTAL(9,F196:F203)</f>
        <v>0</v>
      </c>
      <c r="G204" s="50">
        <f>IF(D204=0,0,ABS(F204/D204))</f>
        <v>0</v>
      </c>
      <c r="H204" s="49">
        <f>SUBTOTAL(9,H196:H203)</f>
        <v>46.22</v>
      </c>
      <c r="I204" s="49">
        <f>SUBTOTAL(9,I196:I203)</f>
        <v>21</v>
      </c>
      <c r="J204" s="51">
        <f>IF(H204=0,"No plan at start",I204/H204)</f>
        <v>0.45434876676763308</v>
      </c>
      <c r="K204" s="52">
        <f>SUBTOTAL(9,K196:K203)</f>
        <v>25.22</v>
      </c>
      <c r="L204" s="49">
        <f>SUBTOTAL(9,L196:L203)</f>
        <v>0</v>
      </c>
      <c r="M204" s="49">
        <f>SUBTOTAL(9,M196:M203)</f>
        <v>21</v>
      </c>
      <c r="N204" s="49">
        <f>SUBTOTAL(9,N196:N203)</f>
        <v>-25.22</v>
      </c>
      <c r="O204" s="50">
        <f>IF(H204=0,"No plan at start",M204/H204)</f>
        <v>0.45434876676763308</v>
      </c>
      <c r="P204" s="53"/>
      <c r="Q204" s="54"/>
      <c r="R204" s="55"/>
      <c r="S204" s="55"/>
    </row>
    <row r="205" spans="1:19" s="10" customFormat="1" hidden="1" outlineLevel="2" x14ac:dyDescent="0.2">
      <c r="A205" s="11"/>
      <c r="B205" s="49" t="s">
        <v>80</v>
      </c>
      <c r="C205" s="49" t="s">
        <v>52</v>
      </c>
      <c r="D205" s="49">
        <v>20</v>
      </c>
      <c r="E205" s="49">
        <v>38.5</v>
      </c>
      <c r="F205" s="49">
        <f>E205-D205</f>
        <v>18.5</v>
      </c>
      <c r="G205" s="50">
        <f>IF(D205=0,0,ABS(F205/D205))</f>
        <v>0.92500000000000004</v>
      </c>
      <c r="H205" s="49">
        <v>764</v>
      </c>
      <c r="I205" s="49">
        <v>1348.5</v>
      </c>
      <c r="J205" s="51">
        <f>IF(H205=0,"No plan at start",I205/H205)</f>
        <v>1.7650523560209423</v>
      </c>
      <c r="K205" s="52">
        <f>H205-I205</f>
        <v>-584.5</v>
      </c>
      <c r="L205" s="49">
        <v>40</v>
      </c>
      <c r="M205" s="49">
        <f>I205+L205</f>
        <v>1388.5</v>
      </c>
      <c r="N205" s="49">
        <f>M205-H205</f>
        <v>624.5</v>
      </c>
      <c r="O205" s="50">
        <f>IF(H205=0,"No plan at start",M205/H205)</f>
        <v>1.8174083769633509</v>
      </c>
      <c r="P205" s="53"/>
      <c r="Q205" s="54"/>
      <c r="R205" s="55"/>
      <c r="S205" s="55"/>
    </row>
    <row r="206" spans="1:19" s="10" customFormat="1" hidden="1" outlineLevel="2" x14ac:dyDescent="0.2">
      <c r="A206" s="11"/>
      <c r="B206" s="49" t="s">
        <v>80</v>
      </c>
      <c r="C206" s="49" t="s">
        <v>53</v>
      </c>
      <c r="D206" s="49">
        <v>0</v>
      </c>
      <c r="E206" s="49">
        <v>0</v>
      </c>
      <c r="F206" s="49">
        <f>E206-D206</f>
        <v>0</v>
      </c>
      <c r="G206" s="50">
        <f>IF(D206=0,0,ABS(F206/D206))</f>
        <v>0</v>
      </c>
      <c r="H206" s="49">
        <v>0</v>
      </c>
      <c r="I206" s="49">
        <v>0</v>
      </c>
      <c r="J206" s="51" t="str">
        <f>IF(H206=0,"No plan at start",I206/H206)</f>
        <v>No plan at start</v>
      </c>
      <c r="K206" s="52">
        <f>H206-I206</f>
        <v>0</v>
      </c>
      <c r="L206" s="49">
        <v>0</v>
      </c>
      <c r="M206" s="49">
        <f>I206+L206</f>
        <v>0</v>
      </c>
      <c r="N206" s="49">
        <f>M206-H206</f>
        <v>0</v>
      </c>
      <c r="O206" s="50" t="str">
        <f>IF(H206=0,"No plan at start",M206/H206)</f>
        <v>No plan at start</v>
      </c>
      <c r="P206" s="53"/>
      <c r="Q206" s="54"/>
      <c r="R206" s="55"/>
      <c r="S206" s="55"/>
    </row>
    <row r="207" spans="1:19" s="10" customFormat="1" hidden="1" outlineLevel="2" x14ac:dyDescent="0.2">
      <c r="A207" s="11"/>
      <c r="B207" s="49" t="s">
        <v>80</v>
      </c>
      <c r="C207" s="49" t="s">
        <v>54</v>
      </c>
      <c r="D207" s="49">
        <v>0</v>
      </c>
      <c r="E207" s="49">
        <v>0</v>
      </c>
      <c r="F207" s="49">
        <f>E207-D207</f>
        <v>0</v>
      </c>
      <c r="G207" s="50">
        <f>IF(D207=0,0,ABS(F207/D207))</f>
        <v>0</v>
      </c>
      <c r="H207" s="49">
        <v>0</v>
      </c>
      <c r="I207" s="49">
        <v>0</v>
      </c>
      <c r="J207" s="51" t="str">
        <f>IF(H207=0,"No plan at start",I207/H207)</f>
        <v>No plan at start</v>
      </c>
      <c r="K207" s="52">
        <f>H207-I207</f>
        <v>0</v>
      </c>
      <c r="L207" s="49">
        <v>0</v>
      </c>
      <c r="M207" s="49">
        <f>I207+L207</f>
        <v>0</v>
      </c>
      <c r="N207" s="49">
        <f>M207-H207</f>
        <v>0</v>
      </c>
      <c r="O207" s="50" t="str">
        <f>IF(H207=0,"No plan at start",M207/H207)</f>
        <v>No plan at start</v>
      </c>
      <c r="P207" s="53"/>
      <c r="Q207" s="54"/>
      <c r="R207" s="55"/>
      <c r="S207" s="55"/>
    </row>
    <row r="208" spans="1:19" s="10" customFormat="1" hidden="1" outlineLevel="2" x14ac:dyDescent="0.2">
      <c r="A208" s="11"/>
      <c r="B208" s="49" t="s">
        <v>80</v>
      </c>
      <c r="C208" s="49" t="s">
        <v>55</v>
      </c>
      <c r="D208" s="49">
        <v>0</v>
      </c>
      <c r="E208" s="49">
        <v>0</v>
      </c>
      <c r="F208" s="49">
        <f>E208-D208</f>
        <v>0</v>
      </c>
      <c r="G208" s="50">
        <f>IF(D208=0,0,ABS(F208/D208))</f>
        <v>0</v>
      </c>
      <c r="H208" s="49">
        <v>0</v>
      </c>
      <c r="I208" s="49">
        <v>0</v>
      </c>
      <c r="J208" s="51" t="str">
        <f>IF(H208=0,"No plan at start",I208/H208)</f>
        <v>No plan at start</v>
      </c>
      <c r="K208" s="52">
        <f>H208-I208</f>
        <v>0</v>
      </c>
      <c r="L208" s="49">
        <v>0</v>
      </c>
      <c r="M208" s="49">
        <f>I208+L208</f>
        <v>0</v>
      </c>
      <c r="N208" s="49">
        <f>M208-H208</f>
        <v>0</v>
      </c>
      <c r="O208" s="50" t="str">
        <f>IF(H208=0,"No plan at start",M208/H208)</f>
        <v>No plan at start</v>
      </c>
      <c r="P208" s="53"/>
      <c r="Q208" s="54"/>
      <c r="R208" s="55"/>
      <c r="S208" s="55"/>
    </row>
    <row r="209" spans="1:19" s="10" customFormat="1" hidden="1" outlineLevel="2" x14ac:dyDescent="0.2">
      <c r="A209" s="11"/>
      <c r="B209" s="49" t="s">
        <v>80</v>
      </c>
      <c r="C209" s="49" t="s">
        <v>56</v>
      </c>
      <c r="D209" s="49">
        <v>0</v>
      </c>
      <c r="E209" s="49">
        <v>0</v>
      </c>
      <c r="F209" s="49">
        <f>E209-D209</f>
        <v>0</v>
      </c>
      <c r="G209" s="50">
        <f>IF(D209=0,0,ABS(F209/D209))</f>
        <v>0</v>
      </c>
      <c r="H209" s="49">
        <v>0</v>
      </c>
      <c r="I209" s="49">
        <v>0</v>
      </c>
      <c r="J209" s="51" t="str">
        <f>IF(H209=0,"No plan at start",I209/H209)</f>
        <v>No plan at start</v>
      </c>
      <c r="K209" s="52">
        <f>H209-I209</f>
        <v>0</v>
      </c>
      <c r="L209" s="49">
        <v>0</v>
      </c>
      <c r="M209" s="49">
        <f>I209+L209</f>
        <v>0</v>
      </c>
      <c r="N209" s="49">
        <f>M209-H209</f>
        <v>0</v>
      </c>
      <c r="O209" s="50" t="str">
        <f>IF(H209=0,"No plan at start",M209/H209)</f>
        <v>No plan at start</v>
      </c>
      <c r="P209" s="53"/>
      <c r="Q209" s="54"/>
      <c r="R209" s="55"/>
      <c r="S209" s="55"/>
    </row>
    <row r="210" spans="1:19" s="10" customFormat="1" hidden="1" outlineLevel="2" x14ac:dyDescent="0.2">
      <c r="A210" s="11"/>
      <c r="B210" s="49" t="s">
        <v>80</v>
      </c>
      <c r="C210" s="49" t="s">
        <v>57</v>
      </c>
      <c r="D210" s="49">
        <v>0</v>
      </c>
      <c r="E210" s="49">
        <v>0</v>
      </c>
      <c r="F210" s="49">
        <f>E210-D210</f>
        <v>0</v>
      </c>
      <c r="G210" s="50">
        <f>IF(D210=0,0,ABS(F210/D210))</f>
        <v>0</v>
      </c>
      <c r="H210" s="49">
        <v>0</v>
      </c>
      <c r="I210" s="49">
        <v>0</v>
      </c>
      <c r="J210" s="51" t="str">
        <f>IF(H210=0,"No plan at start",I210/H210)</f>
        <v>No plan at start</v>
      </c>
      <c r="K210" s="52">
        <f>H210-I210</f>
        <v>0</v>
      </c>
      <c r="L210" s="49">
        <v>0</v>
      </c>
      <c r="M210" s="49">
        <f>I210+L210</f>
        <v>0</v>
      </c>
      <c r="N210" s="49">
        <f>M210-H210</f>
        <v>0</v>
      </c>
      <c r="O210" s="50" t="str">
        <f>IF(H210=0,"No plan at start",M210/H210)</f>
        <v>No plan at start</v>
      </c>
      <c r="P210" s="53"/>
      <c r="Q210" s="54"/>
      <c r="R210" s="55"/>
      <c r="S210" s="55"/>
    </row>
    <row r="211" spans="1:19" s="10" customFormat="1" hidden="1" outlineLevel="2" x14ac:dyDescent="0.2">
      <c r="A211" s="11"/>
      <c r="B211" s="49" t="s">
        <v>80</v>
      </c>
      <c r="C211" s="49" t="s">
        <v>58</v>
      </c>
      <c r="D211" s="49">
        <v>0</v>
      </c>
      <c r="E211" s="49">
        <v>0</v>
      </c>
      <c r="F211" s="49">
        <f>E211-D211</f>
        <v>0</v>
      </c>
      <c r="G211" s="50">
        <f>IF(D211=0,0,ABS(F211/D211))</f>
        <v>0</v>
      </c>
      <c r="H211" s="49">
        <v>0</v>
      </c>
      <c r="I211" s="49">
        <v>0</v>
      </c>
      <c r="J211" s="51" t="str">
        <f>IF(H211=0,"No plan at start",I211/H211)</f>
        <v>No plan at start</v>
      </c>
      <c r="K211" s="52">
        <f>H211-I211</f>
        <v>0</v>
      </c>
      <c r="L211" s="49">
        <v>0</v>
      </c>
      <c r="M211" s="49">
        <f>I211+L211</f>
        <v>0</v>
      </c>
      <c r="N211" s="49">
        <f>M211-H211</f>
        <v>0</v>
      </c>
      <c r="O211" s="50" t="str">
        <f>IF(H211=0,"No plan at start",M211/H211)</f>
        <v>No plan at start</v>
      </c>
      <c r="P211" s="53"/>
      <c r="Q211" s="54"/>
      <c r="R211" s="55"/>
      <c r="S211" s="55"/>
    </row>
    <row r="212" spans="1:19" s="10" customFormat="1" hidden="1" outlineLevel="2" x14ac:dyDescent="0.2">
      <c r="A212" s="11"/>
      <c r="B212" s="49" t="s">
        <v>80</v>
      </c>
      <c r="C212" s="49" t="s">
        <v>59</v>
      </c>
      <c r="D212" s="49">
        <v>0</v>
      </c>
      <c r="E212" s="49">
        <v>0</v>
      </c>
      <c r="F212" s="49">
        <f>E212-D212</f>
        <v>0</v>
      </c>
      <c r="G212" s="50">
        <f>IF(D212=0,0,ABS(F212/D212))</f>
        <v>0</v>
      </c>
      <c r="H212" s="49">
        <v>0</v>
      </c>
      <c r="I212" s="49">
        <v>0</v>
      </c>
      <c r="J212" s="51" t="str">
        <f>IF(H212=0,"No plan at start",I212/H212)</f>
        <v>No plan at start</v>
      </c>
      <c r="K212" s="52">
        <f>H212-I212</f>
        <v>0</v>
      </c>
      <c r="L212" s="49">
        <v>0</v>
      </c>
      <c r="M212" s="49">
        <f>I212+L212</f>
        <v>0</v>
      </c>
      <c r="N212" s="49">
        <f>M212-H212</f>
        <v>0</v>
      </c>
      <c r="O212" s="50" t="str">
        <f>IF(H212=0,"No plan at start",M212/H212)</f>
        <v>No plan at start</v>
      </c>
      <c r="P212" s="53"/>
      <c r="Q212" s="54"/>
      <c r="R212" s="55"/>
      <c r="S212" s="55"/>
    </row>
    <row r="213" spans="1:19" s="10" customFormat="1" outlineLevel="1" collapsed="1" x14ac:dyDescent="0.2">
      <c r="A213" s="11"/>
      <c r="B213" s="56" t="s">
        <v>119</v>
      </c>
      <c r="C213" s="49"/>
      <c r="D213" s="49">
        <f>SUBTOTAL(9,D205:D212)</f>
        <v>20</v>
      </c>
      <c r="E213" s="49">
        <f>SUBTOTAL(9,E205:E212)</f>
        <v>38.5</v>
      </c>
      <c r="F213" s="49">
        <f>SUBTOTAL(9,F205:F212)</f>
        <v>18.5</v>
      </c>
      <c r="G213" s="50">
        <f>IF(D213=0,0,ABS(F213/D213))</f>
        <v>0.92500000000000004</v>
      </c>
      <c r="H213" s="49">
        <f>SUBTOTAL(9,H205:H212)</f>
        <v>764</v>
      </c>
      <c r="I213" s="49">
        <f>SUBTOTAL(9,I205:I212)</f>
        <v>1348.5</v>
      </c>
      <c r="J213" s="51">
        <f>IF(H213=0,"No plan at start",I213/H213)</f>
        <v>1.7650523560209423</v>
      </c>
      <c r="K213" s="52">
        <f>SUBTOTAL(9,K205:K212)</f>
        <v>-584.5</v>
      </c>
      <c r="L213" s="49">
        <f>SUBTOTAL(9,L205:L212)</f>
        <v>40</v>
      </c>
      <c r="M213" s="49">
        <f>SUBTOTAL(9,M205:M212)</f>
        <v>1388.5</v>
      </c>
      <c r="N213" s="49">
        <f>SUBTOTAL(9,N205:N212)</f>
        <v>624.5</v>
      </c>
      <c r="O213" s="50">
        <f>IF(H213=0,"No plan at start",M213/H213)</f>
        <v>1.8174083769633509</v>
      </c>
      <c r="P213" s="53"/>
      <c r="Q213" s="54"/>
      <c r="R213" s="55"/>
      <c r="S213" s="55"/>
    </row>
    <row r="214" spans="1:19" s="10" customFormat="1" hidden="1" outlineLevel="2" x14ac:dyDescent="0.2">
      <c r="A214" s="11"/>
      <c r="B214" s="49" t="s">
        <v>81</v>
      </c>
      <c r="C214" s="49" t="s">
        <v>52</v>
      </c>
      <c r="D214" s="49">
        <v>0</v>
      </c>
      <c r="E214" s="49">
        <v>0</v>
      </c>
      <c r="F214" s="49">
        <f>E214-D214</f>
        <v>0</v>
      </c>
      <c r="G214" s="50">
        <f>IF(D214=0,0,ABS(F214/D214))</f>
        <v>0</v>
      </c>
      <c r="H214" s="49">
        <v>0</v>
      </c>
      <c r="I214" s="49">
        <v>0</v>
      </c>
      <c r="J214" s="51" t="str">
        <f>IF(H214=0,"No plan at start",I214/H214)</f>
        <v>No plan at start</v>
      </c>
      <c r="K214" s="52">
        <f>H214-I214</f>
        <v>0</v>
      </c>
      <c r="L214" s="49">
        <v>0</v>
      </c>
      <c r="M214" s="49">
        <f>I214+L214</f>
        <v>0</v>
      </c>
      <c r="N214" s="49">
        <f>M214-H214</f>
        <v>0</v>
      </c>
      <c r="O214" s="50" t="str">
        <f>IF(H214=0,"No plan at start",M214/H214)</f>
        <v>No plan at start</v>
      </c>
      <c r="P214" s="53"/>
      <c r="Q214" s="54"/>
      <c r="R214" s="55"/>
      <c r="S214" s="55"/>
    </row>
    <row r="215" spans="1:19" s="10" customFormat="1" hidden="1" outlineLevel="2" x14ac:dyDescent="0.2">
      <c r="A215" s="11"/>
      <c r="B215" s="49" t="s">
        <v>81</v>
      </c>
      <c r="C215" s="49" t="s">
        <v>53</v>
      </c>
      <c r="D215" s="49">
        <v>0</v>
      </c>
      <c r="E215" s="49">
        <v>0</v>
      </c>
      <c r="F215" s="49">
        <f>E215-D215</f>
        <v>0</v>
      </c>
      <c r="G215" s="50">
        <f>IF(D215=0,0,ABS(F215/D215))</f>
        <v>0</v>
      </c>
      <c r="H215" s="49">
        <v>0</v>
      </c>
      <c r="I215" s="49">
        <v>0</v>
      </c>
      <c r="J215" s="51" t="str">
        <f>IF(H215=0,"No plan at start",I215/H215)</f>
        <v>No plan at start</v>
      </c>
      <c r="K215" s="52">
        <f>H215-I215</f>
        <v>0</v>
      </c>
      <c r="L215" s="49">
        <v>0</v>
      </c>
      <c r="M215" s="49">
        <f>I215+L215</f>
        <v>0</v>
      </c>
      <c r="N215" s="49">
        <f>M215-H215</f>
        <v>0</v>
      </c>
      <c r="O215" s="50" t="str">
        <f>IF(H215=0,"No plan at start",M215/H215)</f>
        <v>No plan at start</v>
      </c>
      <c r="P215" s="53"/>
      <c r="Q215" s="54"/>
      <c r="R215" s="55"/>
      <c r="S215" s="55"/>
    </row>
    <row r="216" spans="1:19" s="10" customFormat="1" hidden="1" outlineLevel="2" x14ac:dyDescent="0.2">
      <c r="A216" s="11"/>
      <c r="B216" s="49" t="s">
        <v>81</v>
      </c>
      <c r="C216" s="49" t="s">
        <v>54</v>
      </c>
      <c r="D216" s="49">
        <v>0</v>
      </c>
      <c r="E216" s="49">
        <v>0</v>
      </c>
      <c r="F216" s="49">
        <f>E216-D216</f>
        <v>0</v>
      </c>
      <c r="G216" s="50">
        <f>IF(D216=0,0,ABS(F216/D216))</f>
        <v>0</v>
      </c>
      <c r="H216" s="49">
        <v>0</v>
      </c>
      <c r="I216" s="49">
        <v>0</v>
      </c>
      <c r="J216" s="51" t="str">
        <f>IF(H216=0,"No plan at start",I216/H216)</f>
        <v>No plan at start</v>
      </c>
      <c r="K216" s="52">
        <f>H216-I216</f>
        <v>0</v>
      </c>
      <c r="L216" s="49">
        <v>0</v>
      </c>
      <c r="M216" s="49">
        <f>I216+L216</f>
        <v>0</v>
      </c>
      <c r="N216" s="49">
        <f>M216-H216</f>
        <v>0</v>
      </c>
      <c r="O216" s="50" t="str">
        <f>IF(H216=0,"No plan at start",M216/H216)</f>
        <v>No plan at start</v>
      </c>
      <c r="P216" s="53"/>
      <c r="Q216" s="54"/>
      <c r="R216" s="55"/>
      <c r="S216" s="55"/>
    </row>
    <row r="217" spans="1:19" s="10" customFormat="1" hidden="1" outlineLevel="2" x14ac:dyDescent="0.2">
      <c r="A217" s="11"/>
      <c r="B217" s="49" t="s">
        <v>81</v>
      </c>
      <c r="C217" s="49" t="s">
        <v>55</v>
      </c>
      <c r="D217" s="49">
        <v>0</v>
      </c>
      <c r="E217" s="49">
        <v>0</v>
      </c>
      <c r="F217" s="49">
        <f>E217-D217</f>
        <v>0</v>
      </c>
      <c r="G217" s="50">
        <f>IF(D217=0,0,ABS(F217/D217))</f>
        <v>0</v>
      </c>
      <c r="H217" s="49">
        <v>0</v>
      </c>
      <c r="I217" s="49">
        <v>0</v>
      </c>
      <c r="J217" s="51" t="str">
        <f>IF(H217=0,"No plan at start",I217/H217)</f>
        <v>No plan at start</v>
      </c>
      <c r="K217" s="52">
        <f>H217-I217</f>
        <v>0</v>
      </c>
      <c r="L217" s="49">
        <v>0</v>
      </c>
      <c r="M217" s="49">
        <f>I217+L217</f>
        <v>0</v>
      </c>
      <c r="N217" s="49">
        <f>M217-H217</f>
        <v>0</v>
      </c>
      <c r="O217" s="50" t="str">
        <f>IF(H217=0,"No plan at start",M217/H217)</f>
        <v>No plan at start</v>
      </c>
      <c r="P217" s="53"/>
      <c r="Q217" s="54"/>
      <c r="R217" s="55"/>
      <c r="S217" s="55"/>
    </row>
    <row r="218" spans="1:19" s="10" customFormat="1" hidden="1" outlineLevel="2" x14ac:dyDescent="0.2">
      <c r="A218" s="11"/>
      <c r="B218" s="49" t="s">
        <v>81</v>
      </c>
      <c r="C218" s="49" t="s">
        <v>56</v>
      </c>
      <c r="D218" s="49">
        <v>0</v>
      </c>
      <c r="E218" s="49">
        <v>0</v>
      </c>
      <c r="F218" s="49">
        <f>E218-D218</f>
        <v>0</v>
      </c>
      <c r="G218" s="50">
        <f>IF(D218=0,0,ABS(F218/D218))</f>
        <v>0</v>
      </c>
      <c r="H218" s="49">
        <v>0</v>
      </c>
      <c r="I218" s="49">
        <v>0</v>
      </c>
      <c r="J218" s="51" t="str">
        <f>IF(H218=0,"No plan at start",I218/H218)</f>
        <v>No plan at start</v>
      </c>
      <c r="K218" s="52">
        <f>H218-I218</f>
        <v>0</v>
      </c>
      <c r="L218" s="49">
        <v>0</v>
      </c>
      <c r="M218" s="49">
        <f>I218+L218</f>
        <v>0</v>
      </c>
      <c r="N218" s="49">
        <f>M218-H218</f>
        <v>0</v>
      </c>
      <c r="O218" s="50" t="str">
        <f>IF(H218=0,"No plan at start",M218/H218)</f>
        <v>No plan at start</v>
      </c>
      <c r="P218" s="53"/>
      <c r="Q218" s="54"/>
      <c r="R218" s="55"/>
      <c r="S218" s="55"/>
    </row>
    <row r="219" spans="1:19" s="10" customFormat="1" hidden="1" outlineLevel="2" x14ac:dyDescent="0.2">
      <c r="A219" s="11"/>
      <c r="B219" s="49" t="s">
        <v>81</v>
      </c>
      <c r="C219" s="49" t="s">
        <v>57</v>
      </c>
      <c r="D219" s="49">
        <v>0</v>
      </c>
      <c r="E219" s="49">
        <v>0</v>
      </c>
      <c r="F219" s="49">
        <f>E219-D219</f>
        <v>0</v>
      </c>
      <c r="G219" s="50">
        <f>IF(D219=0,0,ABS(F219/D219))</f>
        <v>0</v>
      </c>
      <c r="H219" s="49">
        <v>0</v>
      </c>
      <c r="I219" s="49">
        <v>0</v>
      </c>
      <c r="J219" s="51" t="str">
        <f>IF(H219=0,"No plan at start",I219/H219)</f>
        <v>No plan at start</v>
      </c>
      <c r="K219" s="52">
        <f>H219-I219</f>
        <v>0</v>
      </c>
      <c r="L219" s="49">
        <v>0</v>
      </c>
      <c r="M219" s="49">
        <f>I219+L219</f>
        <v>0</v>
      </c>
      <c r="N219" s="49">
        <f>M219-H219</f>
        <v>0</v>
      </c>
      <c r="O219" s="50" t="str">
        <f>IF(H219=0,"No plan at start",M219/H219)</f>
        <v>No plan at start</v>
      </c>
      <c r="P219" s="53"/>
      <c r="Q219" s="54"/>
      <c r="R219" s="55"/>
      <c r="S219" s="55"/>
    </row>
    <row r="220" spans="1:19" s="10" customFormat="1" hidden="1" outlineLevel="2" x14ac:dyDescent="0.2">
      <c r="A220" s="11"/>
      <c r="B220" s="49" t="s">
        <v>81</v>
      </c>
      <c r="C220" s="49" t="s">
        <v>58</v>
      </c>
      <c r="D220" s="49">
        <v>0</v>
      </c>
      <c r="E220" s="49">
        <v>0</v>
      </c>
      <c r="F220" s="49">
        <f>E220-D220</f>
        <v>0</v>
      </c>
      <c r="G220" s="50">
        <f>IF(D220=0,0,ABS(F220/D220))</f>
        <v>0</v>
      </c>
      <c r="H220" s="49">
        <v>0</v>
      </c>
      <c r="I220" s="49">
        <v>0</v>
      </c>
      <c r="J220" s="51" t="str">
        <f>IF(H220=0,"No plan at start",I220/H220)</f>
        <v>No plan at start</v>
      </c>
      <c r="K220" s="52">
        <f>H220-I220</f>
        <v>0</v>
      </c>
      <c r="L220" s="49">
        <v>0</v>
      </c>
      <c r="M220" s="49">
        <f>I220+L220</f>
        <v>0</v>
      </c>
      <c r="N220" s="49">
        <f>M220-H220</f>
        <v>0</v>
      </c>
      <c r="O220" s="50" t="str">
        <f>IF(H220=0,"No plan at start",M220/H220)</f>
        <v>No plan at start</v>
      </c>
      <c r="P220" s="53"/>
      <c r="Q220" s="54"/>
      <c r="R220" s="55"/>
      <c r="S220" s="55"/>
    </row>
    <row r="221" spans="1:19" s="10" customFormat="1" hidden="1" outlineLevel="2" x14ac:dyDescent="0.2">
      <c r="A221" s="11"/>
      <c r="B221" s="49" t="s">
        <v>81</v>
      </c>
      <c r="C221" s="49" t="s">
        <v>59</v>
      </c>
      <c r="D221" s="49">
        <v>0</v>
      </c>
      <c r="E221" s="49">
        <v>0</v>
      </c>
      <c r="F221" s="49">
        <f>E221-D221</f>
        <v>0</v>
      </c>
      <c r="G221" s="50">
        <f>IF(D221=0,0,ABS(F221/D221))</f>
        <v>0</v>
      </c>
      <c r="H221" s="49">
        <v>0</v>
      </c>
      <c r="I221" s="49">
        <v>0</v>
      </c>
      <c r="J221" s="51" t="str">
        <f>IF(H221=0,"No plan at start",I221/H221)</f>
        <v>No plan at start</v>
      </c>
      <c r="K221" s="52">
        <f>H221-I221</f>
        <v>0</v>
      </c>
      <c r="L221" s="49">
        <v>0</v>
      </c>
      <c r="M221" s="49">
        <f>I221+L221</f>
        <v>0</v>
      </c>
      <c r="N221" s="49">
        <f>M221-H221</f>
        <v>0</v>
      </c>
      <c r="O221" s="50" t="str">
        <f>IF(H221=0,"No plan at start",M221/H221)</f>
        <v>No plan at start</v>
      </c>
      <c r="P221" s="53"/>
      <c r="Q221" s="54"/>
      <c r="R221" s="55"/>
      <c r="S221" s="55"/>
    </row>
    <row r="222" spans="1:19" s="10" customFormat="1" outlineLevel="1" collapsed="1" x14ac:dyDescent="0.2">
      <c r="A222" s="11"/>
      <c r="B222" s="56" t="s">
        <v>120</v>
      </c>
      <c r="C222" s="49"/>
      <c r="D222" s="49">
        <f>SUBTOTAL(9,D214:D221)</f>
        <v>0</v>
      </c>
      <c r="E222" s="49">
        <f>SUBTOTAL(9,E214:E221)</f>
        <v>0</v>
      </c>
      <c r="F222" s="49">
        <f>SUBTOTAL(9,F214:F221)</f>
        <v>0</v>
      </c>
      <c r="G222" s="50">
        <f>IF(D222=0,0,ABS(F222/D222))</f>
        <v>0</v>
      </c>
      <c r="H222" s="49">
        <f>SUBTOTAL(9,H214:H221)</f>
        <v>0</v>
      </c>
      <c r="I222" s="49">
        <f>SUBTOTAL(9,I214:I221)</f>
        <v>0</v>
      </c>
      <c r="J222" s="51" t="str">
        <f>IF(H222=0,"No plan at start",I222/H222)</f>
        <v>No plan at start</v>
      </c>
      <c r="K222" s="52">
        <f>SUBTOTAL(9,K214:K221)</f>
        <v>0</v>
      </c>
      <c r="L222" s="49">
        <f>SUBTOTAL(9,L214:L221)</f>
        <v>0</v>
      </c>
      <c r="M222" s="49">
        <f>SUBTOTAL(9,M214:M221)</f>
        <v>0</v>
      </c>
      <c r="N222" s="49">
        <f>SUBTOTAL(9,N214:N221)</f>
        <v>0</v>
      </c>
      <c r="O222" s="50" t="str">
        <f>IF(H222=0,"No plan at start",M222/H222)</f>
        <v>No plan at start</v>
      </c>
      <c r="P222" s="53"/>
      <c r="Q222" s="54"/>
      <c r="R222" s="55"/>
      <c r="S222" s="55"/>
    </row>
    <row r="223" spans="1:19" s="10" customFormat="1" hidden="1" outlineLevel="2" x14ac:dyDescent="0.2">
      <c r="A223" s="11"/>
      <c r="B223" s="49" t="s">
        <v>82</v>
      </c>
      <c r="C223" s="49" t="s">
        <v>52</v>
      </c>
      <c r="D223" s="49">
        <v>0</v>
      </c>
      <c r="E223" s="49">
        <v>0</v>
      </c>
      <c r="F223" s="49">
        <f>E223-D223</f>
        <v>0</v>
      </c>
      <c r="G223" s="50">
        <f>IF(D223=0,0,ABS(F223/D223))</f>
        <v>0</v>
      </c>
      <c r="H223" s="49">
        <v>0</v>
      </c>
      <c r="I223" s="49">
        <v>0</v>
      </c>
      <c r="J223" s="51" t="str">
        <f>IF(H223=0,"No plan at start",I223/H223)</f>
        <v>No plan at start</v>
      </c>
      <c r="K223" s="52">
        <f>H223-I223</f>
        <v>0</v>
      </c>
      <c r="L223" s="49">
        <v>0</v>
      </c>
      <c r="M223" s="49">
        <f>I223+L223</f>
        <v>0</v>
      </c>
      <c r="N223" s="49">
        <f>M223-H223</f>
        <v>0</v>
      </c>
      <c r="O223" s="50" t="str">
        <f>IF(H223=0,"No plan at start",M223/H223)</f>
        <v>No plan at start</v>
      </c>
      <c r="P223" s="53"/>
      <c r="Q223" s="54"/>
      <c r="R223" s="55"/>
      <c r="S223" s="55"/>
    </row>
    <row r="224" spans="1:19" s="10" customFormat="1" hidden="1" outlineLevel="2" x14ac:dyDescent="0.2">
      <c r="A224" s="11"/>
      <c r="B224" s="49" t="s">
        <v>82</v>
      </c>
      <c r="C224" s="49" t="s">
        <v>53</v>
      </c>
      <c r="D224" s="49">
        <v>0</v>
      </c>
      <c r="E224" s="49">
        <v>0</v>
      </c>
      <c r="F224" s="49">
        <f>E224-D224</f>
        <v>0</v>
      </c>
      <c r="G224" s="50">
        <f>IF(D224=0,0,ABS(F224/D224))</f>
        <v>0</v>
      </c>
      <c r="H224" s="49">
        <v>0</v>
      </c>
      <c r="I224" s="49">
        <v>0</v>
      </c>
      <c r="J224" s="51" t="str">
        <f>IF(H224=0,"No plan at start",I224/H224)</f>
        <v>No plan at start</v>
      </c>
      <c r="K224" s="52">
        <f>H224-I224</f>
        <v>0</v>
      </c>
      <c r="L224" s="49">
        <v>0</v>
      </c>
      <c r="M224" s="49">
        <f>I224+L224</f>
        <v>0</v>
      </c>
      <c r="N224" s="49">
        <f>M224-H224</f>
        <v>0</v>
      </c>
      <c r="O224" s="50" t="str">
        <f>IF(H224=0,"No plan at start",M224/H224)</f>
        <v>No plan at start</v>
      </c>
      <c r="P224" s="53"/>
      <c r="Q224" s="54"/>
      <c r="R224" s="55"/>
      <c r="S224" s="55"/>
    </row>
    <row r="225" spans="1:19" s="10" customFormat="1" hidden="1" outlineLevel="2" x14ac:dyDescent="0.2">
      <c r="A225" s="11"/>
      <c r="B225" s="49" t="s">
        <v>82</v>
      </c>
      <c r="C225" s="49" t="s">
        <v>54</v>
      </c>
      <c r="D225" s="49">
        <v>0</v>
      </c>
      <c r="E225" s="49">
        <v>0</v>
      </c>
      <c r="F225" s="49">
        <f>E225-D225</f>
        <v>0</v>
      </c>
      <c r="G225" s="50">
        <f>IF(D225=0,0,ABS(F225/D225))</f>
        <v>0</v>
      </c>
      <c r="H225" s="49">
        <v>0</v>
      </c>
      <c r="I225" s="49">
        <v>0</v>
      </c>
      <c r="J225" s="51" t="str">
        <f>IF(H225=0,"No plan at start",I225/H225)</f>
        <v>No plan at start</v>
      </c>
      <c r="K225" s="52">
        <f>H225-I225</f>
        <v>0</v>
      </c>
      <c r="L225" s="49">
        <v>0</v>
      </c>
      <c r="M225" s="49">
        <f>I225+L225</f>
        <v>0</v>
      </c>
      <c r="N225" s="49">
        <f>M225-H225</f>
        <v>0</v>
      </c>
      <c r="O225" s="50" t="str">
        <f>IF(H225=0,"No plan at start",M225/H225)</f>
        <v>No plan at start</v>
      </c>
      <c r="P225" s="53"/>
      <c r="Q225" s="54"/>
      <c r="R225" s="55"/>
      <c r="S225" s="55"/>
    </row>
    <row r="226" spans="1:19" s="10" customFormat="1" hidden="1" outlineLevel="2" x14ac:dyDescent="0.2">
      <c r="A226" s="11"/>
      <c r="B226" s="49" t="s">
        <v>82</v>
      </c>
      <c r="C226" s="49" t="s">
        <v>55</v>
      </c>
      <c r="D226" s="49">
        <v>0</v>
      </c>
      <c r="E226" s="49">
        <v>0</v>
      </c>
      <c r="F226" s="49">
        <f>E226-D226</f>
        <v>0</v>
      </c>
      <c r="G226" s="50">
        <f>IF(D226=0,0,ABS(F226/D226))</f>
        <v>0</v>
      </c>
      <c r="H226" s="49">
        <v>0</v>
      </c>
      <c r="I226" s="49">
        <v>0</v>
      </c>
      <c r="J226" s="51" t="str">
        <f>IF(H226=0,"No plan at start",I226/H226)</f>
        <v>No plan at start</v>
      </c>
      <c r="K226" s="52">
        <f>H226-I226</f>
        <v>0</v>
      </c>
      <c r="L226" s="49">
        <v>0</v>
      </c>
      <c r="M226" s="49">
        <f>I226+L226</f>
        <v>0</v>
      </c>
      <c r="N226" s="49">
        <f>M226-H226</f>
        <v>0</v>
      </c>
      <c r="O226" s="50" t="str">
        <f>IF(H226=0,"No plan at start",M226/H226)</f>
        <v>No plan at start</v>
      </c>
      <c r="P226" s="53"/>
      <c r="Q226" s="54"/>
      <c r="R226" s="55"/>
      <c r="S226" s="55"/>
    </row>
    <row r="227" spans="1:19" s="10" customFormat="1" hidden="1" outlineLevel="2" x14ac:dyDescent="0.2">
      <c r="A227" s="11"/>
      <c r="B227" s="49" t="s">
        <v>82</v>
      </c>
      <c r="C227" s="49" t="s">
        <v>56</v>
      </c>
      <c r="D227" s="49">
        <v>0</v>
      </c>
      <c r="E227" s="49">
        <v>0</v>
      </c>
      <c r="F227" s="49">
        <f>E227-D227</f>
        <v>0</v>
      </c>
      <c r="G227" s="50">
        <f>IF(D227=0,0,ABS(F227/D227))</f>
        <v>0</v>
      </c>
      <c r="H227" s="49">
        <v>0</v>
      </c>
      <c r="I227" s="49">
        <v>0</v>
      </c>
      <c r="J227" s="51" t="str">
        <f>IF(H227=0,"No plan at start",I227/H227)</f>
        <v>No plan at start</v>
      </c>
      <c r="K227" s="52">
        <f>H227-I227</f>
        <v>0</v>
      </c>
      <c r="L227" s="49">
        <v>0</v>
      </c>
      <c r="M227" s="49">
        <f>I227+L227</f>
        <v>0</v>
      </c>
      <c r="N227" s="49">
        <f>M227-H227</f>
        <v>0</v>
      </c>
      <c r="O227" s="50" t="str">
        <f>IF(H227=0,"No plan at start",M227/H227)</f>
        <v>No plan at start</v>
      </c>
      <c r="P227" s="53"/>
      <c r="Q227" s="54"/>
      <c r="R227" s="55"/>
      <c r="S227" s="55"/>
    </row>
    <row r="228" spans="1:19" s="10" customFormat="1" hidden="1" outlineLevel="2" x14ac:dyDescent="0.2">
      <c r="A228" s="11"/>
      <c r="B228" s="49" t="s">
        <v>82</v>
      </c>
      <c r="C228" s="49" t="s">
        <v>57</v>
      </c>
      <c r="D228" s="49">
        <v>0</v>
      </c>
      <c r="E228" s="49">
        <v>0</v>
      </c>
      <c r="F228" s="49">
        <f>E228-D228</f>
        <v>0</v>
      </c>
      <c r="G228" s="50">
        <f>IF(D228=0,0,ABS(F228/D228))</f>
        <v>0</v>
      </c>
      <c r="H228" s="49">
        <v>0</v>
      </c>
      <c r="I228" s="49">
        <v>0</v>
      </c>
      <c r="J228" s="51" t="str">
        <f>IF(H228=0,"No plan at start",I228/H228)</f>
        <v>No plan at start</v>
      </c>
      <c r="K228" s="52">
        <f>H228-I228</f>
        <v>0</v>
      </c>
      <c r="L228" s="49">
        <v>0</v>
      </c>
      <c r="M228" s="49">
        <f>I228+L228</f>
        <v>0</v>
      </c>
      <c r="N228" s="49">
        <f>M228-H228</f>
        <v>0</v>
      </c>
      <c r="O228" s="50" t="str">
        <f>IF(H228=0,"No plan at start",M228/H228)</f>
        <v>No plan at start</v>
      </c>
      <c r="P228" s="53"/>
      <c r="Q228" s="54"/>
      <c r="R228" s="55"/>
      <c r="S228" s="55"/>
    </row>
    <row r="229" spans="1:19" s="10" customFormat="1" hidden="1" outlineLevel="2" x14ac:dyDescent="0.2">
      <c r="A229" s="11"/>
      <c r="B229" s="49" t="s">
        <v>82</v>
      </c>
      <c r="C229" s="49" t="s">
        <v>58</v>
      </c>
      <c r="D229" s="49">
        <v>0</v>
      </c>
      <c r="E229" s="49">
        <v>0</v>
      </c>
      <c r="F229" s="49">
        <f>E229-D229</f>
        <v>0</v>
      </c>
      <c r="G229" s="50">
        <f>IF(D229=0,0,ABS(F229/D229))</f>
        <v>0</v>
      </c>
      <c r="H229" s="49">
        <v>0</v>
      </c>
      <c r="I229" s="49">
        <v>0</v>
      </c>
      <c r="J229" s="51" t="str">
        <f>IF(H229=0,"No plan at start",I229/H229)</f>
        <v>No plan at start</v>
      </c>
      <c r="K229" s="52">
        <f>H229-I229</f>
        <v>0</v>
      </c>
      <c r="L229" s="49">
        <v>0</v>
      </c>
      <c r="M229" s="49">
        <f>I229+L229</f>
        <v>0</v>
      </c>
      <c r="N229" s="49">
        <f>M229-H229</f>
        <v>0</v>
      </c>
      <c r="O229" s="50" t="str">
        <f>IF(H229=0,"No plan at start",M229/H229)</f>
        <v>No plan at start</v>
      </c>
      <c r="P229" s="53"/>
      <c r="Q229" s="54"/>
      <c r="R229" s="55"/>
      <c r="S229" s="55"/>
    </row>
    <row r="230" spans="1:19" s="10" customFormat="1" hidden="1" outlineLevel="2" x14ac:dyDescent="0.2">
      <c r="A230" s="11"/>
      <c r="B230" s="49" t="s">
        <v>82</v>
      </c>
      <c r="C230" s="49" t="s">
        <v>59</v>
      </c>
      <c r="D230" s="49">
        <v>0</v>
      </c>
      <c r="E230" s="49">
        <v>0</v>
      </c>
      <c r="F230" s="49">
        <f>E230-D230</f>
        <v>0</v>
      </c>
      <c r="G230" s="50">
        <f>IF(D230=0,0,ABS(F230/D230))</f>
        <v>0</v>
      </c>
      <c r="H230" s="49">
        <v>0</v>
      </c>
      <c r="I230" s="49">
        <v>0</v>
      </c>
      <c r="J230" s="51" t="str">
        <f>IF(H230=0,"No plan at start",I230/H230)</f>
        <v>No plan at start</v>
      </c>
      <c r="K230" s="52">
        <f>H230-I230</f>
        <v>0</v>
      </c>
      <c r="L230" s="49">
        <v>0</v>
      </c>
      <c r="M230" s="49">
        <f>I230+L230</f>
        <v>0</v>
      </c>
      <c r="N230" s="49">
        <f>M230-H230</f>
        <v>0</v>
      </c>
      <c r="O230" s="50" t="str">
        <f>IF(H230=0,"No plan at start",M230/H230)</f>
        <v>No plan at start</v>
      </c>
      <c r="P230" s="53"/>
      <c r="Q230" s="54"/>
      <c r="R230" s="55"/>
      <c r="S230" s="55"/>
    </row>
    <row r="231" spans="1:19" s="10" customFormat="1" outlineLevel="1" collapsed="1" x14ac:dyDescent="0.2">
      <c r="A231" s="11"/>
      <c r="B231" s="56" t="s">
        <v>121</v>
      </c>
      <c r="C231" s="49"/>
      <c r="D231" s="49">
        <f>SUBTOTAL(9,D223:D230)</f>
        <v>0</v>
      </c>
      <c r="E231" s="49">
        <f>SUBTOTAL(9,E223:E230)</f>
        <v>0</v>
      </c>
      <c r="F231" s="49">
        <f>SUBTOTAL(9,F223:F230)</f>
        <v>0</v>
      </c>
      <c r="G231" s="50">
        <f>IF(D231=0,0,ABS(F231/D231))</f>
        <v>0</v>
      </c>
      <c r="H231" s="49">
        <f>SUBTOTAL(9,H223:H230)</f>
        <v>0</v>
      </c>
      <c r="I231" s="49">
        <f>SUBTOTAL(9,I223:I230)</f>
        <v>0</v>
      </c>
      <c r="J231" s="51" t="str">
        <f>IF(H231=0,"No plan at start",I231/H231)</f>
        <v>No plan at start</v>
      </c>
      <c r="K231" s="52">
        <f>SUBTOTAL(9,K223:K230)</f>
        <v>0</v>
      </c>
      <c r="L231" s="49">
        <f>SUBTOTAL(9,L223:L230)</f>
        <v>0</v>
      </c>
      <c r="M231" s="49">
        <f>SUBTOTAL(9,M223:M230)</f>
        <v>0</v>
      </c>
      <c r="N231" s="49">
        <f>SUBTOTAL(9,N223:N230)</f>
        <v>0</v>
      </c>
      <c r="O231" s="50" t="str">
        <f>IF(H231=0,"No plan at start",M231/H231)</f>
        <v>No plan at start</v>
      </c>
      <c r="P231" s="53"/>
      <c r="Q231" s="54"/>
      <c r="R231" s="55"/>
      <c r="S231" s="55"/>
    </row>
    <row r="232" spans="1:19" s="10" customFormat="1" hidden="1" outlineLevel="2" x14ac:dyDescent="0.2">
      <c r="A232" s="11"/>
      <c r="B232" s="49" t="s">
        <v>83</v>
      </c>
      <c r="C232" s="49" t="s">
        <v>52</v>
      </c>
      <c r="D232" s="49">
        <v>0</v>
      </c>
      <c r="E232" s="49">
        <v>0</v>
      </c>
      <c r="F232" s="49">
        <f>E232-D232</f>
        <v>0</v>
      </c>
      <c r="G232" s="50">
        <f>IF(D232=0,0,ABS(F232/D232))</f>
        <v>0</v>
      </c>
      <c r="H232" s="49">
        <v>0</v>
      </c>
      <c r="I232" s="49">
        <v>0</v>
      </c>
      <c r="J232" s="51" t="str">
        <f>IF(H232=0,"No plan at start",I232/H232)</f>
        <v>No plan at start</v>
      </c>
      <c r="K232" s="52">
        <f>H232-I232</f>
        <v>0</v>
      </c>
      <c r="L232" s="49">
        <v>0</v>
      </c>
      <c r="M232" s="49">
        <f>I232+L232</f>
        <v>0</v>
      </c>
      <c r="N232" s="49">
        <f>M232-H232</f>
        <v>0</v>
      </c>
      <c r="O232" s="50" t="str">
        <f>IF(H232=0,"No plan at start",M232/H232)</f>
        <v>No plan at start</v>
      </c>
      <c r="P232" s="53"/>
      <c r="Q232" s="54"/>
      <c r="R232" s="55"/>
      <c r="S232" s="55"/>
    </row>
    <row r="233" spans="1:19" s="10" customFormat="1" hidden="1" outlineLevel="2" x14ac:dyDescent="0.2">
      <c r="A233" s="11"/>
      <c r="B233" s="49" t="s">
        <v>83</v>
      </c>
      <c r="C233" s="49" t="s">
        <v>53</v>
      </c>
      <c r="D233" s="49">
        <v>0</v>
      </c>
      <c r="E233" s="49">
        <v>0</v>
      </c>
      <c r="F233" s="49">
        <f>E233-D233</f>
        <v>0</v>
      </c>
      <c r="G233" s="50">
        <f>IF(D233=0,0,ABS(F233/D233))</f>
        <v>0</v>
      </c>
      <c r="H233" s="49">
        <v>0</v>
      </c>
      <c r="I233" s="49">
        <v>0</v>
      </c>
      <c r="J233" s="51" t="str">
        <f>IF(H233=0,"No plan at start",I233/H233)</f>
        <v>No plan at start</v>
      </c>
      <c r="K233" s="52">
        <f>H233-I233</f>
        <v>0</v>
      </c>
      <c r="L233" s="49">
        <v>0</v>
      </c>
      <c r="M233" s="49">
        <f>I233+L233</f>
        <v>0</v>
      </c>
      <c r="N233" s="49">
        <f>M233-H233</f>
        <v>0</v>
      </c>
      <c r="O233" s="50" t="str">
        <f>IF(H233=0,"No plan at start",M233/H233)</f>
        <v>No plan at start</v>
      </c>
      <c r="P233" s="53"/>
      <c r="Q233" s="54"/>
      <c r="R233" s="55"/>
      <c r="S233" s="55"/>
    </row>
    <row r="234" spans="1:19" s="10" customFormat="1" hidden="1" outlineLevel="2" x14ac:dyDescent="0.2">
      <c r="A234" s="11"/>
      <c r="B234" s="49" t="s">
        <v>83</v>
      </c>
      <c r="C234" s="49" t="s">
        <v>54</v>
      </c>
      <c r="D234" s="49">
        <v>0</v>
      </c>
      <c r="E234" s="49">
        <v>0</v>
      </c>
      <c r="F234" s="49">
        <f>E234-D234</f>
        <v>0</v>
      </c>
      <c r="G234" s="50">
        <f>IF(D234=0,0,ABS(F234/D234))</f>
        <v>0</v>
      </c>
      <c r="H234" s="49">
        <v>0</v>
      </c>
      <c r="I234" s="49">
        <v>0</v>
      </c>
      <c r="J234" s="51" t="str">
        <f>IF(H234=0,"No plan at start",I234/H234)</f>
        <v>No plan at start</v>
      </c>
      <c r="K234" s="52">
        <f>H234-I234</f>
        <v>0</v>
      </c>
      <c r="L234" s="49">
        <v>0</v>
      </c>
      <c r="M234" s="49">
        <f>I234+L234</f>
        <v>0</v>
      </c>
      <c r="N234" s="49">
        <f>M234-H234</f>
        <v>0</v>
      </c>
      <c r="O234" s="50" t="str">
        <f>IF(H234=0,"No plan at start",M234/H234)</f>
        <v>No plan at start</v>
      </c>
      <c r="P234" s="53"/>
      <c r="Q234" s="54"/>
      <c r="R234" s="55"/>
      <c r="S234" s="55"/>
    </row>
    <row r="235" spans="1:19" s="10" customFormat="1" hidden="1" outlineLevel="2" x14ac:dyDescent="0.2">
      <c r="A235" s="11"/>
      <c r="B235" s="49" t="s">
        <v>83</v>
      </c>
      <c r="C235" s="49" t="s">
        <v>55</v>
      </c>
      <c r="D235" s="49">
        <v>0</v>
      </c>
      <c r="E235" s="49">
        <v>0</v>
      </c>
      <c r="F235" s="49">
        <f>E235-D235</f>
        <v>0</v>
      </c>
      <c r="G235" s="50">
        <f>IF(D235=0,0,ABS(F235/D235))</f>
        <v>0</v>
      </c>
      <c r="H235" s="49">
        <v>0</v>
      </c>
      <c r="I235" s="49">
        <v>0</v>
      </c>
      <c r="J235" s="51" t="str">
        <f>IF(H235=0,"No plan at start",I235/H235)</f>
        <v>No plan at start</v>
      </c>
      <c r="K235" s="52">
        <f>H235-I235</f>
        <v>0</v>
      </c>
      <c r="L235" s="49">
        <v>0</v>
      </c>
      <c r="M235" s="49">
        <f>I235+L235</f>
        <v>0</v>
      </c>
      <c r="N235" s="49">
        <f>M235-H235</f>
        <v>0</v>
      </c>
      <c r="O235" s="50" t="str">
        <f>IF(H235=0,"No plan at start",M235/H235)</f>
        <v>No plan at start</v>
      </c>
      <c r="P235" s="53"/>
      <c r="Q235" s="54"/>
      <c r="R235" s="55"/>
      <c r="S235" s="55"/>
    </row>
    <row r="236" spans="1:19" s="10" customFormat="1" hidden="1" outlineLevel="2" x14ac:dyDescent="0.2">
      <c r="A236" s="11"/>
      <c r="B236" s="49" t="s">
        <v>83</v>
      </c>
      <c r="C236" s="49" t="s">
        <v>56</v>
      </c>
      <c r="D236" s="49">
        <v>0</v>
      </c>
      <c r="E236" s="49">
        <v>0</v>
      </c>
      <c r="F236" s="49">
        <f>E236-D236</f>
        <v>0</v>
      </c>
      <c r="G236" s="50">
        <f>IF(D236=0,0,ABS(F236/D236))</f>
        <v>0</v>
      </c>
      <c r="H236" s="49">
        <v>0</v>
      </c>
      <c r="I236" s="49">
        <v>0</v>
      </c>
      <c r="J236" s="51" t="str">
        <f>IF(H236=0,"No plan at start",I236/H236)</f>
        <v>No plan at start</v>
      </c>
      <c r="K236" s="52">
        <f>H236-I236</f>
        <v>0</v>
      </c>
      <c r="L236" s="49">
        <v>0</v>
      </c>
      <c r="M236" s="49">
        <f>I236+L236</f>
        <v>0</v>
      </c>
      <c r="N236" s="49">
        <f>M236-H236</f>
        <v>0</v>
      </c>
      <c r="O236" s="50" t="str">
        <f>IF(H236=0,"No plan at start",M236/H236)</f>
        <v>No plan at start</v>
      </c>
      <c r="P236" s="53"/>
      <c r="Q236" s="54"/>
      <c r="R236" s="55"/>
      <c r="S236" s="55"/>
    </row>
    <row r="237" spans="1:19" s="10" customFormat="1" hidden="1" outlineLevel="2" x14ac:dyDescent="0.2">
      <c r="A237" s="11"/>
      <c r="B237" s="49" t="s">
        <v>83</v>
      </c>
      <c r="C237" s="49" t="s">
        <v>57</v>
      </c>
      <c r="D237" s="49">
        <v>0</v>
      </c>
      <c r="E237" s="49">
        <v>0</v>
      </c>
      <c r="F237" s="49">
        <f>E237-D237</f>
        <v>0</v>
      </c>
      <c r="G237" s="50">
        <f>IF(D237=0,0,ABS(F237/D237))</f>
        <v>0</v>
      </c>
      <c r="H237" s="49">
        <v>0</v>
      </c>
      <c r="I237" s="49">
        <v>0</v>
      </c>
      <c r="J237" s="51" t="str">
        <f>IF(H237=0,"No plan at start",I237/H237)</f>
        <v>No plan at start</v>
      </c>
      <c r="K237" s="52">
        <f>H237-I237</f>
        <v>0</v>
      </c>
      <c r="L237" s="49">
        <v>0</v>
      </c>
      <c r="M237" s="49">
        <f>I237+L237</f>
        <v>0</v>
      </c>
      <c r="N237" s="49">
        <f>M237-H237</f>
        <v>0</v>
      </c>
      <c r="O237" s="50" t="str">
        <f>IF(H237=0,"No plan at start",M237/H237)</f>
        <v>No plan at start</v>
      </c>
      <c r="P237" s="53"/>
      <c r="Q237" s="54"/>
      <c r="R237" s="55"/>
      <c r="S237" s="55"/>
    </row>
    <row r="238" spans="1:19" s="10" customFormat="1" hidden="1" outlineLevel="2" x14ac:dyDescent="0.2">
      <c r="A238" s="11"/>
      <c r="B238" s="49" t="s">
        <v>83</v>
      </c>
      <c r="C238" s="49" t="s">
        <v>58</v>
      </c>
      <c r="D238" s="49">
        <v>0</v>
      </c>
      <c r="E238" s="49">
        <v>0</v>
      </c>
      <c r="F238" s="49">
        <f>E238-D238</f>
        <v>0</v>
      </c>
      <c r="G238" s="50">
        <f>IF(D238=0,0,ABS(F238/D238))</f>
        <v>0</v>
      </c>
      <c r="H238" s="49">
        <v>0</v>
      </c>
      <c r="I238" s="49">
        <v>0</v>
      </c>
      <c r="J238" s="51" t="str">
        <f>IF(H238=0,"No plan at start",I238/H238)</f>
        <v>No plan at start</v>
      </c>
      <c r="K238" s="52">
        <f>H238-I238</f>
        <v>0</v>
      </c>
      <c r="L238" s="49">
        <v>0</v>
      </c>
      <c r="M238" s="49">
        <f>I238+L238</f>
        <v>0</v>
      </c>
      <c r="N238" s="49">
        <f>M238-H238</f>
        <v>0</v>
      </c>
      <c r="O238" s="50" t="str">
        <f>IF(H238=0,"No plan at start",M238/H238)</f>
        <v>No plan at start</v>
      </c>
      <c r="P238" s="53"/>
      <c r="Q238" s="54"/>
      <c r="R238" s="55"/>
      <c r="S238" s="55"/>
    </row>
    <row r="239" spans="1:19" s="10" customFormat="1" hidden="1" outlineLevel="2" x14ac:dyDescent="0.2">
      <c r="A239" s="11"/>
      <c r="B239" s="49" t="s">
        <v>83</v>
      </c>
      <c r="C239" s="49" t="s">
        <v>59</v>
      </c>
      <c r="D239" s="49">
        <v>0</v>
      </c>
      <c r="E239" s="49">
        <v>0</v>
      </c>
      <c r="F239" s="49">
        <f>E239-D239</f>
        <v>0</v>
      </c>
      <c r="G239" s="50">
        <f>IF(D239=0,0,ABS(F239/D239))</f>
        <v>0</v>
      </c>
      <c r="H239" s="49">
        <v>0</v>
      </c>
      <c r="I239" s="49">
        <v>0</v>
      </c>
      <c r="J239" s="51" t="str">
        <f>IF(H239=0,"No plan at start",I239/H239)</f>
        <v>No plan at start</v>
      </c>
      <c r="K239" s="52">
        <f>H239-I239</f>
        <v>0</v>
      </c>
      <c r="L239" s="49">
        <v>0</v>
      </c>
      <c r="M239" s="49">
        <f>I239+L239</f>
        <v>0</v>
      </c>
      <c r="N239" s="49">
        <f>M239-H239</f>
        <v>0</v>
      </c>
      <c r="O239" s="50" t="str">
        <f>IF(H239=0,"No plan at start",M239/H239)</f>
        <v>No plan at start</v>
      </c>
      <c r="P239" s="53"/>
      <c r="Q239" s="54"/>
      <c r="R239" s="55"/>
      <c r="S239" s="55"/>
    </row>
    <row r="240" spans="1:19" s="10" customFormat="1" outlineLevel="1" collapsed="1" x14ac:dyDescent="0.2">
      <c r="A240" s="11"/>
      <c r="B240" s="56" t="s">
        <v>122</v>
      </c>
      <c r="C240" s="49"/>
      <c r="D240" s="49">
        <f>SUBTOTAL(9,D232:D239)</f>
        <v>0</v>
      </c>
      <c r="E240" s="49">
        <f>SUBTOTAL(9,E232:E239)</f>
        <v>0</v>
      </c>
      <c r="F240" s="49">
        <f>SUBTOTAL(9,F232:F239)</f>
        <v>0</v>
      </c>
      <c r="G240" s="50">
        <f>IF(D240=0,0,ABS(F240/D240))</f>
        <v>0</v>
      </c>
      <c r="H240" s="49">
        <f>SUBTOTAL(9,H232:H239)</f>
        <v>0</v>
      </c>
      <c r="I240" s="49">
        <f>SUBTOTAL(9,I232:I239)</f>
        <v>0</v>
      </c>
      <c r="J240" s="51" t="str">
        <f>IF(H240=0,"No plan at start",I240/H240)</f>
        <v>No plan at start</v>
      </c>
      <c r="K240" s="52">
        <f>SUBTOTAL(9,K232:K239)</f>
        <v>0</v>
      </c>
      <c r="L240" s="49">
        <f>SUBTOTAL(9,L232:L239)</f>
        <v>0</v>
      </c>
      <c r="M240" s="49">
        <f>SUBTOTAL(9,M232:M239)</f>
        <v>0</v>
      </c>
      <c r="N240" s="49">
        <f>SUBTOTAL(9,N232:N239)</f>
        <v>0</v>
      </c>
      <c r="O240" s="50" t="str">
        <f>IF(H240=0,"No plan at start",M240/H240)</f>
        <v>No plan at start</v>
      </c>
      <c r="P240" s="53"/>
      <c r="Q240" s="54"/>
      <c r="R240" s="55"/>
      <c r="S240" s="55"/>
    </row>
    <row r="241" spans="1:19" s="10" customFormat="1" hidden="1" outlineLevel="2" x14ac:dyDescent="0.2">
      <c r="A241" s="11"/>
      <c r="B241" s="49" t="s">
        <v>84</v>
      </c>
      <c r="C241" s="49" t="s">
        <v>52</v>
      </c>
      <c r="D241" s="49">
        <v>0</v>
      </c>
      <c r="E241" s="49">
        <v>0</v>
      </c>
      <c r="F241" s="49">
        <f>E241-D241</f>
        <v>0</v>
      </c>
      <c r="G241" s="50">
        <f>IF(D241=0,0,ABS(F241/D241))</f>
        <v>0</v>
      </c>
      <c r="H241" s="49">
        <v>0</v>
      </c>
      <c r="I241" s="49">
        <v>0</v>
      </c>
      <c r="J241" s="51" t="str">
        <f>IF(H241=0,"No plan at start",I241/H241)</f>
        <v>No plan at start</v>
      </c>
      <c r="K241" s="52">
        <f>H241-I241</f>
        <v>0</v>
      </c>
      <c r="L241" s="49">
        <v>0</v>
      </c>
      <c r="M241" s="49">
        <f>I241+L241</f>
        <v>0</v>
      </c>
      <c r="N241" s="49">
        <f>M241-H241</f>
        <v>0</v>
      </c>
      <c r="O241" s="50" t="str">
        <f>IF(H241=0,"No plan at start",M241/H241)</f>
        <v>No plan at start</v>
      </c>
      <c r="P241" s="53"/>
      <c r="Q241" s="54"/>
      <c r="R241" s="55"/>
      <c r="S241" s="55"/>
    </row>
    <row r="242" spans="1:19" s="10" customFormat="1" hidden="1" outlineLevel="2" x14ac:dyDescent="0.2">
      <c r="A242" s="11"/>
      <c r="B242" s="49" t="s">
        <v>84</v>
      </c>
      <c r="C242" s="49" t="s">
        <v>53</v>
      </c>
      <c r="D242" s="49">
        <v>0</v>
      </c>
      <c r="E242" s="49">
        <v>0</v>
      </c>
      <c r="F242" s="49">
        <f>E242-D242</f>
        <v>0</v>
      </c>
      <c r="G242" s="50">
        <f>IF(D242=0,0,ABS(F242/D242))</f>
        <v>0</v>
      </c>
      <c r="H242" s="49">
        <v>0</v>
      </c>
      <c r="I242" s="49">
        <v>0</v>
      </c>
      <c r="J242" s="51" t="str">
        <f>IF(H242=0,"No plan at start",I242/H242)</f>
        <v>No plan at start</v>
      </c>
      <c r="K242" s="52">
        <f>H242-I242</f>
        <v>0</v>
      </c>
      <c r="L242" s="49">
        <v>0</v>
      </c>
      <c r="M242" s="49">
        <f>I242+L242</f>
        <v>0</v>
      </c>
      <c r="N242" s="49">
        <f>M242-H242</f>
        <v>0</v>
      </c>
      <c r="O242" s="50" t="str">
        <f>IF(H242=0,"No plan at start",M242/H242)</f>
        <v>No plan at start</v>
      </c>
      <c r="P242" s="53"/>
      <c r="Q242" s="54"/>
      <c r="R242" s="55"/>
      <c r="S242" s="55"/>
    </row>
    <row r="243" spans="1:19" s="10" customFormat="1" hidden="1" outlineLevel="2" x14ac:dyDescent="0.2">
      <c r="A243" s="11"/>
      <c r="B243" s="49" t="s">
        <v>84</v>
      </c>
      <c r="C243" s="49" t="s">
        <v>54</v>
      </c>
      <c r="D243" s="49">
        <v>0</v>
      </c>
      <c r="E243" s="49">
        <v>0</v>
      </c>
      <c r="F243" s="49">
        <f>E243-D243</f>
        <v>0</v>
      </c>
      <c r="G243" s="50">
        <f>IF(D243=0,0,ABS(F243/D243))</f>
        <v>0</v>
      </c>
      <c r="H243" s="49">
        <v>0</v>
      </c>
      <c r="I243" s="49">
        <v>0</v>
      </c>
      <c r="J243" s="51" t="str">
        <f>IF(H243=0,"No plan at start",I243/H243)</f>
        <v>No plan at start</v>
      </c>
      <c r="K243" s="52">
        <f>H243-I243</f>
        <v>0</v>
      </c>
      <c r="L243" s="49">
        <v>0</v>
      </c>
      <c r="M243" s="49">
        <f>I243+L243</f>
        <v>0</v>
      </c>
      <c r="N243" s="49">
        <f>M243-H243</f>
        <v>0</v>
      </c>
      <c r="O243" s="50" t="str">
        <f>IF(H243=0,"No plan at start",M243/H243)</f>
        <v>No plan at start</v>
      </c>
      <c r="P243" s="53"/>
      <c r="Q243" s="54"/>
      <c r="R243" s="55"/>
      <c r="S243" s="55"/>
    </row>
    <row r="244" spans="1:19" s="10" customFormat="1" hidden="1" outlineLevel="2" x14ac:dyDescent="0.2">
      <c r="A244" s="11"/>
      <c r="B244" s="49" t="s">
        <v>84</v>
      </c>
      <c r="C244" s="49" t="s">
        <v>55</v>
      </c>
      <c r="D244" s="49">
        <v>0</v>
      </c>
      <c r="E244" s="49">
        <v>0</v>
      </c>
      <c r="F244" s="49">
        <f>E244-D244</f>
        <v>0</v>
      </c>
      <c r="G244" s="50">
        <f>IF(D244=0,0,ABS(F244/D244))</f>
        <v>0</v>
      </c>
      <c r="H244" s="49">
        <v>0</v>
      </c>
      <c r="I244" s="49">
        <v>0</v>
      </c>
      <c r="J244" s="51" t="str">
        <f>IF(H244=0,"No plan at start",I244/H244)</f>
        <v>No plan at start</v>
      </c>
      <c r="K244" s="52">
        <f>H244-I244</f>
        <v>0</v>
      </c>
      <c r="L244" s="49">
        <v>0</v>
      </c>
      <c r="M244" s="49">
        <f>I244+L244</f>
        <v>0</v>
      </c>
      <c r="N244" s="49">
        <f>M244-H244</f>
        <v>0</v>
      </c>
      <c r="O244" s="50" t="str">
        <f>IF(H244=0,"No plan at start",M244/H244)</f>
        <v>No plan at start</v>
      </c>
      <c r="P244" s="53"/>
      <c r="Q244" s="54"/>
      <c r="R244" s="55"/>
      <c r="S244" s="55"/>
    </row>
    <row r="245" spans="1:19" s="10" customFormat="1" hidden="1" outlineLevel="2" x14ac:dyDescent="0.2">
      <c r="A245" s="11"/>
      <c r="B245" s="49" t="s">
        <v>84</v>
      </c>
      <c r="C245" s="49" t="s">
        <v>56</v>
      </c>
      <c r="D245" s="49">
        <v>0</v>
      </c>
      <c r="E245" s="49">
        <v>0</v>
      </c>
      <c r="F245" s="49">
        <f>E245-D245</f>
        <v>0</v>
      </c>
      <c r="G245" s="50">
        <f>IF(D245=0,0,ABS(F245/D245))</f>
        <v>0</v>
      </c>
      <c r="H245" s="49">
        <v>0</v>
      </c>
      <c r="I245" s="49">
        <v>0</v>
      </c>
      <c r="J245" s="51" t="str">
        <f>IF(H245=0,"No plan at start",I245/H245)</f>
        <v>No plan at start</v>
      </c>
      <c r="K245" s="52">
        <f>H245-I245</f>
        <v>0</v>
      </c>
      <c r="L245" s="49">
        <v>0</v>
      </c>
      <c r="M245" s="49">
        <f>I245+L245</f>
        <v>0</v>
      </c>
      <c r="N245" s="49">
        <f>M245-H245</f>
        <v>0</v>
      </c>
      <c r="O245" s="50" t="str">
        <f>IF(H245=0,"No plan at start",M245/H245)</f>
        <v>No plan at start</v>
      </c>
      <c r="P245" s="53"/>
      <c r="Q245" s="54"/>
      <c r="R245" s="55"/>
      <c r="S245" s="55"/>
    </row>
    <row r="246" spans="1:19" s="10" customFormat="1" hidden="1" outlineLevel="2" x14ac:dyDescent="0.2">
      <c r="A246" s="11"/>
      <c r="B246" s="49" t="s">
        <v>84</v>
      </c>
      <c r="C246" s="49" t="s">
        <v>57</v>
      </c>
      <c r="D246" s="49">
        <v>0</v>
      </c>
      <c r="E246" s="49">
        <v>0</v>
      </c>
      <c r="F246" s="49">
        <f>E246-D246</f>
        <v>0</v>
      </c>
      <c r="G246" s="50">
        <f>IF(D246=0,0,ABS(F246/D246))</f>
        <v>0</v>
      </c>
      <c r="H246" s="49">
        <v>0</v>
      </c>
      <c r="I246" s="49">
        <v>0</v>
      </c>
      <c r="J246" s="51" t="str">
        <f>IF(H246=0,"No plan at start",I246/H246)</f>
        <v>No plan at start</v>
      </c>
      <c r="K246" s="52">
        <f>H246-I246</f>
        <v>0</v>
      </c>
      <c r="L246" s="49">
        <v>0</v>
      </c>
      <c r="M246" s="49">
        <f>I246+L246</f>
        <v>0</v>
      </c>
      <c r="N246" s="49">
        <f>M246-H246</f>
        <v>0</v>
      </c>
      <c r="O246" s="50" t="str">
        <f>IF(H246=0,"No plan at start",M246/H246)</f>
        <v>No plan at start</v>
      </c>
      <c r="P246" s="53"/>
      <c r="Q246" s="54"/>
      <c r="R246" s="55"/>
      <c r="S246" s="55"/>
    </row>
    <row r="247" spans="1:19" s="10" customFormat="1" hidden="1" outlineLevel="2" x14ac:dyDescent="0.2">
      <c r="A247" s="11"/>
      <c r="B247" s="49" t="s">
        <v>84</v>
      </c>
      <c r="C247" s="49" t="s">
        <v>58</v>
      </c>
      <c r="D247" s="49">
        <v>0</v>
      </c>
      <c r="E247" s="49">
        <v>0</v>
      </c>
      <c r="F247" s="49">
        <f>E247-D247</f>
        <v>0</v>
      </c>
      <c r="G247" s="50">
        <f>IF(D247=0,0,ABS(F247/D247))</f>
        <v>0</v>
      </c>
      <c r="H247" s="49">
        <v>0</v>
      </c>
      <c r="I247" s="49">
        <v>0</v>
      </c>
      <c r="J247" s="51" t="str">
        <f>IF(H247=0,"No plan at start",I247/H247)</f>
        <v>No plan at start</v>
      </c>
      <c r="K247" s="52">
        <f>H247-I247</f>
        <v>0</v>
      </c>
      <c r="L247" s="49">
        <v>0</v>
      </c>
      <c r="M247" s="49">
        <f>I247+L247</f>
        <v>0</v>
      </c>
      <c r="N247" s="49">
        <f>M247-H247</f>
        <v>0</v>
      </c>
      <c r="O247" s="50" t="str">
        <f>IF(H247=0,"No plan at start",M247/H247)</f>
        <v>No plan at start</v>
      </c>
      <c r="P247" s="53"/>
      <c r="Q247" s="54"/>
      <c r="R247" s="55"/>
      <c r="S247" s="55"/>
    </row>
    <row r="248" spans="1:19" s="10" customFormat="1" hidden="1" outlineLevel="2" x14ac:dyDescent="0.2">
      <c r="A248" s="11"/>
      <c r="B248" s="49" t="s">
        <v>84</v>
      </c>
      <c r="C248" s="49" t="s">
        <v>59</v>
      </c>
      <c r="D248" s="49">
        <v>0</v>
      </c>
      <c r="E248" s="49">
        <v>0</v>
      </c>
      <c r="F248" s="49">
        <f>E248-D248</f>
        <v>0</v>
      </c>
      <c r="G248" s="50">
        <f>IF(D248=0,0,ABS(F248/D248))</f>
        <v>0</v>
      </c>
      <c r="H248" s="49">
        <v>0</v>
      </c>
      <c r="I248" s="49">
        <v>0</v>
      </c>
      <c r="J248" s="51" t="str">
        <f>IF(H248=0,"No plan at start",I248/H248)</f>
        <v>No plan at start</v>
      </c>
      <c r="K248" s="52">
        <f>H248-I248</f>
        <v>0</v>
      </c>
      <c r="L248" s="49">
        <v>0</v>
      </c>
      <c r="M248" s="49">
        <f>I248+L248</f>
        <v>0</v>
      </c>
      <c r="N248" s="49">
        <f>M248-H248</f>
        <v>0</v>
      </c>
      <c r="O248" s="50" t="str">
        <f>IF(H248=0,"No plan at start",M248/H248)</f>
        <v>No plan at start</v>
      </c>
      <c r="P248" s="53"/>
      <c r="Q248" s="54"/>
      <c r="R248" s="55"/>
      <c r="S248" s="55"/>
    </row>
    <row r="249" spans="1:19" s="10" customFormat="1" outlineLevel="1" collapsed="1" x14ac:dyDescent="0.2">
      <c r="A249" s="11"/>
      <c r="B249" s="56" t="s">
        <v>123</v>
      </c>
      <c r="C249" s="49"/>
      <c r="D249" s="49">
        <f>SUBTOTAL(9,D241:D248)</f>
        <v>0</v>
      </c>
      <c r="E249" s="49">
        <f>SUBTOTAL(9,E241:E248)</f>
        <v>0</v>
      </c>
      <c r="F249" s="49">
        <f>SUBTOTAL(9,F241:F248)</f>
        <v>0</v>
      </c>
      <c r="G249" s="50">
        <f>IF(D249=0,0,ABS(F249/D249))</f>
        <v>0</v>
      </c>
      <c r="H249" s="49">
        <f>SUBTOTAL(9,H241:H248)</f>
        <v>0</v>
      </c>
      <c r="I249" s="49">
        <f>SUBTOTAL(9,I241:I248)</f>
        <v>0</v>
      </c>
      <c r="J249" s="51" t="str">
        <f>IF(H249=0,"No plan at start",I249/H249)</f>
        <v>No plan at start</v>
      </c>
      <c r="K249" s="52">
        <f>SUBTOTAL(9,K241:K248)</f>
        <v>0</v>
      </c>
      <c r="L249" s="49">
        <f>SUBTOTAL(9,L241:L248)</f>
        <v>0</v>
      </c>
      <c r="M249" s="49">
        <f>SUBTOTAL(9,M241:M248)</f>
        <v>0</v>
      </c>
      <c r="N249" s="49">
        <f>SUBTOTAL(9,N241:N248)</f>
        <v>0</v>
      </c>
      <c r="O249" s="50" t="str">
        <f>IF(H249=0,"No plan at start",M249/H249)</f>
        <v>No plan at start</v>
      </c>
      <c r="P249" s="53"/>
      <c r="Q249" s="54"/>
      <c r="R249" s="55"/>
      <c r="S249" s="55"/>
    </row>
    <row r="250" spans="1:19" s="10" customFormat="1" hidden="1" outlineLevel="2" x14ac:dyDescent="0.2">
      <c r="A250" s="11"/>
      <c r="B250" s="49" t="s">
        <v>85</v>
      </c>
      <c r="C250" s="49" t="s">
        <v>52</v>
      </c>
      <c r="D250" s="49">
        <v>0</v>
      </c>
      <c r="E250" s="49">
        <v>0</v>
      </c>
      <c r="F250" s="49">
        <f>E250-D250</f>
        <v>0</v>
      </c>
      <c r="G250" s="50">
        <f>IF(D250=0,0,ABS(F250/D250))</f>
        <v>0</v>
      </c>
      <c r="H250" s="49">
        <v>0</v>
      </c>
      <c r="I250" s="49">
        <v>0</v>
      </c>
      <c r="J250" s="51" t="str">
        <f>IF(H250=0,"No plan at start",I250/H250)</f>
        <v>No plan at start</v>
      </c>
      <c r="K250" s="52">
        <f>H250-I250</f>
        <v>0</v>
      </c>
      <c r="L250" s="49">
        <v>0</v>
      </c>
      <c r="M250" s="49">
        <f>I250+L250</f>
        <v>0</v>
      </c>
      <c r="N250" s="49">
        <f>M250-H250</f>
        <v>0</v>
      </c>
      <c r="O250" s="50" t="str">
        <f>IF(H250=0,"No plan at start",M250/H250)</f>
        <v>No plan at start</v>
      </c>
      <c r="P250" s="53"/>
      <c r="Q250" s="54"/>
      <c r="R250" s="55"/>
      <c r="S250" s="55"/>
    </row>
    <row r="251" spans="1:19" s="10" customFormat="1" hidden="1" outlineLevel="2" x14ac:dyDescent="0.2">
      <c r="A251" s="11"/>
      <c r="B251" s="49" t="s">
        <v>85</v>
      </c>
      <c r="C251" s="49" t="s">
        <v>53</v>
      </c>
      <c r="D251" s="49">
        <v>0</v>
      </c>
      <c r="E251" s="49">
        <v>0</v>
      </c>
      <c r="F251" s="49">
        <f>E251-D251</f>
        <v>0</v>
      </c>
      <c r="G251" s="50">
        <f>IF(D251=0,0,ABS(F251/D251))</f>
        <v>0</v>
      </c>
      <c r="H251" s="49">
        <v>0</v>
      </c>
      <c r="I251" s="49">
        <v>0</v>
      </c>
      <c r="J251" s="51" t="str">
        <f>IF(H251=0,"No plan at start",I251/H251)</f>
        <v>No plan at start</v>
      </c>
      <c r="K251" s="52">
        <f>H251-I251</f>
        <v>0</v>
      </c>
      <c r="L251" s="49">
        <v>0</v>
      </c>
      <c r="M251" s="49">
        <f>I251+L251</f>
        <v>0</v>
      </c>
      <c r="N251" s="49">
        <f>M251-H251</f>
        <v>0</v>
      </c>
      <c r="O251" s="50" t="str">
        <f>IF(H251=0,"No plan at start",M251/H251)</f>
        <v>No plan at start</v>
      </c>
      <c r="P251" s="53"/>
      <c r="Q251" s="54"/>
      <c r="R251" s="55"/>
      <c r="S251" s="55"/>
    </row>
    <row r="252" spans="1:19" s="10" customFormat="1" hidden="1" outlineLevel="2" x14ac:dyDescent="0.2">
      <c r="A252" s="11"/>
      <c r="B252" s="49" t="s">
        <v>85</v>
      </c>
      <c r="C252" s="49" t="s">
        <v>54</v>
      </c>
      <c r="D252" s="49">
        <v>0</v>
      </c>
      <c r="E252" s="49">
        <v>0</v>
      </c>
      <c r="F252" s="49">
        <f>E252-D252</f>
        <v>0</v>
      </c>
      <c r="G252" s="50">
        <f>IF(D252=0,0,ABS(F252/D252))</f>
        <v>0</v>
      </c>
      <c r="H252" s="49">
        <v>0</v>
      </c>
      <c r="I252" s="49">
        <v>0</v>
      </c>
      <c r="J252" s="51" t="str">
        <f>IF(H252=0,"No plan at start",I252/H252)</f>
        <v>No plan at start</v>
      </c>
      <c r="K252" s="52">
        <f>H252-I252</f>
        <v>0</v>
      </c>
      <c r="L252" s="49">
        <v>0</v>
      </c>
      <c r="M252" s="49">
        <f>I252+L252</f>
        <v>0</v>
      </c>
      <c r="N252" s="49">
        <f>M252-H252</f>
        <v>0</v>
      </c>
      <c r="O252" s="50" t="str">
        <f>IF(H252=0,"No plan at start",M252/H252)</f>
        <v>No plan at start</v>
      </c>
      <c r="P252" s="53"/>
      <c r="Q252" s="54"/>
      <c r="R252" s="55"/>
      <c r="S252" s="55"/>
    </row>
    <row r="253" spans="1:19" s="10" customFormat="1" hidden="1" outlineLevel="2" x14ac:dyDescent="0.2">
      <c r="A253" s="11"/>
      <c r="B253" s="49" t="s">
        <v>85</v>
      </c>
      <c r="C253" s="49" t="s">
        <v>55</v>
      </c>
      <c r="D253" s="49">
        <v>0</v>
      </c>
      <c r="E253" s="49">
        <v>0</v>
      </c>
      <c r="F253" s="49">
        <f>E253-D253</f>
        <v>0</v>
      </c>
      <c r="G253" s="50">
        <f>IF(D253=0,0,ABS(F253/D253))</f>
        <v>0</v>
      </c>
      <c r="H253" s="49">
        <v>0</v>
      </c>
      <c r="I253" s="49">
        <v>0</v>
      </c>
      <c r="J253" s="51" t="str">
        <f>IF(H253=0,"No plan at start",I253/H253)</f>
        <v>No plan at start</v>
      </c>
      <c r="K253" s="52">
        <f>H253-I253</f>
        <v>0</v>
      </c>
      <c r="L253" s="49">
        <v>0</v>
      </c>
      <c r="M253" s="49">
        <f>I253+L253</f>
        <v>0</v>
      </c>
      <c r="N253" s="49">
        <f>M253-H253</f>
        <v>0</v>
      </c>
      <c r="O253" s="50" t="str">
        <f>IF(H253=0,"No plan at start",M253/H253)</f>
        <v>No plan at start</v>
      </c>
      <c r="P253" s="53"/>
      <c r="Q253" s="54"/>
      <c r="R253" s="55"/>
      <c r="S253" s="55"/>
    </row>
    <row r="254" spans="1:19" s="10" customFormat="1" hidden="1" outlineLevel="2" x14ac:dyDescent="0.2">
      <c r="A254" s="11"/>
      <c r="B254" s="49" t="s">
        <v>85</v>
      </c>
      <c r="C254" s="49" t="s">
        <v>56</v>
      </c>
      <c r="D254" s="49">
        <v>0</v>
      </c>
      <c r="E254" s="49">
        <v>0</v>
      </c>
      <c r="F254" s="49">
        <f>E254-D254</f>
        <v>0</v>
      </c>
      <c r="G254" s="50">
        <f>IF(D254=0,0,ABS(F254/D254))</f>
        <v>0</v>
      </c>
      <c r="H254" s="49">
        <v>0</v>
      </c>
      <c r="I254" s="49">
        <v>0</v>
      </c>
      <c r="J254" s="51" t="str">
        <f>IF(H254=0,"No plan at start",I254/H254)</f>
        <v>No plan at start</v>
      </c>
      <c r="K254" s="52">
        <f>H254-I254</f>
        <v>0</v>
      </c>
      <c r="L254" s="49">
        <v>0</v>
      </c>
      <c r="M254" s="49">
        <f>I254+L254</f>
        <v>0</v>
      </c>
      <c r="N254" s="49">
        <f>M254-H254</f>
        <v>0</v>
      </c>
      <c r="O254" s="50" t="str">
        <f>IF(H254=0,"No plan at start",M254/H254)</f>
        <v>No plan at start</v>
      </c>
      <c r="P254" s="53"/>
      <c r="Q254" s="54"/>
      <c r="R254" s="55"/>
      <c r="S254" s="55"/>
    </row>
    <row r="255" spans="1:19" s="10" customFormat="1" hidden="1" outlineLevel="2" x14ac:dyDescent="0.2">
      <c r="A255" s="11"/>
      <c r="B255" s="49" t="s">
        <v>85</v>
      </c>
      <c r="C255" s="49" t="s">
        <v>57</v>
      </c>
      <c r="D255" s="49">
        <v>0</v>
      </c>
      <c r="E255" s="49">
        <v>0</v>
      </c>
      <c r="F255" s="49">
        <f>E255-D255</f>
        <v>0</v>
      </c>
      <c r="G255" s="50">
        <f>IF(D255=0,0,ABS(F255/D255))</f>
        <v>0</v>
      </c>
      <c r="H255" s="49">
        <v>0</v>
      </c>
      <c r="I255" s="49">
        <v>0</v>
      </c>
      <c r="J255" s="51" t="str">
        <f>IF(H255=0,"No plan at start",I255/H255)</f>
        <v>No plan at start</v>
      </c>
      <c r="K255" s="52">
        <f>H255-I255</f>
        <v>0</v>
      </c>
      <c r="L255" s="49">
        <v>0</v>
      </c>
      <c r="M255" s="49">
        <f>I255+L255</f>
        <v>0</v>
      </c>
      <c r="N255" s="49">
        <f>M255-H255</f>
        <v>0</v>
      </c>
      <c r="O255" s="50" t="str">
        <f>IF(H255=0,"No plan at start",M255/H255)</f>
        <v>No plan at start</v>
      </c>
      <c r="P255" s="53"/>
      <c r="Q255" s="54"/>
      <c r="R255" s="55"/>
      <c r="S255" s="55"/>
    </row>
    <row r="256" spans="1:19" s="10" customFormat="1" hidden="1" outlineLevel="2" x14ac:dyDescent="0.2">
      <c r="A256" s="11"/>
      <c r="B256" s="49" t="s">
        <v>85</v>
      </c>
      <c r="C256" s="49" t="s">
        <v>58</v>
      </c>
      <c r="D256" s="49">
        <v>0</v>
      </c>
      <c r="E256" s="49">
        <v>0</v>
      </c>
      <c r="F256" s="49">
        <f>E256-D256</f>
        <v>0</v>
      </c>
      <c r="G256" s="50">
        <f>IF(D256=0,0,ABS(F256/D256))</f>
        <v>0</v>
      </c>
      <c r="H256" s="49">
        <v>0</v>
      </c>
      <c r="I256" s="49">
        <v>0</v>
      </c>
      <c r="J256" s="51" t="str">
        <f>IF(H256=0,"No plan at start",I256/H256)</f>
        <v>No plan at start</v>
      </c>
      <c r="K256" s="52">
        <f>H256-I256</f>
        <v>0</v>
      </c>
      <c r="L256" s="49">
        <v>0</v>
      </c>
      <c r="M256" s="49">
        <f>I256+L256</f>
        <v>0</v>
      </c>
      <c r="N256" s="49">
        <f>M256-H256</f>
        <v>0</v>
      </c>
      <c r="O256" s="50" t="str">
        <f>IF(H256=0,"No plan at start",M256/H256)</f>
        <v>No plan at start</v>
      </c>
      <c r="P256" s="53"/>
      <c r="Q256" s="54"/>
      <c r="R256" s="55"/>
      <c r="S256" s="55"/>
    </row>
    <row r="257" spans="1:19" s="10" customFormat="1" hidden="1" outlineLevel="2" x14ac:dyDescent="0.2">
      <c r="A257" s="11"/>
      <c r="B257" s="49" t="s">
        <v>85</v>
      </c>
      <c r="C257" s="49" t="s">
        <v>59</v>
      </c>
      <c r="D257" s="49">
        <v>0</v>
      </c>
      <c r="E257" s="49">
        <v>0</v>
      </c>
      <c r="F257" s="49">
        <f>E257-D257</f>
        <v>0</v>
      </c>
      <c r="G257" s="50">
        <f>IF(D257=0,0,ABS(F257/D257))</f>
        <v>0</v>
      </c>
      <c r="H257" s="49">
        <v>0</v>
      </c>
      <c r="I257" s="49">
        <v>0</v>
      </c>
      <c r="J257" s="51" t="str">
        <f>IF(H257=0,"No plan at start",I257/H257)</f>
        <v>No plan at start</v>
      </c>
      <c r="K257" s="52">
        <f>H257-I257</f>
        <v>0</v>
      </c>
      <c r="L257" s="49">
        <v>0</v>
      </c>
      <c r="M257" s="49">
        <f>I257+L257</f>
        <v>0</v>
      </c>
      <c r="N257" s="49">
        <f>M257-H257</f>
        <v>0</v>
      </c>
      <c r="O257" s="50" t="str">
        <f>IF(H257=0,"No plan at start",M257/H257)</f>
        <v>No plan at start</v>
      </c>
      <c r="P257" s="53"/>
      <c r="Q257" s="54"/>
      <c r="R257" s="55"/>
      <c r="S257" s="55"/>
    </row>
    <row r="258" spans="1:19" s="10" customFormat="1" outlineLevel="1" collapsed="1" x14ac:dyDescent="0.2">
      <c r="A258" s="11"/>
      <c r="B258" s="56" t="s">
        <v>124</v>
      </c>
      <c r="C258" s="49"/>
      <c r="D258" s="49">
        <f>SUBTOTAL(9,D250:D257)</f>
        <v>0</v>
      </c>
      <c r="E258" s="49">
        <f>SUBTOTAL(9,E250:E257)</f>
        <v>0</v>
      </c>
      <c r="F258" s="49">
        <f>SUBTOTAL(9,F250:F257)</f>
        <v>0</v>
      </c>
      <c r="G258" s="50">
        <f>IF(D258=0,0,ABS(F258/D258))</f>
        <v>0</v>
      </c>
      <c r="H258" s="49">
        <f>SUBTOTAL(9,H250:H257)</f>
        <v>0</v>
      </c>
      <c r="I258" s="49">
        <f>SUBTOTAL(9,I250:I257)</f>
        <v>0</v>
      </c>
      <c r="J258" s="51" t="str">
        <f>IF(H258=0,"No plan at start",I258/H258)</f>
        <v>No plan at start</v>
      </c>
      <c r="K258" s="52">
        <f>SUBTOTAL(9,K250:K257)</f>
        <v>0</v>
      </c>
      <c r="L258" s="49">
        <f>SUBTOTAL(9,L250:L257)</f>
        <v>0</v>
      </c>
      <c r="M258" s="49">
        <f>SUBTOTAL(9,M250:M257)</f>
        <v>0</v>
      </c>
      <c r="N258" s="49">
        <f>SUBTOTAL(9,N250:N257)</f>
        <v>0</v>
      </c>
      <c r="O258" s="50" t="str">
        <f>IF(H258=0,"No plan at start",M258/H258)</f>
        <v>No plan at start</v>
      </c>
      <c r="P258" s="53"/>
      <c r="Q258" s="54"/>
      <c r="R258" s="55"/>
      <c r="S258" s="55"/>
    </row>
    <row r="259" spans="1:19" s="10" customFormat="1" hidden="1" outlineLevel="2" x14ac:dyDescent="0.2">
      <c r="A259" s="11"/>
      <c r="B259" s="49" t="s">
        <v>86</v>
      </c>
      <c r="C259" s="49" t="s">
        <v>52</v>
      </c>
      <c r="D259" s="49">
        <v>0</v>
      </c>
      <c r="E259" s="49">
        <v>0</v>
      </c>
      <c r="F259" s="49">
        <f>E259-D259</f>
        <v>0</v>
      </c>
      <c r="G259" s="50">
        <f>IF(D259=0,0,ABS(F259/D259))</f>
        <v>0</v>
      </c>
      <c r="H259" s="49">
        <v>0</v>
      </c>
      <c r="I259" s="49">
        <v>0.5</v>
      </c>
      <c r="J259" s="51" t="str">
        <f>IF(H259=0,"No plan at start",I259/H259)</f>
        <v>No plan at start</v>
      </c>
      <c r="K259" s="52">
        <f>H259-I259</f>
        <v>-0.5</v>
      </c>
      <c r="L259" s="49">
        <v>0</v>
      </c>
      <c r="M259" s="49">
        <f>I259+L259</f>
        <v>0.5</v>
      </c>
      <c r="N259" s="49">
        <f>M259-H259</f>
        <v>0.5</v>
      </c>
      <c r="O259" s="50" t="str">
        <f>IF(H259=0,"No plan at start",M259/H259)</f>
        <v>No plan at start</v>
      </c>
      <c r="P259" s="53"/>
      <c r="Q259" s="54"/>
      <c r="R259" s="55"/>
      <c r="S259" s="55"/>
    </row>
    <row r="260" spans="1:19" s="10" customFormat="1" hidden="1" outlineLevel="2" x14ac:dyDescent="0.2">
      <c r="A260" s="11"/>
      <c r="B260" s="49" t="s">
        <v>86</v>
      </c>
      <c r="C260" s="49" t="s">
        <v>53</v>
      </c>
      <c r="D260" s="49">
        <v>0</v>
      </c>
      <c r="E260" s="49">
        <v>0</v>
      </c>
      <c r="F260" s="49">
        <f>E260-D260</f>
        <v>0</v>
      </c>
      <c r="G260" s="50">
        <f>IF(D260=0,0,ABS(F260/D260))</f>
        <v>0</v>
      </c>
      <c r="H260" s="49">
        <v>0</v>
      </c>
      <c r="I260" s="49">
        <v>0</v>
      </c>
      <c r="J260" s="51" t="str">
        <f>IF(H260=0,"No plan at start",I260/H260)</f>
        <v>No plan at start</v>
      </c>
      <c r="K260" s="52">
        <f>H260-I260</f>
        <v>0</v>
      </c>
      <c r="L260" s="49">
        <v>0</v>
      </c>
      <c r="M260" s="49">
        <f>I260+L260</f>
        <v>0</v>
      </c>
      <c r="N260" s="49">
        <f>M260-H260</f>
        <v>0</v>
      </c>
      <c r="O260" s="50" t="str">
        <f>IF(H260=0,"No plan at start",M260/H260)</f>
        <v>No plan at start</v>
      </c>
      <c r="P260" s="53"/>
      <c r="Q260" s="54"/>
      <c r="R260" s="55"/>
      <c r="S260" s="55"/>
    </row>
    <row r="261" spans="1:19" s="10" customFormat="1" hidden="1" outlineLevel="2" x14ac:dyDescent="0.2">
      <c r="A261" s="11"/>
      <c r="B261" s="49" t="s">
        <v>86</v>
      </c>
      <c r="C261" s="49" t="s">
        <v>54</v>
      </c>
      <c r="D261" s="49">
        <v>0</v>
      </c>
      <c r="E261" s="49">
        <v>0</v>
      </c>
      <c r="F261" s="49">
        <f>E261-D261</f>
        <v>0</v>
      </c>
      <c r="G261" s="50">
        <f>IF(D261=0,0,ABS(F261/D261))</f>
        <v>0</v>
      </c>
      <c r="H261" s="49">
        <v>0</v>
      </c>
      <c r="I261" s="49">
        <v>0</v>
      </c>
      <c r="J261" s="51" t="str">
        <f>IF(H261=0,"No plan at start",I261/H261)</f>
        <v>No plan at start</v>
      </c>
      <c r="K261" s="52">
        <f>H261-I261</f>
        <v>0</v>
      </c>
      <c r="L261" s="49">
        <v>0</v>
      </c>
      <c r="M261" s="49">
        <f>I261+L261</f>
        <v>0</v>
      </c>
      <c r="N261" s="49">
        <f>M261-H261</f>
        <v>0</v>
      </c>
      <c r="O261" s="50" t="str">
        <f>IF(H261=0,"No plan at start",M261/H261)</f>
        <v>No plan at start</v>
      </c>
      <c r="P261" s="53"/>
      <c r="Q261" s="54"/>
      <c r="R261" s="55"/>
      <c r="S261" s="55"/>
    </row>
    <row r="262" spans="1:19" s="10" customFormat="1" hidden="1" outlineLevel="2" x14ac:dyDescent="0.2">
      <c r="A262" s="11"/>
      <c r="B262" s="49" t="s">
        <v>86</v>
      </c>
      <c r="C262" s="49" t="s">
        <v>55</v>
      </c>
      <c r="D262" s="49">
        <v>0</v>
      </c>
      <c r="E262" s="49">
        <v>0</v>
      </c>
      <c r="F262" s="49">
        <f>E262-D262</f>
        <v>0</v>
      </c>
      <c r="G262" s="50">
        <f>IF(D262=0,0,ABS(F262/D262))</f>
        <v>0</v>
      </c>
      <c r="H262" s="49">
        <v>0</v>
      </c>
      <c r="I262" s="49">
        <v>0</v>
      </c>
      <c r="J262" s="51" t="str">
        <f>IF(H262=0,"No plan at start",I262/H262)</f>
        <v>No plan at start</v>
      </c>
      <c r="K262" s="52">
        <f>H262-I262</f>
        <v>0</v>
      </c>
      <c r="L262" s="49">
        <v>0</v>
      </c>
      <c r="M262" s="49">
        <f>I262+L262</f>
        <v>0</v>
      </c>
      <c r="N262" s="49">
        <f>M262-H262</f>
        <v>0</v>
      </c>
      <c r="O262" s="50" t="str">
        <f>IF(H262=0,"No plan at start",M262/H262)</f>
        <v>No plan at start</v>
      </c>
      <c r="P262" s="53"/>
      <c r="Q262" s="54"/>
      <c r="R262" s="55"/>
      <c r="S262" s="55"/>
    </row>
    <row r="263" spans="1:19" s="10" customFormat="1" hidden="1" outlineLevel="2" x14ac:dyDescent="0.2">
      <c r="A263" s="11"/>
      <c r="B263" s="49" t="s">
        <v>86</v>
      </c>
      <c r="C263" s="49" t="s">
        <v>56</v>
      </c>
      <c r="D263" s="49">
        <v>0</v>
      </c>
      <c r="E263" s="49">
        <v>0</v>
      </c>
      <c r="F263" s="49">
        <f>E263-D263</f>
        <v>0</v>
      </c>
      <c r="G263" s="50">
        <f>IF(D263=0,0,ABS(F263/D263))</f>
        <v>0</v>
      </c>
      <c r="H263" s="49">
        <v>0</v>
      </c>
      <c r="I263" s="49">
        <v>0</v>
      </c>
      <c r="J263" s="51" t="str">
        <f>IF(H263=0,"No plan at start",I263/H263)</f>
        <v>No plan at start</v>
      </c>
      <c r="K263" s="52">
        <f>H263-I263</f>
        <v>0</v>
      </c>
      <c r="L263" s="49">
        <v>0</v>
      </c>
      <c r="M263" s="49">
        <f>I263+L263</f>
        <v>0</v>
      </c>
      <c r="N263" s="49">
        <f>M263-H263</f>
        <v>0</v>
      </c>
      <c r="O263" s="50" t="str">
        <f>IF(H263=0,"No plan at start",M263/H263)</f>
        <v>No plan at start</v>
      </c>
      <c r="P263" s="53"/>
      <c r="Q263" s="54"/>
      <c r="R263" s="55"/>
      <c r="S263" s="55"/>
    </row>
    <row r="264" spans="1:19" s="10" customFormat="1" hidden="1" outlineLevel="2" x14ac:dyDescent="0.2">
      <c r="A264" s="11"/>
      <c r="B264" s="49" t="s">
        <v>86</v>
      </c>
      <c r="C264" s="49" t="s">
        <v>57</v>
      </c>
      <c r="D264" s="49">
        <v>0</v>
      </c>
      <c r="E264" s="49">
        <v>0</v>
      </c>
      <c r="F264" s="49">
        <f>E264-D264</f>
        <v>0</v>
      </c>
      <c r="G264" s="50">
        <f>IF(D264=0,0,ABS(F264/D264))</f>
        <v>0</v>
      </c>
      <c r="H264" s="49">
        <v>0</v>
      </c>
      <c r="I264" s="49">
        <v>0</v>
      </c>
      <c r="J264" s="51" t="str">
        <f>IF(H264=0,"No plan at start",I264/H264)</f>
        <v>No plan at start</v>
      </c>
      <c r="K264" s="52">
        <f>H264-I264</f>
        <v>0</v>
      </c>
      <c r="L264" s="49">
        <v>0</v>
      </c>
      <c r="M264" s="49">
        <f>I264+L264</f>
        <v>0</v>
      </c>
      <c r="N264" s="49">
        <f>M264-H264</f>
        <v>0</v>
      </c>
      <c r="O264" s="50" t="str">
        <f>IF(H264=0,"No plan at start",M264/H264)</f>
        <v>No plan at start</v>
      </c>
      <c r="P264" s="53"/>
      <c r="Q264" s="54"/>
      <c r="R264" s="55"/>
      <c r="S264" s="55"/>
    </row>
    <row r="265" spans="1:19" s="10" customFormat="1" hidden="1" outlineLevel="2" x14ac:dyDescent="0.2">
      <c r="A265" s="11"/>
      <c r="B265" s="49" t="s">
        <v>86</v>
      </c>
      <c r="C265" s="49" t="s">
        <v>58</v>
      </c>
      <c r="D265" s="49">
        <v>0</v>
      </c>
      <c r="E265" s="49">
        <v>0</v>
      </c>
      <c r="F265" s="49">
        <f>E265-D265</f>
        <v>0</v>
      </c>
      <c r="G265" s="50">
        <f>IF(D265=0,0,ABS(F265/D265))</f>
        <v>0</v>
      </c>
      <c r="H265" s="49">
        <v>0</v>
      </c>
      <c r="I265" s="49">
        <v>0</v>
      </c>
      <c r="J265" s="51" t="str">
        <f>IF(H265=0,"No plan at start",I265/H265)</f>
        <v>No plan at start</v>
      </c>
      <c r="K265" s="52">
        <f>H265-I265</f>
        <v>0</v>
      </c>
      <c r="L265" s="49">
        <v>0</v>
      </c>
      <c r="M265" s="49">
        <f>I265+L265</f>
        <v>0</v>
      </c>
      <c r="N265" s="49">
        <f>M265-H265</f>
        <v>0</v>
      </c>
      <c r="O265" s="50" t="str">
        <f>IF(H265=0,"No plan at start",M265/H265)</f>
        <v>No plan at start</v>
      </c>
      <c r="P265" s="53"/>
      <c r="Q265" s="54"/>
      <c r="R265" s="55"/>
      <c r="S265" s="55"/>
    </row>
    <row r="266" spans="1:19" s="10" customFormat="1" hidden="1" outlineLevel="2" x14ac:dyDescent="0.2">
      <c r="A266" s="11"/>
      <c r="B266" s="49" t="s">
        <v>86</v>
      </c>
      <c r="C266" s="49" t="s">
        <v>59</v>
      </c>
      <c r="D266" s="49">
        <v>0</v>
      </c>
      <c r="E266" s="49">
        <v>0</v>
      </c>
      <c r="F266" s="49">
        <f>E266-D266</f>
        <v>0</v>
      </c>
      <c r="G266" s="50">
        <f>IF(D266=0,0,ABS(F266/D266))</f>
        <v>0</v>
      </c>
      <c r="H266" s="49">
        <v>0</v>
      </c>
      <c r="I266" s="49">
        <v>0</v>
      </c>
      <c r="J266" s="51" t="str">
        <f>IF(H266=0,"No plan at start",I266/H266)</f>
        <v>No plan at start</v>
      </c>
      <c r="K266" s="52">
        <f>H266-I266</f>
        <v>0</v>
      </c>
      <c r="L266" s="49">
        <v>0</v>
      </c>
      <c r="M266" s="49">
        <f>I266+L266</f>
        <v>0</v>
      </c>
      <c r="N266" s="49">
        <f>M266-H266</f>
        <v>0</v>
      </c>
      <c r="O266" s="50" t="str">
        <f>IF(H266=0,"No plan at start",M266/H266)</f>
        <v>No plan at start</v>
      </c>
      <c r="P266" s="53"/>
      <c r="Q266" s="54"/>
      <c r="R266" s="55"/>
      <c r="S266" s="55"/>
    </row>
    <row r="267" spans="1:19" s="10" customFormat="1" outlineLevel="1" collapsed="1" x14ac:dyDescent="0.2">
      <c r="A267" s="11"/>
      <c r="B267" s="56" t="s">
        <v>125</v>
      </c>
      <c r="C267" s="49"/>
      <c r="D267" s="49">
        <f>SUBTOTAL(9,D259:D266)</f>
        <v>0</v>
      </c>
      <c r="E267" s="49">
        <f>SUBTOTAL(9,E259:E266)</f>
        <v>0</v>
      </c>
      <c r="F267" s="49">
        <f>SUBTOTAL(9,F259:F266)</f>
        <v>0</v>
      </c>
      <c r="G267" s="50">
        <f>IF(D267=0,0,ABS(F267/D267))</f>
        <v>0</v>
      </c>
      <c r="H267" s="49">
        <f>SUBTOTAL(9,H259:H266)</f>
        <v>0</v>
      </c>
      <c r="I267" s="49">
        <f>SUBTOTAL(9,I259:I266)</f>
        <v>0.5</v>
      </c>
      <c r="J267" s="51" t="str">
        <f>IF(H267=0,"No plan at start",I267/H267)</f>
        <v>No plan at start</v>
      </c>
      <c r="K267" s="52">
        <f>SUBTOTAL(9,K259:K266)</f>
        <v>-0.5</v>
      </c>
      <c r="L267" s="49">
        <f>SUBTOTAL(9,L259:L266)</f>
        <v>0</v>
      </c>
      <c r="M267" s="49">
        <f>SUBTOTAL(9,M259:M266)</f>
        <v>0.5</v>
      </c>
      <c r="N267" s="49">
        <f>SUBTOTAL(9,N259:N266)</f>
        <v>0.5</v>
      </c>
      <c r="O267" s="50" t="str">
        <f>IF(H267=0,"No plan at start",M267/H267)</f>
        <v>No plan at start</v>
      </c>
      <c r="P267" s="53"/>
      <c r="Q267" s="54"/>
      <c r="R267" s="55"/>
      <c r="S267" s="55"/>
    </row>
    <row r="268" spans="1:19" s="10" customFormat="1" hidden="1" outlineLevel="2" x14ac:dyDescent="0.2">
      <c r="A268" s="11"/>
      <c r="B268" s="49" t="s">
        <v>87</v>
      </c>
      <c r="C268" s="49" t="s">
        <v>52</v>
      </c>
      <c r="D268" s="49">
        <v>0</v>
      </c>
      <c r="E268" s="49">
        <v>0</v>
      </c>
      <c r="F268" s="49">
        <f>E268-D268</f>
        <v>0</v>
      </c>
      <c r="G268" s="50">
        <f>IF(D268=0,0,ABS(F268/D268))</f>
        <v>0</v>
      </c>
      <c r="H268" s="49">
        <v>0</v>
      </c>
      <c r="I268" s="49">
        <v>0</v>
      </c>
      <c r="J268" s="51" t="str">
        <f>IF(H268=0,"No plan at start",I268/H268)</f>
        <v>No plan at start</v>
      </c>
      <c r="K268" s="52">
        <f>H268-I268</f>
        <v>0</v>
      </c>
      <c r="L268" s="49">
        <v>0</v>
      </c>
      <c r="M268" s="49">
        <f>I268+L268</f>
        <v>0</v>
      </c>
      <c r="N268" s="49">
        <f>M268-H268</f>
        <v>0</v>
      </c>
      <c r="O268" s="50" t="str">
        <f>IF(H268=0,"No plan at start",M268/H268)</f>
        <v>No plan at start</v>
      </c>
      <c r="P268" s="53"/>
      <c r="Q268" s="54"/>
      <c r="R268" s="55"/>
      <c r="S268" s="55"/>
    </row>
    <row r="269" spans="1:19" s="10" customFormat="1" hidden="1" outlineLevel="2" x14ac:dyDescent="0.2">
      <c r="A269" s="11"/>
      <c r="B269" s="49" t="s">
        <v>87</v>
      </c>
      <c r="C269" s="49" t="s">
        <v>53</v>
      </c>
      <c r="D269" s="49">
        <v>0</v>
      </c>
      <c r="E269" s="49">
        <v>0</v>
      </c>
      <c r="F269" s="49">
        <f>E269-D269</f>
        <v>0</v>
      </c>
      <c r="G269" s="50">
        <f>IF(D269=0,0,ABS(F269/D269))</f>
        <v>0</v>
      </c>
      <c r="H269" s="49">
        <v>0</v>
      </c>
      <c r="I269" s="49">
        <v>0</v>
      </c>
      <c r="J269" s="51" t="str">
        <f>IF(H269=0,"No plan at start",I269/H269)</f>
        <v>No plan at start</v>
      </c>
      <c r="K269" s="52">
        <f>H269-I269</f>
        <v>0</v>
      </c>
      <c r="L269" s="49">
        <v>0</v>
      </c>
      <c r="M269" s="49">
        <f>I269+L269</f>
        <v>0</v>
      </c>
      <c r="N269" s="49">
        <f>M269-H269</f>
        <v>0</v>
      </c>
      <c r="O269" s="50" t="str">
        <f>IF(H269=0,"No plan at start",M269/H269)</f>
        <v>No plan at start</v>
      </c>
      <c r="P269" s="53"/>
      <c r="Q269" s="54"/>
      <c r="R269" s="55"/>
      <c r="S269" s="55"/>
    </row>
    <row r="270" spans="1:19" s="10" customFormat="1" hidden="1" outlineLevel="2" x14ac:dyDescent="0.2">
      <c r="A270" s="11"/>
      <c r="B270" s="49" t="s">
        <v>87</v>
      </c>
      <c r="C270" s="49" t="s">
        <v>54</v>
      </c>
      <c r="D270" s="49">
        <v>0</v>
      </c>
      <c r="E270" s="49">
        <v>0</v>
      </c>
      <c r="F270" s="49">
        <f>E270-D270</f>
        <v>0</v>
      </c>
      <c r="G270" s="50">
        <f>IF(D270=0,0,ABS(F270/D270))</f>
        <v>0</v>
      </c>
      <c r="H270" s="49">
        <v>0</v>
      </c>
      <c r="I270" s="49">
        <v>0</v>
      </c>
      <c r="J270" s="51" t="str">
        <f>IF(H270=0,"No plan at start",I270/H270)</f>
        <v>No plan at start</v>
      </c>
      <c r="K270" s="52">
        <f>H270-I270</f>
        <v>0</v>
      </c>
      <c r="L270" s="49">
        <v>0</v>
      </c>
      <c r="M270" s="49">
        <f>I270+L270</f>
        <v>0</v>
      </c>
      <c r="N270" s="49">
        <f>M270-H270</f>
        <v>0</v>
      </c>
      <c r="O270" s="50" t="str">
        <f>IF(H270=0,"No plan at start",M270/H270)</f>
        <v>No plan at start</v>
      </c>
      <c r="P270" s="53"/>
      <c r="Q270" s="54"/>
      <c r="R270" s="55"/>
      <c r="S270" s="55"/>
    </row>
    <row r="271" spans="1:19" s="10" customFormat="1" hidden="1" outlineLevel="2" x14ac:dyDescent="0.2">
      <c r="A271" s="11"/>
      <c r="B271" s="49" t="s">
        <v>87</v>
      </c>
      <c r="C271" s="49" t="s">
        <v>55</v>
      </c>
      <c r="D271" s="49">
        <v>0</v>
      </c>
      <c r="E271" s="49">
        <v>0</v>
      </c>
      <c r="F271" s="49">
        <f>E271-D271</f>
        <v>0</v>
      </c>
      <c r="G271" s="50">
        <f>IF(D271=0,0,ABS(F271/D271))</f>
        <v>0</v>
      </c>
      <c r="H271" s="49">
        <v>0</v>
      </c>
      <c r="I271" s="49">
        <v>0</v>
      </c>
      <c r="J271" s="51" t="str">
        <f>IF(H271=0,"No plan at start",I271/H271)</f>
        <v>No plan at start</v>
      </c>
      <c r="K271" s="52">
        <f>H271-I271</f>
        <v>0</v>
      </c>
      <c r="L271" s="49">
        <v>0</v>
      </c>
      <c r="M271" s="49">
        <f>I271+L271</f>
        <v>0</v>
      </c>
      <c r="N271" s="49">
        <f>M271-H271</f>
        <v>0</v>
      </c>
      <c r="O271" s="50" t="str">
        <f>IF(H271=0,"No plan at start",M271/H271)</f>
        <v>No plan at start</v>
      </c>
      <c r="P271" s="53"/>
      <c r="Q271" s="54"/>
      <c r="R271" s="55"/>
      <c r="S271" s="55"/>
    </row>
    <row r="272" spans="1:19" s="10" customFormat="1" hidden="1" outlineLevel="2" x14ac:dyDescent="0.2">
      <c r="A272" s="11"/>
      <c r="B272" s="49" t="s">
        <v>87</v>
      </c>
      <c r="C272" s="49" t="s">
        <v>56</v>
      </c>
      <c r="D272" s="49">
        <v>0</v>
      </c>
      <c r="E272" s="49">
        <v>0</v>
      </c>
      <c r="F272" s="49">
        <f>E272-D272</f>
        <v>0</v>
      </c>
      <c r="G272" s="50">
        <f>IF(D272=0,0,ABS(F272/D272))</f>
        <v>0</v>
      </c>
      <c r="H272" s="49">
        <v>0</v>
      </c>
      <c r="I272" s="49">
        <v>0</v>
      </c>
      <c r="J272" s="51" t="str">
        <f>IF(H272=0,"No plan at start",I272/H272)</f>
        <v>No plan at start</v>
      </c>
      <c r="K272" s="52">
        <f>H272-I272</f>
        <v>0</v>
      </c>
      <c r="L272" s="49">
        <v>0</v>
      </c>
      <c r="M272" s="49">
        <f>I272+L272</f>
        <v>0</v>
      </c>
      <c r="N272" s="49">
        <f>M272-H272</f>
        <v>0</v>
      </c>
      <c r="O272" s="50" t="str">
        <f>IF(H272=0,"No plan at start",M272/H272)</f>
        <v>No plan at start</v>
      </c>
      <c r="P272" s="53"/>
      <c r="Q272" s="54"/>
      <c r="R272" s="55"/>
      <c r="S272" s="55"/>
    </row>
    <row r="273" spans="1:19" s="10" customFormat="1" hidden="1" outlineLevel="2" x14ac:dyDescent="0.2">
      <c r="A273" s="11"/>
      <c r="B273" s="49" t="s">
        <v>87</v>
      </c>
      <c r="C273" s="49" t="s">
        <v>57</v>
      </c>
      <c r="D273" s="49">
        <v>0</v>
      </c>
      <c r="E273" s="49">
        <v>0</v>
      </c>
      <c r="F273" s="49">
        <f>E273-D273</f>
        <v>0</v>
      </c>
      <c r="G273" s="50">
        <f>IF(D273=0,0,ABS(F273/D273))</f>
        <v>0</v>
      </c>
      <c r="H273" s="49">
        <v>0</v>
      </c>
      <c r="I273" s="49">
        <v>0</v>
      </c>
      <c r="J273" s="51" t="str">
        <f>IF(H273=0,"No plan at start",I273/H273)</f>
        <v>No plan at start</v>
      </c>
      <c r="K273" s="52">
        <f>H273-I273</f>
        <v>0</v>
      </c>
      <c r="L273" s="49">
        <v>0</v>
      </c>
      <c r="M273" s="49">
        <f>I273+L273</f>
        <v>0</v>
      </c>
      <c r="N273" s="49">
        <f>M273-H273</f>
        <v>0</v>
      </c>
      <c r="O273" s="50" t="str">
        <f>IF(H273=0,"No plan at start",M273/H273)</f>
        <v>No plan at start</v>
      </c>
      <c r="P273" s="53"/>
      <c r="Q273" s="54"/>
      <c r="R273" s="55"/>
      <c r="S273" s="55"/>
    </row>
    <row r="274" spans="1:19" s="10" customFormat="1" hidden="1" outlineLevel="2" x14ac:dyDescent="0.2">
      <c r="A274" s="11"/>
      <c r="B274" s="49" t="s">
        <v>87</v>
      </c>
      <c r="C274" s="49" t="s">
        <v>58</v>
      </c>
      <c r="D274" s="49">
        <v>0</v>
      </c>
      <c r="E274" s="49">
        <v>0</v>
      </c>
      <c r="F274" s="49">
        <f>E274-D274</f>
        <v>0</v>
      </c>
      <c r="G274" s="50">
        <f>IF(D274=0,0,ABS(F274/D274))</f>
        <v>0</v>
      </c>
      <c r="H274" s="49">
        <v>0</v>
      </c>
      <c r="I274" s="49">
        <v>0</v>
      </c>
      <c r="J274" s="51" t="str">
        <f>IF(H274=0,"No plan at start",I274/H274)</f>
        <v>No plan at start</v>
      </c>
      <c r="K274" s="52">
        <f>H274-I274</f>
        <v>0</v>
      </c>
      <c r="L274" s="49">
        <v>0</v>
      </c>
      <c r="M274" s="49">
        <f>I274+L274</f>
        <v>0</v>
      </c>
      <c r="N274" s="49">
        <f>M274-H274</f>
        <v>0</v>
      </c>
      <c r="O274" s="50" t="str">
        <f>IF(H274=0,"No plan at start",M274/H274)</f>
        <v>No plan at start</v>
      </c>
      <c r="P274" s="53"/>
      <c r="Q274" s="54"/>
      <c r="R274" s="55"/>
      <c r="S274" s="55"/>
    </row>
    <row r="275" spans="1:19" s="10" customFormat="1" hidden="1" outlineLevel="2" x14ac:dyDescent="0.2">
      <c r="A275" s="11"/>
      <c r="B275" s="49" t="s">
        <v>87</v>
      </c>
      <c r="C275" s="49" t="s">
        <v>59</v>
      </c>
      <c r="D275" s="49">
        <v>0</v>
      </c>
      <c r="E275" s="49">
        <v>0</v>
      </c>
      <c r="F275" s="49">
        <f>E275-D275</f>
        <v>0</v>
      </c>
      <c r="G275" s="50">
        <f>IF(D275=0,0,ABS(F275/D275))</f>
        <v>0</v>
      </c>
      <c r="H275" s="49">
        <v>0</v>
      </c>
      <c r="I275" s="49">
        <v>0</v>
      </c>
      <c r="J275" s="51" t="str">
        <f>IF(H275=0,"No plan at start",I275/H275)</f>
        <v>No plan at start</v>
      </c>
      <c r="K275" s="52">
        <f>H275-I275</f>
        <v>0</v>
      </c>
      <c r="L275" s="49">
        <v>0</v>
      </c>
      <c r="M275" s="49">
        <f>I275+L275</f>
        <v>0</v>
      </c>
      <c r="N275" s="49">
        <f>M275-H275</f>
        <v>0</v>
      </c>
      <c r="O275" s="50" t="str">
        <f>IF(H275=0,"No plan at start",M275/H275)</f>
        <v>No plan at start</v>
      </c>
      <c r="P275" s="53"/>
      <c r="Q275" s="54"/>
      <c r="R275" s="55"/>
      <c r="S275" s="55"/>
    </row>
    <row r="276" spans="1:19" s="10" customFormat="1" outlineLevel="1" collapsed="1" x14ac:dyDescent="0.2">
      <c r="A276" s="11"/>
      <c r="B276" s="56" t="s">
        <v>126</v>
      </c>
      <c r="C276" s="49"/>
      <c r="D276" s="49">
        <f>SUBTOTAL(9,D268:D275)</f>
        <v>0</v>
      </c>
      <c r="E276" s="49">
        <f>SUBTOTAL(9,E268:E275)</f>
        <v>0</v>
      </c>
      <c r="F276" s="49">
        <f>SUBTOTAL(9,F268:F275)</f>
        <v>0</v>
      </c>
      <c r="G276" s="50">
        <f>IF(D276=0,0,ABS(F276/D276))</f>
        <v>0</v>
      </c>
      <c r="H276" s="49">
        <f>SUBTOTAL(9,H268:H275)</f>
        <v>0</v>
      </c>
      <c r="I276" s="49">
        <f>SUBTOTAL(9,I268:I275)</f>
        <v>0</v>
      </c>
      <c r="J276" s="51" t="str">
        <f>IF(H276=0,"No plan at start",I276/H276)</f>
        <v>No plan at start</v>
      </c>
      <c r="K276" s="52">
        <f>SUBTOTAL(9,K268:K275)</f>
        <v>0</v>
      </c>
      <c r="L276" s="49">
        <f>SUBTOTAL(9,L268:L275)</f>
        <v>0</v>
      </c>
      <c r="M276" s="49">
        <f>SUBTOTAL(9,M268:M275)</f>
        <v>0</v>
      </c>
      <c r="N276" s="49">
        <f>SUBTOTAL(9,N268:N275)</f>
        <v>0</v>
      </c>
      <c r="O276" s="50" t="str">
        <f>IF(H276=0,"No plan at start",M276/H276)</f>
        <v>No plan at start</v>
      </c>
      <c r="P276" s="53"/>
      <c r="Q276" s="54"/>
      <c r="R276" s="55"/>
      <c r="S276" s="55"/>
    </row>
    <row r="277" spans="1:19" s="10" customFormat="1" hidden="1" outlineLevel="2" x14ac:dyDescent="0.2">
      <c r="A277" s="11"/>
      <c r="B277" s="49" t="s">
        <v>88</v>
      </c>
      <c r="C277" s="49" t="s">
        <v>52</v>
      </c>
      <c r="D277" s="49">
        <v>0</v>
      </c>
      <c r="E277" s="49">
        <v>0</v>
      </c>
      <c r="F277" s="49">
        <f>E277-D277</f>
        <v>0</v>
      </c>
      <c r="G277" s="50">
        <f>IF(D277=0,0,ABS(F277/D277))</f>
        <v>0</v>
      </c>
      <c r="H277" s="49">
        <v>0</v>
      </c>
      <c r="I277" s="49">
        <v>19</v>
      </c>
      <c r="J277" s="51" t="str">
        <f>IF(H277=0,"No plan at start",I277/H277)</f>
        <v>No plan at start</v>
      </c>
      <c r="K277" s="52">
        <f>H277-I277</f>
        <v>-19</v>
      </c>
      <c r="L277" s="49">
        <v>0</v>
      </c>
      <c r="M277" s="49">
        <f>I277+L277</f>
        <v>19</v>
      </c>
      <c r="N277" s="49">
        <f>M277-H277</f>
        <v>19</v>
      </c>
      <c r="O277" s="50" t="str">
        <f>IF(H277=0,"No plan at start",M277/H277)</f>
        <v>No plan at start</v>
      </c>
      <c r="P277" s="53"/>
      <c r="Q277" s="54"/>
      <c r="R277" s="55"/>
      <c r="S277" s="55"/>
    </row>
    <row r="278" spans="1:19" s="10" customFormat="1" hidden="1" outlineLevel="2" x14ac:dyDescent="0.2">
      <c r="A278" s="11"/>
      <c r="B278" s="49" t="s">
        <v>88</v>
      </c>
      <c r="C278" s="49" t="s">
        <v>53</v>
      </c>
      <c r="D278" s="49">
        <v>0</v>
      </c>
      <c r="E278" s="49">
        <v>0</v>
      </c>
      <c r="F278" s="49">
        <f>E278-D278</f>
        <v>0</v>
      </c>
      <c r="G278" s="50">
        <f>IF(D278=0,0,ABS(F278/D278))</f>
        <v>0</v>
      </c>
      <c r="H278" s="49">
        <v>0</v>
      </c>
      <c r="I278" s="49">
        <v>0</v>
      </c>
      <c r="J278" s="51" t="str">
        <f>IF(H278=0,"No plan at start",I278/H278)</f>
        <v>No plan at start</v>
      </c>
      <c r="K278" s="52">
        <f>H278-I278</f>
        <v>0</v>
      </c>
      <c r="L278" s="49">
        <v>0</v>
      </c>
      <c r="M278" s="49">
        <f>I278+L278</f>
        <v>0</v>
      </c>
      <c r="N278" s="49">
        <f>M278-H278</f>
        <v>0</v>
      </c>
      <c r="O278" s="50" t="str">
        <f>IF(H278=0,"No plan at start",M278/H278)</f>
        <v>No plan at start</v>
      </c>
      <c r="P278" s="53"/>
      <c r="Q278" s="54"/>
      <c r="R278" s="55"/>
      <c r="S278" s="55"/>
    </row>
    <row r="279" spans="1:19" s="10" customFormat="1" hidden="1" outlineLevel="2" x14ac:dyDescent="0.2">
      <c r="A279" s="11"/>
      <c r="B279" s="49" t="s">
        <v>88</v>
      </c>
      <c r="C279" s="49" t="s">
        <v>54</v>
      </c>
      <c r="D279" s="49">
        <v>0</v>
      </c>
      <c r="E279" s="49">
        <v>0</v>
      </c>
      <c r="F279" s="49">
        <f>E279-D279</f>
        <v>0</v>
      </c>
      <c r="G279" s="50">
        <f>IF(D279=0,0,ABS(F279/D279))</f>
        <v>0</v>
      </c>
      <c r="H279" s="49">
        <v>0</v>
      </c>
      <c r="I279" s="49">
        <v>0</v>
      </c>
      <c r="J279" s="51" t="str">
        <f>IF(H279=0,"No plan at start",I279/H279)</f>
        <v>No plan at start</v>
      </c>
      <c r="K279" s="52">
        <f>H279-I279</f>
        <v>0</v>
      </c>
      <c r="L279" s="49">
        <v>0</v>
      </c>
      <c r="M279" s="49">
        <f>I279+L279</f>
        <v>0</v>
      </c>
      <c r="N279" s="49">
        <f>M279-H279</f>
        <v>0</v>
      </c>
      <c r="O279" s="50" t="str">
        <f>IF(H279=0,"No plan at start",M279/H279)</f>
        <v>No plan at start</v>
      </c>
      <c r="P279" s="53"/>
      <c r="Q279" s="54"/>
      <c r="R279" s="55"/>
      <c r="S279" s="55"/>
    </row>
    <row r="280" spans="1:19" s="10" customFormat="1" hidden="1" outlineLevel="2" x14ac:dyDescent="0.2">
      <c r="A280" s="11"/>
      <c r="B280" s="49" t="s">
        <v>88</v>
      </c>
      <c r="C280" s="49" t="s">
        <v>55</v>
      </c>
      <c r="D280" s="49">
        <v>0</v>
      </c>
      <c r="E280" s="49">
        <v>0</v>
      </c>
      <c r="F280" s="49">
        <f>E280-D280</f>
        <v>0</v>
      </c>
      <c r="G280" s="50">
        <f>IF(D280=0,0,ABS(F280/D280))</f>
        <v>0</v>
      </c>
      <c r="H280" s="49">
        <v>0</v>
      </c>
      <c r="I280" s="49">
        <v>0</v>
      </c>
      <c r="J280" s="51" t="str">
        <f>IF(H280=0,"No plan at start",I280/H280)</f>
        <v>No plan at start</v>
      </c>
      <c r="K280" s="52">
        <f>H280-I280</f>
        <v>0</v>
      </c>
      <c r="L280" s="49">
        <v>0</v>
      </c>
      <c r="M280" s="49">
        <f>I280+L280</f>
        <v>0</v>
      </c>
      <c r="N280" s="49">
        <f>M280-H280</f>
        <v>0</v>
      </c>
      <c r="O280" s="50" t="str">
        <f>IF(H280=0,"No plan at start",M280/H280)</f>
        <v>No plan at start</v>
      </c>
      <c r="P280" s="53"/>
      <c r="Q280" s="54"/>
      <c r="R280" s="55"/>
      <c r="S280" s="55"/>
    </row>
    <row r="281" spans="1:19" s="10" customFormat="1" hidden="1" outlineLevel="2" x14ac:dyDescent="0.2">
      <c r="A281" s="11"/>
      <c r="B281" s="49" t="s">
        <v>88</v>
      </c>
      <c r="C281" s="49" t="s">
        <v>56</v>
      </c>
      <c r="D281" s="49">
        <v>0</v>
      </c>
      <c r="E281" s="49">
        <v>0</v>
      </c>
      <c r="F281" s="49">
        <f>E281-D281</f>
        <v>0</v>
      </c>
      <c r="G281" s="50">
        <f>IF(D281=0,0,ABS(F281/D281))</f>
        <v>0</v>
      </c>
      <c r="H281" s="49">
        <v>0</v>
      </c>
      <c r="I281" s="49">
        <v>0</v>
      </c>
      <c r="J281" s="51" t="str">
        <f>IF(H281=0,"No plan at start",I281/H281)</f>
        <v>No plan at start</v>
      </c>
      <c r="K281" s="52">
        <f>H281-I281</f>
        <v>0</v>
      </c>
      <c r="L281" s="49">
        <v>0</v>
      </c>
      <c r="M281" s="49">
        <f>I281+L281</f>
        <v>0</v>
      </c>
      <c r="N281" s="49">
        <f>M281-H281</f>
        <v>0</v>
      </c>
      <c r="O281" s="50" t="str">
        <f>IF(H281=0,"No plan at start",M281/H281)</f>
        <v>No plan at start</v>
      </c>
      <c r="P281" s="53"/>
      <c r="Q281" s="54"/>
      <c r="R281" s="55"/>
      <c r="S281" s="55"/>
    </row>
    <row r="282" spans="1:19" s="10" customFormat="1" hidden="1" outlineLevel="2" x14ac:dyDescent="0.2">
      <c r="A282" s="11"/>
      <c r="B282" s="49" t="s">
        <v>88</v>
      </c>
      <c r="C282" s="49" t="s">
        <v>57</v>
      </c>
      <c r="D282" s="49">
        <v>0</v>
      </c>
      <c r="E282" s="49">
        <v>0</v>
      </c>
      <c r="F282" s="49">
        <f>E282-D282</f>
        <v>0</v>
      </c>
      <c r="G282" s="50">
        <f>IF(D282=0,0,ABS(F282/D282))</f>
        <v>0</v>
      </c>
      <c r="H282" s="49">
        <v>0</v>
      </c>
      <c r="I282" s="49">
        <v>0</v>
      </c>
      <c r="J282" s="51" t="str">
        <f>IF(H282=0,"No plan at start",I282/H282)</f>
        <v>No plan at start</v>
      </c>
      <c r="K282" s="52">
        <f>H282-I282</f>
        <v>0</v>
      </c>
      <c r="L282" s="49">
        <v>0</v>
      </c>
      <c r="M282" s="49">
        <f>I282+L282</f>
        <v>0</v>
      </c>
      <c r="N282" s="49">
        <f>M282-H282</f>
        <v>0</v>
      </c>
      <c r="O282" s="50" t="str">
        <f>IF(H282=0,"No plan at start",M282/H282)</f>
        <v>No plan at start</v>
      </c>
      <c r="P282" s="53"/>
      <c r="Q282" s="54"/>
      <c r="R282" s="55"/>
      <c r="S282" s="55"/>
    </row>
    <row r="283" spans="1:19" s="10" customFormat="1" hidden="1" outlineLevel="2" x14ac:dyDescent="0.2">
      <c r="A283" s="11"/>
      <c r="B283" s="49" t="s">
        <v>88</v>
      </c>
      <c r="C283" s="49" t="s">
        <v>58</v>
      </c>
      <c r="D283" s="49">
        <v>0</v>
      </c>
      <c r="E283" s="49">
        <v>0</v>
      </c>
      <c r="F283" s="49">
        <f>E283-D283</f>
        <v>0</v>
      </c>
      <c r="G283" s="50">
        <f>IF(D283=0,0,ABS(F283/D283))</f>
        <v>0</v>
      </c>
      <c r="H283" s="49">
        <v>0</v>
      </c>
      <c r="I283" s="49">
        <v>0</v>
      </c>
      <c r="J283" s="51" t="str">
        <f>IF(H283=0,"No plan at start",I283/H283)</f>
        <v>No plan at start</v>
      </c>
      <c r="K283" s="52">
        <f>H283-I283</f>
        <v>0</v>
      </c>
      <c r="L283" s="49">
        <v>0</v>
      </c>
      <c r="M283" s="49">
        <f>I283+L283</f>
        <v>0</v>
      </c>
      <c r="N283" s="49">
        <f>M283-H283</f>
        <v>0</v>
      </c>
      <c r="O283" s="50" t="str">
        <f>IF(H283=0,"No plan at start",M283/H283)</f>
        <v>No plan at start</v>
      </c>
      <c r="P283" s="53"/>
      <c r="Q283" s="54"/>
      <c r="R283" s="55"/>
      <c r="S283" s="55"/>
    </row>
    <row r="284" spans="1:19" s="10" customFormat="1" hidden="1" outlineLevel="2" x14ac:dyDescent="0.2">
      <c r="A284" s="11"/>
      <c r="B284" s="49" t="s">
        <v>88</v>
      </c>
      <c r="C284" s="49" t="s">
        <v>59</v>
      </c>
      <c r="D284" s="49">
        <v>0</v>
      </c>
      <c r="E284" s="49">
        <v>0</v>
      </c>
      <c r="F284" s="49">
        <f>E284-D284</f>
        <v>0</v>
      </c>
      <c r="G284" s="50">
        <f>IF(D284=0,0,ABS(F284/D284))</f>
        <v>0</v>
      </c>
      <c r="H284" s="49">
        <v>0</v>
      </c>
      <c r="I284" s="49">
        <v>0</v>
      </c>
      <c r="J284" s="51" t="str">
        <f>IF(H284=0,"No plan at start",I284/H284)</f>
        <v>No plan at start</v>
      </c>
      <c r="K284" s="52">
        <f>H284-I284</f>
        <v>0</v>
      </c>
      <c r="L284" s="49">
        <v>0</v>
      </c>
      <c r="M284" s="49">
        <f>I284+L284</f>
        <v>0</v>
      </c>
      <c r="N284" s="49">
        <f>M284-H284</f>
        <v>0</v>
      </c>
      <c r="O284" s="50" t="str">
        <f>IF(H284=0,"No plan at start",M284/H284)</f>
        <v>No plan at start</v>
      </c>
      <c r="P284" s="53"/>
      <c r="Q284" s="54"/>
      <c r="R284" s="55"/>
      <c r="S284" s="55"/>
    </row>
    <row r="285" spans="1:19" s="10" customFormat="1" outlineLevel="1" collapsed="1" x14ac:dyDescent="0.2">
      <c r="A285" s="11"/>
      <c r="B285" s="56" t="s">
        <v>127</v>
      </c>
      <c r="C285" s="49"/>
      <c r="D285" s="49">
        <f>SUBTOTAL(9,D277:D284)</f>
        <v>0</v>
      </c>
      <c r="E285" s="49">
        <f>SUBTOTAL(9,E277:E284)</f>
        <v>0</v>
      </c>
      <c r="F285" s="49">
        <f>SUBTOTAL(9,F277:F284)</f>
        <v>0</v>
      </c>
      <c r="G285" s="50">
        <f>IF(D285=0,0,ABS(F285/D285))</f>
        <v>0</v>
      </c>
      <c r="H285" s="49">
        <f>SUBTOTAL(9,H277:H284)</f>
        <v>0</v>
      </c>
      <c r="I285" s="49">
        <f>SUBTOTAL(9,I277:I284)</f>
        <v>19</v>
      </c>
      <c r="J285" s="51" t="str">
        <f>IF(H285=0,"No plan at start",I285/H285)</f>
        <v>No plan at start</v>
      </c>
      <c r="K285" s="52">
        <f>SUBTOTAL(9,K277:K284)</f>
        <v>-19</v>
      </c>
      <c r="L285" s="49">
        <f>SUBTOTAL(9,L277:L284)</f>
        <v>0</v>
      </c>
      <c r="M285" s="49">
        <f>SUBTOTAL(9,M277:M284)</f>
        <v>19</v>
      </c>
      <c r="N285" s="49">
        <f>SUBTOTAL(9,N277:N284)</f>
        <v>19</v>
      </c>
      <c r="O285" s="50" t="str">
        <f>IF(H285=0,"No plan at start",M285/H285)</f>
        <v>No plan at start</v>
      </c>
      <c r="P285" s="53"/>
      <c r="Q285" s="54"/>
      <c r="R285" s="55"/>
      <c r="S285" s="55"/>
    </row>
    <row r="286" spans="1:19" s="10" customFormat="1" hidden="1" outlineLevel="2" x14ac:dyDescent="0.2">
      <c r="A286" s="11"/>
      <c r="B286" s="49" t="s">
        <v>89</v>
      </c>
      <c r="C286" s="49" t="s">
        <v>52</v>
      </c>
      <c r="D286" s="49">
        <v>0</v>
      </c>
      <c r="E286" s="49">
        <v>0</v>
      </c>
      <c r="F286" s="49">
        <f>E286-D286</f>
        <v>0</v>
      </c>
      <c r="G286" s="50">
        <f>IF(D286=0,0,ABS(F286/D286))</f>
        <v>0</v>
      </c>
      <c r="H286" s="49">
        <v>0</v>
      </c>
      <c r="I286" s="49">
        <v>0</v>
      </c>
      <c r="J286" s="51" t="str">
        <f>IF(H286=0,"No plan at start",I286/H286)</f>
        <v>No plan at start</v>
      </c>
      <c r="K286" s="52">
        <f>H286-I286</f>
        <v>0</v>
      </c>
      <c r="L286" s="49">
        <v>0</v>
      </c>
      <c r="M286" s="49">
        <f>I286+L286</f>
        <v>0</v>
      </c>
      <c r="N286" s="49">
        <f>M286-H286</f>
        <v>0</v>
      </c>
      <c r="O286" s="50" t="str">
        <f>IF(H286=0,"No plan at start",M286/H286)</f>
        <v>No plan at start</v>
      </c>
      <c r="P286" s="53"/>
      <c r="Q286" s="54"/>
      <c r="R286" s="55"/>
      <c r="S286" s="55"/>
    </row>
    <row r="287" spans="1:19" s="10" customFormat="1" hidden="1" outlineLevel="2" x14ac:dyDescent="0.2">
      <c r="A287" s="11"/>
      <c r="B287" s="49" t="s">
        <v>89</v>
      </c>
      <c r="C287" s="49" t="s">
        <v>53</v>
      </c>
      <c r="D287" s="49">
        <v>0</v>
      </c>
      <c r="E287" s="49">
        <v>0</v>
      </c>
      <c r="F287" s="49">
        <f>E287-D287</f>
        <v>0</v>
      </c>
      <c r="G287" s="50">
        <f>IF(D287=0,0,ABS(F287/D287))</f>
        <v>0</v>
      </c>
      <c r="H287" s="49">
        <v>0</v>
      </c>
      <c r="I287" s="49">
        <v>0</v>
      </c>
      <c r="J287" s="51" t="str">
        <f>IF(H287=0,"No plan at start",I287/H287)</f>
        <v>No plan at start</v>
      </c>
      <c r="K287" s="52">
        <f>H287-I287</f>
        <v>0</v>
      </c>
      <c r="L287" s="49">
        <v>0</v>
      </c>
      <c r="M287" s="49">
        <f>I287+L287</f>
        <v>0</v>
      </c>
      <c r="N287" s="49">
        <f>M287-H287</f>
        <v>0</v>
      </c>
      <c r="O287" s="50" t="str">
        <f>IF(H287=0,"No plan at start",M287/H287)</f>
        <v>No plan at start</v>
      </c>
      <c r="P287" s="53"/>
      <c r="Q287" s="54"/>
      <c r="R287" s="55"/>
      <c r="S287" s="55"/>
    </row>
    <row r="288" spans="1:19" s="10" customFormat="1" hidden="1" outlineLevel="2" x14ac:dyDescent="0.2">
      <c r="A288" s="11"/>
      <c r="B288" s="49" t="s">
        <v>89</v>
      </c>
      <c r="C288" s="49" t="s">
        <v>54</v>
      </c>
      <c r="D288" s="49">
        <v>0</v>
      </c>
      <c r="E288" s="49">
        <v>0</v>
      </c>
      <c r="F288" s="49">
        <f>E288-D288</f>
        <v>0</v>
      </c>
      <c r="G288" s="50">
        <f>IF(D288=0,0,ABS(F288/D288))</f>
        <v>0</v>
      </c>
      <c r="H288" s="49">
        <v>0</v>
      </c>
      <c r="I288" s="49">
        <v>0</v>
      </c>
      <c r="J288" s="51" t="str">
        <f>IF(H288=0,"No plan at start",I288/H288)</f>
        <v>No plan at start</v>
      </c>
      <c r="K288" s="52">
        <f>H288-I288</f>
        <v>0</v>
      </c>
      <c r="L288" s="49">
        <v>0</v>
      </c>
      <c r="M288" s="49">
        <f>I288+L288</f>
        <v>0</v>
      </c>
      <c r="N288" s="49">
        <f>M288-H288</f>
        <v>0</v>
      </c>
      <c r="O288" s="50" t="str">
        <f>IF(H288=0,"No plan at start",M288/H288)</f>
        <v>No plan at start</v>
      </c>
      <c r="P288" s="53"/>
      <c r="Q288" s="54"/>
      <c r="R288" s="55"/>
      <c r="S288" s="55"/>
    </row>
    <row r="289" spans="1:19" s="10" customFormat="1" hidden="1" outlineLevel="2" x14ac:dyDescent="0.2">
      <c r="A289" s="11"/>
      <c r="B289" s="49" t="s">
        <v>89</v>
      </c>
      <c r="C289" s="49" t="s">
        <v>55</v>
      </c>
      <c r="D289" s="49">
        <v>0</v>
      </c>
      <c r="E289" s="49">
        <v>0</v>
      </c>
      <c r="F289" s="49">
        <f>E289-D289</f>
        <v>0</v>
      </c>
      <c r="G289" s="50">
        <f>IF(D289=0,0,ABS(F289/D289))</f>
        <v>0</v>
      </c>
      <c r="H289" s="49">
        <v>0</v>
      </c>
      <c r="I289" s="49">
        <v>0</v>
      </c>
      <c r="J289" s="51" t="str">
        <f>IF(H289=0,"No plan at start",I289/H289)</f>
        <v>No plan at start</v>
      </c>
      <c r="K289" s="52">
        <f>H289-I289</f>
        <v>0</v>
      </c>
      <c r="L289" s="49">
        <v>0</v>
      </c>
      <c r="M289" s="49">
        <f>I289+L289</f>
        <v>0</v>
      </c>
      <c r="N289" s="49">
        <f>M289-H289</f>
        <v>0</v>
      </c>
      <c r="O289" s="50" t="str">
        <f>IF(H289=0,"No plan at start",M289/H289)</f>
        <v>No plan at start</v>
      </c>
      <c r="P289" s="53"/>
      <c r="Q289" s="54"/>
      <c r="R289" s="55"/>
      <c r="S289" s="55"/>
    </row>
    <row r="290" spans="1:19" s="10" customFormat="1" hidden="1" outlineLevel="2" x14ac:dyDescent="0.2">
      <c r="A290" s="11"/>
      <c r="B290" s="49" t="s">
        <v>89</v>
      </c>
      <c r="C290" s="49" t="s">
        <v>56</v>
      </c>
      <c r="D290" s="49">
        <v>0</v>
      </c>
      <c r="E290" s="49">
        <v>0</v>
      </c>
      <c r="F290" s="49">
        <f>E290-D290</f>
        <v>0</v>
      </c>
      <c r="G290" s="50">
        <f>IF(D290=0,0,ABS(F290/D290))</f>
        <v>0</v>
      </c>
      <c r="H290" s="49">
        <v>0</v>
      </c>
      <c r="I290" s="49">
        <v>0</v>
      </c>
      <c r="J290" s="51" t="str">
        <f>IF(H290=0,"No plan at start",I290/H290)</f>
        <v>No plan at start</v>
      </c>
      <c r="K290" s="52">
        <f>H290-I290</f>
        <v>0</v>
      </c>
      <c r="L290" s="49">
        <v>0</v>
      </c>
      <c r="M290" s="49">
        <f>I290+L290</f>
        <v>0</v>
      </c>
      <c r="N290" s="49">
        <f>M290-H290</f>
        <v>0</v>
      </c>
      <c r="O290" s="50" t="str">
        <f>IF(H290=0,"No plan at start",M290/H290)</f>
        <v>No plan at start</v>
      </c>
      <c r="P290" s="53"/>
      <c r="Q290" s="54"/>
      <c r="R290" s="55"/>
      <c r="S290" s="55"/>
    </row>
    <row r="291" spans="1:19" s="10" customFormat="1" hidden="1" outlineLevel="2" x14ac:dyDescent="0.2">
      <c r="A291" s="11"/>
      <c r="B291" s="49" t="s">
        <v>89</v>
      </c>
      <c r="C291" s="49" t="s">
        <v>57</v>
      </c>
      <c r="D291" s="49">
        <v>0</v>
      </c>
      <c r="E291" s="49">
        <v>0</v>
      </c>
      <c r="F291" s="49">
        <f>E291-D291</f>
        <v>0</v>
      </c>
      <c r="G291" s="50">
        <f>IF(D291=0,0,ABS(F291/D291))</f>
        <v>0</v>
      </c>
      <c r="H291" s="49">
        <v>0</v>
      </c>
      <c r="I291" s="49">
        <v>0</v>
      </c>
      <c r="J291" s="51" t="str">
        <f>IF(H291=0,"No plan at start",I291/H291)</f>
        <v>No plan at start</v>
      </c>
      <c r="K291" s="52">
        <f>H291-I291</f>
        <v>0</v>
      </c>
      <c r="L291" s="49">
        <v>0</v>
      </c>
      <c r="M291" s="49">
        <f>I291+L291</f>
        <v>0</v>
      </c>
      <c r="N291" s="49">
        <f>M291-H291</f>
        <v>0</v>
      </c>
      <c r="O291" s="50" t="str">
        <f>IF(H291=0,"No plan at start",M291/H291)</f>
        <v>No plan at start</v>
      </c>
      <c r="P291" s="53"/>
      <c r="Q291" s="54"/>
      <c r="R291" s="55"/>
      <c r="S291" s="55"/>
    </row>
    <row r="292" spans="1:19" s="10" customFormat="1" hidden="1" outlineLevel="2" x14ac:dyDescent="0.2">
      <c r="A292" s="11"/>
      <c r="B292" s="49" t="s">
        <v>89</v>
      </c>
      <c r="C292" s="49" t="s">
        <v>58</v>
      </c>
      <c r="D292" s="49">
        <v>0</v>
      </c>
      <c r="E292" s="49">
        <v>0</v>
      </c>
      <c r="F292" s="49">
        <f>E292-D292</f>
        <v>0</v>
      </c>
      <c r="G292" s="50">
        <f>IF(D292=0,0,ABS(F292/D292))</f>
        <v>0</v>
      </c>
      <c r="H292" s="49">
        <v>0</v>
      </c>
      <c r="I292" s="49">
        <v>0</v>
      </c>
      <c r="J292" s="51" t="str">
        <f>IF(H292=0,"No plan at start",I292/H292)</f>
        <v>No plan at start</v>
      </c>
      <c r="K292" s="52">
        <f>H292-I292</f>
        <v>0</v>
      </c>
      <c r="L292" s="49">
        <v>0</v>
      </c>
      <c r="M292" s="49">
        <f>I292+L292</f>
        <v>0</v>
      </c>
      <c r="N292" s="49">
        <f>M292-H292</f>
        <v>0</v>
      </c>
      <c r="O292" s="50" t="str">
        <f>IF(H292=0,"No plan at start",M292/H292)</f>
        <v>No plan at start</v>
      </c>
      <c r="P292" s="53"/>
      <c r="Q292" s="54"/>
      <c r="R292" s="55"/>
      <c r="S292" s="55"/>
    </row>
    <row r="293" spans="1:19" s="10" customFormat="1" hidden="1" outlineLevel="2" x14ac:dyDescent="0.2">
      <c r="A293" s="11"/>
      <c r="B293" s="49" t="s">
        <v>89</v>
      </c>
      <c r="C293" s="49" t="s">
        <v>59</v>
      </c>
      <c r="D293" s="49">
        <v>0</v>
      </c>
      <c r="E293" s="49">
        <v>0</v>
      </c>
      <c r="F293" s="49">
        <f>E293-D293</f>
        <v>0</v>
      </c>
      <c r="G293" s="50">
        <f>IF(D293=0,0,ABS(F293/D293))</f>
        <v>0</v>
      </c>
      <c r="H293" s="49">
        <v>0</v>
      </c>
      <c r="I293" s="49">
        <v>0</v>
      </c>
      <c r="J293" s="51" t="str">
        <f>IF(H293=0,"No plan at start",I293/H293)</f>
        <v>No plan at start</v>
      </c>
      <c r="K293" s="52">
        <f>H293-I293</f>
        <v>0</v>
      </c>
      <c r="L293" s="49">
        <v>0</v>
      </c>
      <c r="M293" s="49">
        <f>I293+L293</f>
        <v>0</v>
      </c>
      <c r="N293" s="49">
        <f>M293-H293</f>
        <v>0</v>
      </c>
      <c r="O293" s="50" t="str">
        <f>IF(H293=0,"No plan at start",M293/H293)</f>
        <v>No plan at start</v>
      </c>
      <c r="P293" s="53"/>
      <c r="Q293" s="54"/>
      <c r="R293" s="55"/>
      <c r="S293" s="55"/>
    </row>
    <row r="294" spans="1:19" s="10" customFormat="1" outlineLevel="1" collapsed="1" x14ac:dyDescent="0.2">
      <c r="A294" s="11"/>
      <c r="B294" s="56" t="s">
        <v>128</v>
      </c>
      <c r="C294" s="49"/>
      <c r="D294" s="49">
        <f>SUBTOTAL(9,D286:D293)</f>
        <v>0</v>
      </c>
      <c r="E294" s="49">
        <f>SUBTOTAL(9,E286:E293)</f>
        <v>0</v>
      </c>
      <c r="F294" s="49">
        <f>SUBTOTAL(9,F286:F293)</f>
        <v>0</v>
      </c>
      <c r="G294" s="50">
        <f>IF(D294=0,0,ABS(F294/D294))</f>
        <v>0</v>
      </c>
      <c r="H294" s="49">
        <f>SUBTOTAL(9,H286:H293)</f>
        <v>0</v>
      </c>
      <c r="I294" s="49">
        <f>SUBTOTAL(9,I286:I293)</f>
        <v>0</v>
      </c>
      <c r="J294" s="51" t="str">
        <f>IF(H294=0,"No plan at start",I294/H294)</f>
        <v>No plan at start</v>
      </c>
      <c r="K294" s="52">
        <f>SUBTOTAL(9,K286:K293)</f>
        <v>0</v>
      </c>
      <c r="L294" s="49">
        <f>SUBTOTAL(9,L286:L293)</f>
        <v>0</v>
      </c>
      <c r="M294" s="49">
        <f>SUBTOTAL(9,M286:M293)</f>
        <v>0</v>
      </c>
      <c r="N294" s="49">
        <f>SUBTOTAL(9,N286:N293)</f>
        <v>0</v>
      </c>
      <c r="O294" s="50" t="str">
        <f>IF(H294=0,"No plan at start",M294/H294)</f>
        <v>No plan at start</v>
      </c>
      <c r="P294" s="53"/>
      <c r="Q294" s="54"/>
      <c r="R294" s="55"/>
      <c r="S294" s="55"/>
    </row>
    <row r="295" spans="1:19" s="10" customFormat="1" hidden="1" outlineLevel="2" x14ac:dyDescent="0.2">
      <c r="A295" s="11"/>
      <c r="B295" s="49" t="s">
        <v>90</v>
      </c>
      <c r="C295" s="49" t="s">
        <v>52</v>
      </c>
      <c r="D295" s="49">
        <v>0</v>
      </c>
      <c r="E295" s="49">
        <v>0</v>
      </c>
      <c r="F295" s="49">
        <f>E295-D295</f>
        <v>0</v>
      </c>
      <c r="G295" s="50">
        <f>IF(D295=0,0,ABS(F295/D295))</f>
        <v>0</v>
      </c>
      <c r="H295" s="49">
        <v>0</v>
      </c>
      <c r="I295" s="49">
        <v>22</v>
      </c>
      <c r="J295" s="51" t="str">
        <f>IF(H295=0,"No plan at start",I295/H295)</f>
        <v>No plan at start</v>
      </c>
      <c r="K295" s="52">
        <f>H295-I295</f>
        <v>-22</v>
      </c>
      <c r="L295" s="49">
        <v>0</v>
      </c>
      <c r="M295" s="49">
        <f>I295+L295</f>
        <v>22</v>
      </c>
      <c r="N295" s="49">
        <f>M295-H295</f>
        <v>22</v>
      </c>
      <c r="O295" s="50" t="str">
        <f>IF(H295=0,"No plan at start",M295/H295)</f>
        <v>No plan at start</v>
      </c>
      <c r="P295" s="53"/>
      <c r="Q295" s="54"/>
      <c r="R295" s="55"/>
      <c r="S295" s="55"/>
    </row>
    <row r="296" spans="1:19" s="10" customFormat="1" hidden="1" outlineLevel="2" x14ac:dyDescent="0.2">
      <c r="A296" s="11"/>
      <c r="B296" s="49" t="s">
        <v>90</v>
      </c>
      <c r="C296" s="49" t="s">
        <v>53</v>
      </c>
      <c r="D296" s="49">
        <v>0</v>
      </c>
      <c r="E296" s="49">
        <v>45</v>
      </c>
      <c r="F296" s="49">
        <f>E296-D296</f>
        <v>45</v>
      </c>
      <c r="G296" s="50">
        <f>IF(D296=0,0,ABS(F296/D296))</f>
        <v>0</v>
      </c>
      <c r="H296" s="49">
        <v>152</v>
      </c>
      <c r="I296" s="49">
        <v>1966.5</v>
      </c>
      <c r="J296" s="51">
        <f>IF(H296=0,"No plan at start",I296/H296)</f>
        <v>12.9375</v>
      </c>
      <c r="K296" s="52">
        <f>H296-I296</f>
        <v>-1814.5</v>
      </c>
      <c r="L296" s="49">
        <v>0</v>
      </c>
      <c r="M296" s="49">
        <f>I296+L296</f>
        <v>1966.5</v>
      </c>
      <c r="N296" s="49">
        <f>M296-H296</f>
        <v>1814.5</v>
      </c>
      <c r="O296" s="50">
        <f>IF(H296=0,"No plan at start",M296/H296)</f>
        <v>12.9375</v>
      </c>
      <c r="P296" s="53"/>
      <c r="Q296" s="54"/>
      <c r="R296" s="55"/>
      <c r="S296" s="55"/>
    </row>
    <row r="297" spans="1:19" s="10" customFormat="1" hidden="1" outlineLevel="2" x14ac:dyDescent="0.2">
      <c r="A297" s="11"/>
      <c r="B297" s="49" t="s">
        <v>90</v>
      </c>
      <c r="C297" s="49" t="s">
        <v>54</v>
      </c>
      <c r="D297" s="49">
        <v>0</v>
      </c>
      <c r="E297" s="49">
        <v>0</v>
      </c>
      <c r="F297" s="49">
        <f>E297-D297</f>
        <v>0</v>
      </c>
      <c r="G297" s="50">
        <f>IF(D297=0,0,ABS(F297/D297))</f>
        <v>0</v>
      </c>
      <c r="H297" s="49">
        <v>0</v>
      </c>
      <c r="I297" s="49">
        <v>0</v>
      </c>
      <c r="J297" s="51" t="str">
        <f>IF(H297=0,"No plan at start",I297/H297)</f>
        <v>No plan at start</v>
      </c>
      <c r="K297" s="52">
        <f>H297-I297</f>
        <v>0</v>
      </c>
      <c r="L297" s="49">
        <v>0</v>
      </c>
      <c r="M297" s="49">
        <f>I297+L297</f>
        <v>0</v>
      </c>
      <c r="N297" s="49">
        <f>M297-H297</f>
        <v>0</v>
      </c>
      <c r="O297" s="50" t="str">
        <f>IF(H297=0,"No plan at start",M297/H297)</f>
        <v>No plan at start</v>
      </c>
      <c r="P297" s="53"/>
      <c r="Q297" s="54"/>
      <c r="R297" s="55"/>
      <c r="S297" s="55"/>
    </row>
    <row r="298" spans="1:19" s="10" customFormat="1" hidden="1" outlineLevel="2" x14ac:dyDescent="0.2">
      <c r="A298" s="11"/>
      <c r="B298" s="49" t="s">
        <v>90</v>
      </c>
      <c r="C298" s="49" t="s">
        <v>55</v>
      </c>
      <c r="D298" s="49">
        <v>0</v>
      </c>
      <c r="E298" s="49">
        <v>0</v>
      </c>
      <c r="F298" s="49">
        <f>E298-D298</f>
        <v>0</v>
      </c>
      <c r="G298" s="50">
        <f>IF(D298=0,0,ABS(F298/D298))</f>
        <v>0</v>
      </c>
      <c r="H298" s="49">
        <v>0</v>
      </c>
      <c r="I298" s="49">
        <v>0</v>
      </c>
      <c r="J298" s="51" t="str">
        <f>IF(H298=0,"No plan at start",I298/H298)</f>
        <v>No plan at start</v>
      </c>
      <c r="K298" s="52">
        <f>H298-I298</f>
        <v>0</v>
      </c>
      <c r="L298" s="49">
        <v>0</v>
      </c>
      <c r="M298" s="49">
        <f>I298+L298</f>
        <v>0</v>
      </c>
      <c r="N298" s="49">
        <f>M298-H298</f>
        <v>0</v>
      </c>
      <c r="O298" s="50" t="str">
        <f>IF(H298=0,"No plan at start",M298/H298)</f>
        <v>No plan at start</v>
      </c>
      <c r="P298" s="53"/>
      <c r="Q298" s="54"/>
      <c r="R298" s="55"/>
      <c r="S298" s="55"/>
    </row>
    <row r="299" spans="1:19" s="10" customFormat="1" hidden="1" outlineLevel="2" x14ac:dyDescent="0.2">
      <c r="A299" s="11"/>
      <c r="B299" s="49" t="s">
        <v>90</v>
      </c>
      <c r="C299" s="49" t="s">
        <v>56</v>
      </c>
      <c r="D299" s="49">
        <v>0</v>
      </c>
      <c r="E299" s="49">
        <v>0</v>
      </c>
      <c r="F299" s="49">
        <f>E299-D299</f>
        <v>0</v>
      </c>
      <c r="G299" s="50">
        <f>IF(D299=0,0,ABS(F299/D299))</f>
        <v>0</v>
      </c>
      <c r="H299" s="49">
        <v>0</v>
      </c>
      <c r="I299" s="49">
        <v>0</v>
      </c>
      <c r="J299" s="51" t="str">
        <f>IF(H299=0,"No plan at start",I299/H299)</f>
        <v>No plan at start</v>
      </c>
      <c r="K299" s="52">
        <f>H299-I299</f>
        <v>0</v>
      </c>
      <c r="L299" s="49">
        <v>0</v>
      </c>
      <c r="M299" s="49">
        <f>I299+L299</f>
        <v>0</v>
      </c>
      <c r="N299" s="49">
        <f>M299-H299</f>
        <v>0</v>
      </c>
      <c r="O299" s="50" t="str">
        <f>IF(H299=0,"No plan at start",M299/H299)</f>
        <v>No plan at start</v>
      </c>
      <c r="P299" s="53"/>
      <c r="Q299" s="54"/>
      <c r="R299" s="55"/>
      <c r="S299" s="55"/>
    </row>
    <row r="300" spans="1:19" s="10" customFormat="1" hidden="1" outlineLevel="2" x14ac:dyDescent="0.2">
      <c r="A300" s="11"/>
      <c r="B300" s="49" t="s">
        <v>90</v>
      </c>
      <c r="C300" s="49" t="s">
        <v>57</v>
      </c>
      <c r="D300" s="49">
        <v>0</v>
      </c>
      <c r="E300" s="49">
        <v>0</v>
      </c>
      <c r="F300" s="49">
        <f>E300-D300</f>
        <v>0</v>
      </c>
      <c r="G300" s="50">
        <f>IF(D300=0,0,ABS(F300/D300))</f>
        <v>0</v>
      </c>
      <c r="H300" s="49">
        <v>0</v>
      </c>
      <c r="I300" s="49">
        <v>0</v>
      </c>
      <c r="J300" s="51" t="str">
        <f>IF(H300=0,"No plan at start",I300/H300)</f>
        <v>No plan at start</v>
      </c>
      <c r="K300" s="52">
        <f>H300-I300</f>
        <v>0</v>
      </c>
      <c r="L300" s="49">
        <v>0</v>
      </c>
      <c r="M300" s="49">
        <f>I300+L300</f>
        <v>0</v>
      </c>
      <c r="N300" s="49">
        <f>M300-H300</f>
        <v>0</v>
      </c>
      <c r="O300" s="50" t="str">
        <f>IF(H300=0,"No plan at start",M300/H300)</f>
        <v>No plan at start</v>
      </c>
      <c r="P300" s="53"/>
      <c r="Q300" s="54"/>
      <c r="R300" s="55"/>
      <c r="S300" s="55"/>
    </row>
    <row r="301" spans="1:19" s="10" customFormat="1" hidden="1" outlineLevel="2" x14ac:dyDescent="0.2">
      <c r="A301" s="11"/>
      <c r="B301" s="49" t="s">
        <v>90</v>
      </c>
      <c r="C301" s="49" t="s">
        <v>58</v>
      </c>
      <c r="D301" s="49">
        <v>0</v>
      </c>
      <c r="E301" s="49">
        <v>0</v>
      </c>
      <c r="F301" s="49">
        <f>E301-D301</f>
        <v>0</v>
      </c>
      <c r="G301" s="50">
        <f>IF(D301=0,0,ABS(F301/D301))</f>
        <v>0</v>
      </c>
      <c r="H301" s="49">
        <v>0</v>
      </c>
      <c r="I301" s="49">
        <v>0</v>
      </c>
      <c r="J301" s="51" t="str">
        <f>IF(H301=0,"No plan at start",I301/H301)</f>
        <v>No plan at start</v>
      </c>
      <c r="K301" s="52">
        <f>H301-I301</f>
        <v>0</v>
      </c>
      <c r="L301" s="49">
        <v>0</v>
      </c>
      <c r="M301" s="49">
        <f>I301+L301</f>
        <v>0</v>
      </c>
      <c r="N301" s="49">
        <f>M301-H301</f>
        <v>0</v>
      </c>
      <c r="O301" s="50" t="str">
        <f>IF(H301=0,"No plan at start",M301/H301)</f>
        <v>No plan at start</v>
      </c>
      <c r="P301" s="53"/>
      <c r="Q301" s="54"/>
      <c r="R301" s="55"/>
      <c r="S301" s="55"/>
    </row>
    <row r="302" spans="1:19" s="10" customFormat="1" hidden="1" outlineLevel="2" x14ac:dyDescent="0.2">
      <c r="A302" s="11"/>
      <c r="B302" s="49" t="s">
        <v>90</v>
      </c>
      <c r="C302" s="49" t="s">
        <v>59</v>
      </c>
      <c r="D302" s="49">
        <v>0</v>
      </c>
      <c r="E302" s="49">
        <v>0</v>
      </c>
      <c r="F302" s="49">
        <f>E302-D302</f>
        <v>0</v>
      </c>
      <c r="G302" s="50">
        <f>IF(D302=0,0,ABS(F302/D302))</f>
        <v>0</v>
      </c>
      <c r="H302" s="49">
        <v>0</v>
      </c>
      <c r="I302" s="49">
        <v>0</v>
      </c>
      <c r="J302" s="51" t="str">
        <f>IF(H302=0,"No plan at start",I302/H302)</f>
        <v>No plan at start</v>
      </c>
      <c r="K302" s="52">
        <f>H302-I302</f>
        <v>0</v>
      </c>
      <c r="L302" s="49">
        <v>0</v>
      </c>
      <c r="M302" s="49">
        <f>I302+L302</f>
        <v>0</v>
      </c>
      <c r="N302" s="49">
        <f>M302-H302</f>
        <v>0</v>
      </c>
      <c r="O302" s="50" t="str">
        <f>IF(H302=0,"No plan at start",M302/H302)</f>
        <v>No plan at start</v>
      </c>
      <c r="P302" s="53"/>
      <c r="Q302" s="54"/>
      <c r="R302" s="55"/>
      <c r="S302" s="55"/>
    </row>
    <row r="303" spans="1:19" s="10" customFormat="1" outlineLevel="1" collapsed="1" x14ac:dyDescent="0.2">
      <c r="A303" s="11"/>
      <c r="B303" s="56" t="s">
        <v>129</v>
      </c>
      <c r="C303" s="49"/>
      <c r="D303" s="49">
        <f>SUBTOTAL(9,D295:D302)</f>
        <v>0</v>
      </c>
      <c r="E303" s="49">
        <f>SUBTOTAL(9,E295:E302)</f>
        <v>45</v>
      </c>
      <c r="F303" s="49">
        <f>SUBTOTAL(9,F295:F302)</f>
        <v>45</v>
      </c>
      <c r="G303" s="50">
        <f>IF(D303=0,0,ABS(F303/D303))</f>
        <v>0</v>
      </c>
      <c r="H303" s="49">
        <f>SUBTOTAL(9,H295:H302)</f>
        <v>152</v>
      </c>
      <c r="I303" s="49">
        <f>SUBTOTAL(9,I295:I302)</f>
        <v>1988.5</v>
      </c>
      <c r="J303" s="51">
        <f>IF(H303=0,"No plan at start",I303/H303)</f>
        <v>13.082236842105264</v>
      </c>
      <c r="K303" s="52">
        <f>SUBTOTAL(9,K295:K302)</f>
        <v>-1836.5</v>
      </c>
      <c r="L303" s="49">
        <f>SUBTOTAL(9,L295:L302)</f>
        <v>0</v>
      </c>
      <c r="M303" s="49">
        <f>SUBTOTAL(9,M295:M302)</f>
        <v>1988.5</v>
      </c>
      <c r="N303" s="49">
        <f>SUBTOTAL(9,N295:N302)</f>
        <v>1836.5</v>
      </c>
      <c r="O303" s="50">
        <f>IF(H303=0,"No plan at start",M303/H303)</f>
        <v>13.082236842105264</v>
      </c>
      <c r="P303" s="53"/>
      <c r="Q303" s="54"/>
      <c r="R303" s="55"/>
      <c r="S303" s="55"/>
    </row>
    <row r="304" spans="1:19" s="10" customFormat="1" hidden="1" outlineLevel="2" x14ac:dyDescent="0.2">
      <c r="A304" s="11"/>
      <c r="B304" s="49" t="s">
        <v>91</v>
      </c>
      <c r="C304" s="49" t="s">
        <v>52</v>
      </c>
      <c r="D304" s="49">
        <v>0</v>
      </c>
      <c r="E304" s="49">
        <v>0</v>
      </c>
      <c r="F304" s="49">
        <f>E304-D304</f>
        <v>0</v>
      </c>
      <c r="G304" s="50">
        <f>IF(D304=0,0,ABS(F304/D304))</f>
        <v>0</v>
      </c>
      <c r="H304" s="49">
        <v>0</v>
      </c>
      <c r="I304" s="49">
        <v>0</v>
      </c>
      <c r="J304" s="51" t="str">
        <f>IF(H304=0,"No plan at start",I304/H304)</f>
        <v>No plan at start</v>
      </c>
      <c r="K304" s="52">
        <f>H304-I304</f>
        <v>0</v>
      </c>
      <c r="L304" s="49">
        <v>0</v>
      </c>
      <c r="M304" s="49">
        <f>I304+L304</f>
        <v>0</v>
      </c>
      <c r="N304" s="49">
        <f>M304-H304</f>
        <v>0</v>
      </c>
      <c r="O304" s="50" t="str">
        <f>IF(H304=0,"No plan at start",M304/H304)</f>
        <v>No plan at start</v>
      </c>
      <c r="P304" s="53"/>
      <c r="Q304" s="54"/>
      <c r="R304" s="55"/>
      <c r="S304" s="55"/>
    </row>
    <row r="305" spans="1:19" s="10" customFormat="1" hidden="1" outlineLevel="2" x14ac:dyDescent="0.2">
      <c r="A305" s="11"/>
      <c r="B305" s="49" t="s">
        <v>91</v>
      </c>
      <c r="C305" s="49" t="s">
        <v>53</v>
      </c>
      <c r="D305" s="49">
        <v>0</v>
      </c>
      <c r="E305" s="49">
        <v>0</v>
      </c>
      <c r="F305" s="49">
        <f>E305-D305</f>
        <v>0</v>
      </c>
      <c r="G305" s="50">
        <f>IF(D305=0,0,ABS(F305/D305))</f>
        <v>0</v>
      </c>
      <c r="H305" s="49">
        <v>0</v>
      </c>
      <c r="I305" s="49">
        <v>0</v>
      </c>
      <c r="J305" s="51" t="str">
        <f>IF(H305=0,"No plan at start",I305/H305)</f>
        <v>No plan at start</v>
      </c>
      <c r="K305" s="52">
        <f>H305-I305</f>
        <v>0</v>
      </c>
      <c r="L305" s="49">
        <v>0</v>
      </c>
      <c r="M305" s="49">
        <f>I305+L305</f>
        <v>0</v>
      </c>
      <c r="N305" s="49">
        <f>M305-H305</f>
        <v>0</v>
      </c>
      <c r="O305" s="50" t="str">
        <f>IF(H305=0,"No plan at start",M305/H305)</f>
        <v>No plan at start</v>
      </c>
      <c r="P305" s="53"/>
      <c r="Q305" s="54"/>
      <c r="R305" s="55"/>
      <c r="S305" s="55"/>
    </row>
    <row r="306" spans="1:19" s="10" customFormat="1" hidden="1" outlineLevel="2" x14ac:dyDescent="0.2">
      <c r="A306" s="11"/>
      <c r="B306" s="49" t="s">
        <v>91</v>
      </c>
      <c r="C306" s="49" t="s">
        <v>54</v>
      </c>
      <c r="D306" s="49">
        <v>0</v>
      </c>
      <c r="E306" s="49">
        <v>0</v>
      </c>
      <c r="F306" s="49">
        <f>E306-D306</f>
        <v>0</v>
      </c>
      <c r="G306" s="50">
        <f>IF(D306=0,0,ABS(F306/D306))</f>
        <v>0</v>
      </c>
      <c r="H306" s="49">
        <v>0</v>
      </c>
      <c r="I306" s="49">
        <v>0</v>
      </c>
      <c r="J306" s="51" t="str">
        <f>IF(H306=0,"No plan at start",I306/H306)</f>
        <v>No plan at start</v>
      </c>
      <c r="K306" s="52">
        <f>H306-I306</f>
        <v>0</v>
      </c>
      <c r="L306" s="49">
        <v>0</v>
      </c>
      <c r="M306" s="49">
        <f>I306+L306</f>
        <v>0</v>
      </c>
      <c r="N306" s="49">
        <f>M306-H306</f>
        <v>0</v>
      </c>
      <c r="O306" s="50" t="str">
        <f>IF(H306=0,"No plan at start",M306/H306)</f>
        <v>No plan at start</v>
      </c>
      <c r="P306" s="53"/>
      <c r="Q306" s="54"/>
      <c r="R306" s="55"/>
      <c r="S306" s="55"/>
    </row>
    <row r="307" spans="1:19" s="10" customFormat="1" hidden="1" outlineLevel="2" x14ac:dyDescent="0.2">
      <c r="A307" s="11"/>
      <c r="B307" s="49" t="s">
        <v>91</v>
      </c>
      <c r="C307" s="49" t="s">
        <v>55</v>
      </c>
      <c r="D307" s="49">
        <v>0</v>
      </c>
      <c r="E307" s="49">
        <v>0</v>
      </c>
      <c r="F307" s="49">
        <f>E307-D307</f>
        <v>0</v>
      </c>
      <c r="G307" s="50">
        <f>IF(D307=0,0,ABS(F307/D307))</f>
        <v>0</v>
      </c>
      <c r="H307" s="49">
        <v>0</v>
      </c>
      <c r="I307" s="49">
        <v>10</v>
      </c>
      <c r="J307" s="51" t="str">
        <f>IF(H307=0,"No plan at start",I307/H307)</f>
        <v>No plan at start</v>
      </c>
      <c r="K307" s="52">
        <f>H307-I307</f>
        <v>-10</v>
      </c>
      <c r="L307" s="49">
        <v>0</v>
      </c>
      <c r="M307" s="49">
        <f>I307+L307</f>
        <v>10</v>
      </c>
      <c r="N307" s="49">
        <f>M307-H307</f>
        <v>10</v>
      </c>
      <c r="O307" s="50" t="str">
        <f>IF(H307=0,"No plan at start",M307/H307)</f>
        <v>No plan at start</v>
      </c>
      <c r="P307" s="53"/>
      <c r="Q307" s="54"/>
      <c r="R307" s="55"/>
      <c r="S307" s="55"/>
    </row>
    <row r="308" spans="1:19" s="10" customFormat="1" hidden="1" outlineLevel="2" x14ac:dyDescent="0.2">
      <c r="A308" s="11"/>
      <c r="B308" s="49" t="s">
        <v>91</v>
      </c>
      <c r="C308" s="49" t="s">
        <v>56</v>
      </c>
      <c r="D308" s="49">
        <v>0</v>
      </c>
      <c r="E308" s="49">
        <v>0</v>
      </c>
      <c r="F308" s="49">
        <f>E308-D308</f>
        <v>0</v>
      </c>
      <c r="G308" s="50">
        <f>IF(D308=0,0,ABS(F308/D308))</f>
        <v>0</v>
      </c>
      <c r="H308" s="49">
        <v>0</v>
      </c>
      <c r="I308" s="49">
        <v>0</v>
      </c>
      <c r="J308" s="51" t="str">
        <f>IF(H308=0,"No plan at start",I308/H308)</f>
        <v>No plan at start</v>
      </c>
      <c r="K308" s="52">
        <f>H308-I308</f>
        <v>0</v>
      </c>
      <c r="L308" s="49">
        <v>0</v>
      </c>
      <c r="M308" s="49">
        <f>I308+L308</f>
        <v>0</v>
      </c>
      <c r="N308" s="49">
        <f>M308-H308</f>
        <v>0</v>
      </c>
      <c r="O308" s="50" t="str">
        <f>IF(H308=0,"No plan at start",M308/H308)</f>
        <v>No plan at start</v>
      </c>
      <c r="P308" s="53"/>
      <c r="Q308" s="54"/>
      <c r="R308" s="55"/>
      <c r="S308" s="55"/>
    </row>
    <row r="309" spans="1:19" s="10" customFormat="1" hidden="1" outlineLevel="2" x14ac:dyDescent="0.2">
      <c r="A309" s="11"/>
      <c r="B309" s="49" t="s">
        <v>91</v>
      </c>
      <c r="C309" s="49" t="s">
        <v>57</v>
      </c>
      <c r="D309" s="49">
        <v>0</v>
      </c>
      <c r="E309" s="49">
        <v>0</v>
      </c>
      <c r="F309" s="49">
        <f>E309-D309</f>
        <v>0</v>
      </c>
      <c r="G309" s="50">
        <f>IF(D309=0,0,ABS(F309/D309))</f>
        <v>0</v>
      </c>
      <c r="H309" s="49">
        <v>0</v>
      </c>
      <c r="I309" s="49">
        <v>0</v>
      </c>
      <c r="J309" s="51" t="str">
        <f>IF(H309=0,"No plan at start",I309/H309)</f>
        <v>No plan at start</v>
      </c>
      <c r="K309" s="52">
        <f>H309-I309</f>
        <v>0</v>
      </c>
      <c r="L309" s="49">
        <v>0</v>
      </c>
      <c r="M309" s="49">
        <f>I309+L309</f>
        <v>0</v>
      </c>
      <c r="N309" s="49">
        <f>M309-H309</f>
        <v>0</v>
      </c>
      <c r="O309" s="50" t="str">
        <f>IF(H309=0,"No plan at start",M309/H309)</f>
        <v>No plan at start</v>
      </c>
      <c r="P309" s="53"/>
      <c r="Q309" s="54"/>
      <c r="R309" s="55"/>
      <c r="S309" s="55"/>
    </row>
    <row r="310" spans="1:19" s="10" customFormat="1" hidden="1" outlineLevel="2" x14ac:dyDescent="0.2">
      <c r="A310" s="11"/>
      <c r="B310" s="49" t="s">
        <v>91</v>
      </c>
      <c r="C310" s="49" t="s">
        <v>58</v>
      </c>
      <c r="D310" s="49">
        <v>0</v>
      </c>
      <c r="E310" s="49">
        <v>0</v>
      </c>
      <c r="F310" s="49">
        <f>E310-D310</f>
        <v>0</v>
      </c>
      <c r="G310" s="50">
        <f>IF(D310=0,0,ABS(F310/D310))</f>
        <v>0</v>
      </c>
      <c r="H310" s="49">
        <v>0</v>
      </c>
      <c r="I310" s="49">
        <v>0</v>
      </c>
      <c r="J310" s="51" t="str">
        <f>IF(H310=0,"No plan at start",I310/H310)</f>
        <v>No plan at start</v>
      </c>
      <c r="K310" s="52">
        <f>H310-I310</f>
        <v>0</v>
      </c>
      <c r="L310" s="49">
        <v>0</v>
      </c>
      <c r="M310" s="49">
        <f>I310+L310</f>
        <v>0</v>
      </c>
      <c r="N310" s="49">
        <f>M310-H310</f>
        <v>0</v>
      </c>
      <c r="O310" s="50" t="str">
        <f>IF(H310=0,"No plan at start",M310/H310)</f>
        <v>No plan at start</v>
      </c>
      <c r="P310" s="53"/>
      <c r="Q310" s="54"/>
      <c r="R310" s="55"/>
      <c r="S310" s="55"/>
    </row>
    <row r="311" spans="1:19" s="10" customFormat="1" hidden="1" outlineLevel="2" x14ac:dyDescent="0.2">
      <c r="A311" s="11"/>
      <c r="B311" s="49" t="s">
        <v>91</v>
      </c>
      <c r="C311" s="49" t="s">
        <v>59</v>
      </c>
      <c r="D311" s="49">
        <v>0</v>
      </c>
      <c r="E311" s="49">
        <v>0</v>
      </c>
      <c r="F311" s="49">
        <f>E311-D311</f>
        <v>0</v>
      </c>
      <c r="G311" s="50">
        <f>IF(D311=0,0,ABS(F311/D311))</f>
        <v>0</v>
      </c>
      <c r="H311" s="49">
        <v>0</v>
      </c>
      <c r="I311" s="49">
        <v>0</v>
      </c>
      <c r="J311" s="51" t="str">
        <f>IF(H311=0,"No plan at start",I311/H311)</f>
        <v>No plan at start</v>
      </c>
      <c r="K311" s="52">
        <f>H311-I311</f>
        <v>0</v>
      </c>
      <c r="L311" s="49">
        <v>0</v>
      </c>
      <c r="M311" s="49">
        <f>I311+L311</f>
        <v>0</v>
      </c>
      <c r="N311" s="49">
        <f>M311-H311</f>
        <v>0</v>
      </c>
      <c r="O311" s="50" t="str">
        <f>IF(H311=0,"No plan at start",M311/H311)</f>
        <v>No plan at start</v>
      </c>
      <c r="P311" s="53"/>
      <c r="Q311" s="54"/>
      <c r="R311" s="55"/>
      <c r="S311" s="55"/>
    </row>
    <row r="312" spans="1:19" s="10" customFormat="1" outlineLevel="1" collapsed="1" x14ac:dyDescent="0.2">
      <c r="A312" s="11"/>
      <c r="B312" s="56" t="s">
        <v>130</v>
      </c>
      <c r="C312" s="49"/>
      <c r="D312" s="49">
        <f>SUBTOTAL(9,D304:D311)</f>
        <v>0</v>
      </c>
      <c r="E312" s="49">
        <f>SUBTOTAL(9,E304:E311)</f>
        <v>0</v>
      </c>
      <c r="F312" s="49">
        <f>SUBTOTAL(9,F304:F311)</f>
        <v>0</v>
      </c>
      <c r="G312" s="50">
        <f>IF(D312=0,0,ABS(F312/D312))</f>
        <v>0</v>
      </c>
      <c r="H312" s="49">
        <f>SUBTOTAL(9,H304:H311)</f>
        <v>0</v>
      </c>
      <c r="I312" s="49">
        <f>SUBTOTAL(9,I304:I311)</f>
        <v>10</v>
      </c>
      <c r="J312" s="51" t="str">
        <f>IF(H312=0,"No plan at start",I312/H312)</f>
        <v>No plan at start</v>
      </c>
      <c r="K312" s="52">
        <f>SUBTOTAL(9,K304:K311)</f>
        <v>-10</v>
      </c>
      <c r="L312" s="49">
        <f>SUBTOTAL(9,L304:L311)</f>
        <v>0</v>
      </c>
      <c r="M312" s="49">
        <f>SUBTOTAL(9,M304:M311)</f>
        <v>10</v>
      </c>
      <c r="N312" s="49">
        <f>SUBTOTAL(9,N304:N311)</f>
        <v>10</v>
      </c>
      <c r="O312" s="50" t="str">
        <f>IF(H312=0,"No plan at start",M312/H312)</f>
        <v>No plan at start</v>
      </c>
      <c r="P312" s="53"/>
      <c r="Q312" s="54"/>
      <c r="R312" s="55"/>
      <c r="S312" s="55"/>
    </row>
    <row r="313" spans="1:19" s="10" customFormat="1" hidden="1" outlineLevel="2" x14ac:dyDescent="0.2">
      <c r="A313" s="11"/>
      <c r="B313" s="49" t="s">
        <v>92</v>
      </c>
      <c r="C313" s="49" t="s">
        <v>52</v>
      </c>
      <c r="D313" s="49">
        <v>0</v>
      </c>
      <c r="E313" s="49">
        <v>0</v>
      </c>
      <c r="F313" s="49">
        <f>E313-D313</f>
        <v>0</v>
      </c>
      <c r="G313" s="50">
        <f>IF(D313=0,0,ABS(F313/D313))</f>
        <v>0</v>
      </c>
      <c r="H313" s="49">
        <v>0</v>
      </c>
      <c r="I313" s="49">
        <v>0</v>
      </c>
      <c r="J313" s="51" t="str">
        <f>IF(H313=0,"No plan at start",I313/H313)</f>
        <v>No plan at start</v>
      </c>
      <c r="K313" s="52">
        <f>H313-I313</f>
        <v>0</v>
      </c>
      <c r="L313" s="49">
        <v>0</v>
      </c>
      <c r="M313" s="49">
        <f>I313+L313</f>
        <v>0</v>
      </c>
      <c r="N313" s="49">
        <f>M313-H313</f>
        <v>0</v>
      </c>
      <c r="O313" s="50" t="str">
        <f>IF(H313=0,"No plan at start",M313/H313)</f>
        <v>No plan at start</v>
      </c>
      <c r="P313" s="53"/>
      <c r="Q313" s="54"/>
      <c r="R313" s="55"/>
      <c r="S313" s="55"/>
    </row>
    <row r="314" spans="1:19" s="10" customFormat="1" hidden="1" outlineLevel="2" x14ac:dyDescent="0.2">
      <c r="A314" s="11"/>
      <c r="B314" s="49" t="s">
        <v>92</v>
      </c>
      <c r="C314" s="49" t="s">
        <v>53</v>
      </c>
      <c r="D314" s="49">
        <v>0</v>
      </c>
      <c r="E314" s="49">
        <v>0</v>
      </c>
      <c r="F314" s="49">
        <f>E314-D314</f>
        <v>0</v>
      </c>
      <c r="G314" s="50">
        <f>IF(D314=0,0,ABS(F314/D314))</f>
        <v>0</v>
      </c>
      <c r="H314" s="49">
        <v>0</v>
      </c>
      <c r="I314" s="49">
        <v>0</v>
      </c>
      <c r="J314" s="51" t="str">
        <f>IF(H314=0,"No plan at start",I314/H314)</f>
        <v>No plan at start</v>
      </c>
      <c r="K314" s="52">
        <f>H314-I314</f>
        <v>0</v>
      </c>
      <c r="L314" s="49">
        <v>0</v>
      </c>
      <c r="M314" s="49">
        <f>I314+L314</f>
        <v>0</v>
      </c>
      <c r="N314" s="49">
        <f>M314-H314</f>
        <v>0</v>
      </c>
      <c r="O314" s="50" t="str">
        <f>IF(H314=0,"No plan at start",M314/H314)</f>
        <v>No plan at start</v>
      </c>
      <c r="P314" s="53"/>
      <c r="Q314" s="54"/>
      <c r="R314" s="55"/>
      <c r="S314" s="55"/>
    </row>
    <row r="315" spans="1:19" s="10" customFormat="1" hidden="1" outlineLevel="2" x14ac:dyDescent="0.2">
      <c r="A315" s="11"/>
      <c r="B315" s="49" t="s">
        <v>92</v>
      </c>
      <c r="C315" s="49" t="s">
        <v>54</v>
      </c>
      <c r="D315" s="49">
        <v>0</v>
      </c>
      <c r="E315" s="49">
        <v>0</v>
      </c>
      <c r="F315" s="49">
        <f>E315-D315</f>
        <v>0</v>
      </c>
      <c r="G315" s="50">
        <f>IF(D315=0,0,ABS(F315/D315))</f>
        <v>0</v>
      </c>
      <c r="H315" s="49">
        <v>0</v>
      </c>
      <c r="I315" s="49">
        <v>0</v>
      </c>
      <c r="J315" s="51" t="str">
        <f>IF(H315=0,"No plan at start",I315/H315)</f>
        <v>No plan at start</v>
      </c>
      <c r="K315" s="52">
        <f>H315-I315</f>
        <v>0</v>
      </c>
      <c r="L315" s="49">
        <v>0</v>
      </c>
      <c r="M315" s="49">
        <f>I315+L315</f>
        <v>0</v>
      </c>
      <c r="N315" s="49">
        <f>M315-H315</f>
        <v>0</v>
      </c>
      <c r="O315" s="50" t="str">
        <f>IF(H315=0,"No plan at start",M315/H315)</f>
        <v>No plan at start</v>
      </c>
      <c r="P315" s="53"/>
      <c r="Q315" s="54"/>
      <c r="R315" s="55"/>
      <c r="S315" s="55"/>
    </row>
    <row r="316" spans="1:19" s="10" customFormat="1" hidden="1" outlineLevel="2" x14ac:dyDescent="0.2">
      <c r="A316" s="11"/>
      <c r="B316" s="49" t="s">
        <v>92</v>
      </c>
      <c r="C316" s="49" t="s">
        <v>55</v>
      </c>
      <c r="D316" s="49">
        <v>38.999999999999993</v>
      </c>
      <c r="E316" s="49">
        <v>8.5</v>
      </c>
      <c r="F316" s="49">
        <f>E316-D316</f>
        <v>-30.499999999999993</v>
      </c>
      <c r="G316" s="50">
        <f>IF(D316=0,0,ABS(F316/D316))</f>
        <v>0.78205128205128205</v>
      </c>
      <c r="H316" s="49">
        <v>133</v>
      </c>
      <c r="I316" s="49">
        <v>57.5</v>
      </c>
      <c r="J316" s="51">
        <f>IF(H316=0,"No plan at start",I316/H316)</f>
        <v>0.43233082706766918</v>
      </c>
      <c r="K316" s="52">
        <f>H316-I316</f>
        <v>75.5</v>
      </c>
      <c r="L316" s="49">
        <v>77.999999999999986</v>
      </c>
      <c r="M316" s="49">
        <f>I316+L316</f>
        <v>135.5</v>
      </c>
      <c r="N316" s="49">
        <f>M316-H316</f>
        <v>2.5</v>
      </c>
      <c r="O316" s="50">
        <f>IF(H316=0,"No plan at start",M316/H316)</f>
        <v>1.018796992481203</v>
      </c>
      <c r="P316" s="53"/>
      <c r="Q316" s="54"/>
      <c r="R316" s="55"/>
      <c r="S316" s="55"/>
    </row>
    <row r="317" spans="1:19" s="10" customFormat="1" hidden="1" outlineLevel="2" x14ac:dyDescent="0.2">
      <c r="A317" s="11"/>
      <c r="B317" s="49" t="s">
        <v>92</v>
      </c>
      <c r="C317" s="49" t="s">
        <v>56</v>
      </c>
      <c r="D317" s="49">
        <v>0</v>
      </c>
      <c r="E317" s="49">
        <v>0</v>
      </c>
      <c r="F317" s="49">
        <f>E317-D317</f>
        <v>0</v>
      </c>
      <c r="G317" s="50">
        <f>IF(D317=0,0,ABS(F317/D317))</f>
        <v>0</v>
      </c>
      <c r="H317" s="49">
        <v>0</v>
      </c>
      <c r="I317" s="49">
        <v>0</v>
      </c>
      <c r="J317" s="51" t="str">
        <f>IF(H317=0,"No plan at start",I317/H317)</f>
        <v>No plan at start</v>
      </c>
      <c r="K317" s="52">
        <f>H317-I317</f>
        <v>0</v>
      </c>
      <c r="L317" s="49">
        <v>0</v>
      </c>
      <c r="M317" s="49">
        <f>I317+L317</f>
        <v>0</v>
      </c>
      <c r="N317" s="49">
        <f>M317-H317</f>
        <v>0</v>
      </c>
      <c r="O317" s="50" t="str">
        <f>IF(H317=0,"No plan at start",M317/H317)</f>
        <v>No plan at start</v>
      </c>
      <c r="P317" s="53"/>
      <c r="Q317" s="54"/>
      <c r="R317" s="55"/>
      <c r="S317" s="55"/>
    </row>
    <row r="318" spans="1:19" s="10" customFormat="1" hidden="1" outlineLevel="2" x14ac:dyDescent="0.2">
      <c r="A318" s="11"/>
      <c r="B318" s="49" t="s">
        <v>92</v>
      </c>
      <c r="C318" s="49" t="s">
        <v>57</v>
      </c>
      <c r="D318" s="49">
        <v>0</v>
      </c>
      <c r="E318" s="49">
        <v>0</v>
      </c>
      <c r="F318" s="49">
        <f>E318-D318</f>
        <v>0</v>
      </c>
      <c r="G318" s="50">
        <f>IF(D318=0,0,ABS(F318/D318))</f>
        <v>0</v>
      </c>
      <c r="H318" s="49">
        <v>0</v>
      </c>
      <c r="I318" s="49">
        <v>0</v>
      </c>
      <c r="J318" s="51" t="str">
        <f>IF(H318=0,"No plan at start",I318/H318)</f>
        <v>No plan at start</v>
      </c>
      <c r="K318" s="52">
        <f>H318-I318</f>
        <v>0</v>
      </c>
      <c r="L318" s="49">
        <v>0</v>
      </c>
      <c r="M318" s="49">
        <f>I318+L318</f>
        <v>0</v>
      </c>
      <c r="N318" s="49">
        <f>M318-H318</f>
        <v>0</v>
      </c>
      <c r="O318" s="50" t="str">
        <f>IF(H318=0,"No plan at start",M318/H318)</f>
        <v>No plan at start</v>
      </c>
      <c r="P318" s="53"/>
      <c r="Q318" s="54"/>
      <c r="R318" s="55"/>
      <c r="S318" s="55"/>
    </row>
    <row r="319" spans="1:19" s="10" customFormat="1" hidden="1" outlineLevel="2" x14ac:dyDescent="0.2">
      <c r="A319" s="11"/>
      <c r="B319" s="49" t="s">
        <v>92</v>
      </c>
      <c r="C319" s="49" t="s">
        <v>58</v>
      </c>
      <c r="D319" s="49">
        <v>0</v>
      </c>
      <c r="E319" s="49">
        <v>0</v>
      </c>
      <c r="F319" s="49">
        <f>E319-D319</f>
        <v>0</v>
      </c>
      <c r="G319" s="50">
        <f>IF(D319=0,0,ABS(F319/D319))</f>
        <v>0</v>
      </c>
      <c r="H319" s="49">
        <v>0</v>
      </c>
      <c r="I319" s="49">
        <v>0</v>
      </c>
      <c r="J319" s="51" t="str">
        <f>IF(H319=0,"No plan at start",I319/H319)</f>
        <v>No plan at start</v>
      </c>
      <c r="K319" s="52">
        <f>H319-I319</f>
        <v>0</v>
      </c>
      <c r="L319" s="49">
        <v>0</v>
      </c>
      <c r="M319" s="49">
        <f>I319+L319</f>
        <v>0</v>
      </c>
      <c r="N319" s="49">
        <f>M319-H319</f>
        <v>0</v>
      </c>
      <c r="O319" s="50" t="str">
        <f>IF(H319=0,"No plan at start",M319/H319)</f>
        <v>No plan at start</v>
      </c>
      <c r="P319" s="53"/>
      <c r="Q319" s="54"/>
      <c r="R319" s="55"/>
      <c r="S319" s="55"/>
    </row>
    <row r="320" spans="1:19" s="10" customFormat="1" hidden="1" outlineLevel="2" x14ac:dyDescent="0.2">
      <c r="A320" s="11"/>
      <c r="B320" s="49" t="s">
        <v>92</v>
      </c>
      <c r="C320" s="49" t="s">
        <v>59</v>
      </c>
      <c r="D320" s="49">
        <v>0</v>
      </c>
      <c r="E320" s="49">
        <v>0</v>
      </c>
      <c r="F320" s="49">
        <f>E320-D320</f>
        <v>0</v>
      </c>
      <c r="G320" s="50">
        <f>IF(D320=0,0,ABS(F320/D320))</f>
        <v>0</v>
      </c>
      <c r="H320" s="49">
        <v>0</v>
      </c>
      <c r="I320" s="49">
        <v>0</v>
      </c>
      <c r="J320" s="51" t="str">
        <f>IF(H320=0,"No plan at start",I320/H320)</f>
        <v>No plan at start</v>
      </c>
      <c r="K320" s="52">
        <f>H320-I320</f>
        <v>0</v>
      </c>
      <c r="L320" s="49">
        <v>0</v>
      </c>
      <c r="M320" s="49">
        <f>I320+L320</f>
        <v>0</v>
      </c>
      <c r="N320" s="49">
        <f>M320-H320</f>
        <v>0</v>
      </c>
      <c r="O320" s="50" t="str">
        <f>IF(H320=0,"No plan at start",M320/H320)</f>
        <v>No plan at start</v>
      </c>
      <c r="P320" s="53"/>
      <c r="Q320" s="54"/>
      <c r="R320" s="55"/>
      <c r="S320" s="55"/>
    </row>
    <row r="321" spans="1:19" s="10" customFormat="1" outlineLevel="1" collapsed="1" x14ac:dyDescent="0.2">
      <c r="A321" s="11"/>
      <c r="B321" s="56" t="s">
        <v>131</v>
      </c>
      <c r="C321" s="49"/>
      <c r="D321" s="49">
        <f>SUBTOTAL(9,D313:D320)</f>
        <v>38.999999999999993</v>
      </c>
      <c r="E321" s="49">
        <f>SUBTOTAL(9,E313:E320)</f>
        <v>8.5</v>
      </c>
      <c r="F321" s="49">
        <f>SUBTOTAL(9,F313:F320)</f>
        <v>-30.499999999999993</v>
      </c>
      <c r="G321" s="50">
        <f>IF(D321=0,0,ABS(F321/D321))</f>
        <v>0.78205128205128205</v>
      </c>
      <c r="H321" s="49">
        <f>SUBTOTAL(9,H313:H320)</f>
        <v>133</v>
      </c>
      <c r="I321" s="49">
        <f>SUBTOTAL(9,I313:I320)</f>
        <v>57.5</v>
      </c>
      <c r="J321" s="51">
        <f>IF(H321=0,"No plan at start",I321/H321)</f>
        <v>0.43233082706766918</v>
      </c>
      <c r="K321" s="52">
        <f>SUBTOTAL(9,K313:K320)</f>
        <v>75.5</v>
      </c>
      <c r="L321" s="49">
        <f>SUBTOTAL(9,L313:L320)</f>
        <v>77.999999999999986</v>
      </c>
      <c r="M321" s="49">
        <f>SUBTOTAL(9,M313:M320)</f>
        <v>135.5</v>
      </c>
      <c r="N321" s="49">
        <f>SUBTOTAL(9,N313:N320)</f>
        <v>2.5</v>
      </c>
      <c r="O321" s="50">
        <f>IF(H321=0,"No plan at start",M321/H321)</f>
        <v>1.018796992481203</v>
      </c>
      <c r="P321" s="53"/>
      <c r="Q321" s="54"/>
      <c r="R321" s="55"/>
      <c r="S321" s="55"/>
    </row>
    <row r="322" spans="1:19" s="10" customFormat="1" hidden="1" outlineLevel="2" x14ac:dyDescent="0.2">
      <c r="A322" s="11"/>
      <c r="B322" s="49" t="s">
        <v>93</v>
      </c>
      <c r="C322" s="49" t="s">
        <v>52</v>
      </c>
      <c r="D322" s="49">
        <v>1642</v>
      </c>
      <c r="E322" s="49">
        <v>22.5</v>
      </c>
      <c r="F322" s="49">
        <f>E322-D322</f>
        <v>-1619.5</v>
      </c>
      <c r="G322" s="50">
        <f>IF(D322=0,0,ABS(F322/D322))</f>
        <v>0.98629719853836784</v>
      </c>
      <c r="H322" s="49">
        <v>3644</v>
      </c>
      <c r="I322" s="49">
        <v>308.5</v>
      </c>
      <c r="J322" s="51">
        <f>IF(H322=0,"No plan at start",I322/H322)</f>
        <v>8.4659714599341379E-2</v>
      </c>
      <c r="K322" s="52">
        <f>H322-I322</f>
        <v>3335.5</v>
      </c>
      <c r="L322" s="49">
        <v>3284</v>
      </c>
      <c r="M322" s="49">
        <f>I322+L322</f>
        <v>3592.5</v>
      </c>
      <c r="N322" s="49">
        <f>M322-H322</f>
        <v>-51.5</v>
      </c>
      <c r="O322" s="50">
        <f>IF(H322=0,"No plan at start",M322/H322)</f>
        <v>0.98586717892425901</v>
      </c>
      <c r="P322" s="53"/>
      <c r="Q322" s="54"/>
      <c r="R322" s="55"/>
      <c r="S322" s="55"/>
    </row>
    <row r="323" spans="1:19" s="10" customFormat="1" hidden="1" outlineLevel="2" x14ac:dyDescent="0.2">
      <c r="A323" s="11"/>
      <c r="B323" s="49" t="s">
        <v>93</v>
      </c>
      <c r="C323" s="49" t="s">
        <v>53</v>
      </c>
      <c r="D323" s="49">
        <v>0</v>
      </c>
      <c r="E323" s="49">
        <v>0</v>
      </c>
      <c r="F323" s="49">
        <f>E323-D323</f>
        <v>0</v>
      </c>
      <c r="G323" s="50">
        <f>IF(D323=0,0,ABS(F323/D323))</f>
        <v>0</v>
      </c>
      <c r="H323" s="49">
        <v>0</v>
      </c>
      <c r="I323" s="49">
        <v>0</v>
      </c>
      <c r="J323" s="51" t="str">
        <f>IF(H323=0,"No plan at start",I323/H323)</f>
        <v>No plan at start</v>
      </c>
      <c r="K323" s="52">
        <f>H323-I323</f>
        <v>0</v>
      </c>
      <c r="L323" s="49">
        <v>0</v>
      </c>
      <c r="M323" s="49">
        <f>I323+L323</f>
        <v>0</v>
      </c>
      <c r="N323" s="49">
        <f>M323-H323</f>
        <v>0</v>
      </c>
      <c r="O323" s="50" t="str">
        <f>IF(H323=0,"No plan at start",M323/H323)</f>
        <v>No plan at start</v>
      </c>
      <c r="P323" s="53"/>
      <c r="Q323" s="54"/>
      <c r="R323" s="55"/>
      <c r="S323" s="55"/>
    </row>
    <row r="324" spans="1:19" s="10" customFormat="1" hidden="1" outlineLevel="2" x14ac:dyDescent="0.2">
      <c r="A324" s="11"/>
      <c r="B324" s="49" t="s">
        <v>93</v>
      </c>
      <c r="C324" s="49" t="s">
        <v>54</v>
      </c>
      <c r="D324" s="49">
        <v>0</v>
      </c>
      <c r="E324" s="49">
        <v>0</v>
      </c>
      <c r="F324" s="49">
        <f>E324-D324</f>
        <v>0</v>
      </c>
      <c r="G324" s="50">
        <f>IF(D324=0,0,ABS(F324/D324))</f>
        <v>0</v>
      </c>
      <c r="H324" s="49">
        <v>0</v>
      </c>
      <c r="I324" s="49">
        <v>0</v>
      </c>
      <c r="J324" s="51" t="str">
        <f>IF(H324=0,"No plan at start",I324/H324)</f>
        <v>No plan at start</v>
      </c>
      <c r="K324" s="52">
        <f>H324-I324</f>
        <v>0</v>
      </c>
      <c r="L324" s="49">
        <v>0</v>
      </c>
      <c r="M324" s="49">
        <f>I324+L324</f>
        <v>0</v>
      </c>
      <c r="N324" s="49">
        <f>M324-H324</f>
        <v>0</v>
      </c>
      <c r="O324" s="50" t="str">
        <f>IF(H324=0,"No plan at start",M324/H324)</f>
        <v>No plan at start</v>
      </c>
      <c r="P324" s="53"/>
      <c r="Q324" s="54"/>
      <c r="R324" s="55"/>
      <c r="S324" s="55"/>
    </row>
    <row r="325" spans="1:19" s="10" customFormat="1" hidden="1" outlineLevel="2" x14ac:dyDescent="0.2">
      <c r="A325" s="11"/>
      <c r="B325" s="49" t="s">
        <v>93</v>
      </c>
      <c r="C325" s="49" t="s">
        <v>55</v>
      </c>
      <c r="D325" s="49">
        <v>0</v>
      </c>
      <c r="E325" s="49">
        <v>0</v>
      </c>
      <c r="F325" s="49">
        <f>E325-D325</f>
        <v>0</v>
      </c>
      <c r="G325" s="50">
        <f>IF(D325=0,0,ABS(F325/D325))</f>
        <v>0</v>
      </c>
      <c r="H325" s="49">
        <v>0</v>
      </c>
      <c r="I325" s="49">
        <v>0</v>
      </c>
      <c r="J325" s="51" t="str">
        <f>IF(H325=0,"No plan at start",I325/H325)</f>
        <v>No plan at start</v>
      </c>
      <c r="K325" s="52">
        <f>H325-I325</f>
        <v>0</v>
      </c>
      <c r="L325" s="49">
        <v>0</v>
      </c>
      <c r="M325" s="49">
        <f>I325+L325</f>
        <v>0</v>
      </c>
      <c r="N325" s="49">
        <f>M325-H325</f>
        <v>0</v>
      </c>
      <c r="O325" s="50" t="str">
        <f>IF(H325=0,"No plan at start",M325/H325)</f>
        <v>No plan at start</v>
      </c>
      <c r="P325" s="53"/>
      <c r="Q325" s="54"/>
      <c r="R325" s="55"/>
      <c r="S325" s="55"/>
    </row>
    <row r="326" spans="1:19" s="10" customFormat="1" hidden="1" outlineLevel="2" x14ac:dyDescent="0.2">
      <c r="A326" s="11"/>
      <c r="B326" s="49" t="s">
        <v>93</v>
      </c>
      <c r="C326" s="49" t="s">
        <v>56</v>
      </c>
      <c r="D326" s="49">
        <v>0</v>
      </c>
      <c r="E326" s="49">
        <v>0</v>
      </c>
      <c r="F326" s="49">
        <f>E326-D326</f>
        <v>0</v>
      </c>
      <c r="G326" s="50">
        <f>IF(D326=0,0,ABS(F326/D326))</f>
        <v>0</v>
      </c>
      <c r="H326" s="49">
        <v>0</v>
      </c>
      <c r="I326" s="49">
        <v>0</v>
      </c>
      <c r="J326" s="51" t="str">
        <f>IF(H326=0,"No plan at start",I326/H326)</f>
        <v>No plan at start</v>
      </c>
      <c r="K326" s="52">
        <f>H326-I326</f>
        <v>0</v>
      </c>
      <c r="L326" s="49">
        <v>0</v>
      </c>
      <c r="M326" s="49">
        <f>I326+L326</f>
        <v>0</v>
      </c>
      <c r="N326" s="49">
        <f>M326-H326</f>
        <v>0</v>
      </c>
      <c r="O326" s="50" t="str">
        <f>IF(H326=0,"No plan at start",M326/H326)</f>
        <v>No plan at start</v>
      </c>
      <c r="P326" s="53"/>
      <c r="Q326" s="54"/>
      <c r="R326" s="55"/>
      <c r="S326" s="55"/>
    </row>
    <row r="327" spans="1:19" s="10" customFormat="1" hidden="1" outlineLevel="2" x14ac:dyDescent="0.2">
      <c r="A327" s="11"/>
      <c r="B327" s="49" t="s">
        <v>93</v>
      </c>
      <c r="C327" s="49" t="s">
        <v>57</v>
      </c>
      <c r="D327" s="49">
        <v>0</v>
      </c>
      <c r="E327" s="49">
        <v>0</v>
      </c>
      <c r="F327" s="49">
        <f>E327-D327</f>
        <v>0</v>
      </c>
      <c r="G327" s="50">
        <f>IF(D327=0,0,ABS(F327/D327))</f>
        <v>0</v>
      </c>
      <c r="H327" s="49">
        <v>0</v>
      </c>
      <c r="I327" s="49">
        <v>0</v>
      </c>
      <c r="J327" s="51" t="str">
        <f>IF(H327=0,"No plan at start",I327/H327)</f>
        <v>No plan at start</v>
      </c>
      <c r="K327" s="52">
        <f>H327-I327</f>
        <v>0</v>
      </c>
      <c r="L327" s="49">
        <v>0</v>
      </c>
      <c r="M327" s="49">
        <f>I327+L327</f>
        <v>0</v>
      </c>
      <c r="N327" s="49">
        <f>M327-H327</f>
        <v>0</v>
      </c>
      <c r="O327" s="50" t="str">
        <f>IF(H327=0,"No plan at start",M327/H327)</f>
        <v>No plan at start</v>
      </c>
      <c r="P327" s="53"/>
      <c r="Q327" s="54"/>
      <c r="R327" s="55"/>
      <c r="S327" s="55"/>
    </row>
    <row r="328" spans="1:19" s="10" customFormat="1" hidden="1" outlineLevel="2" x14ac:dyDescent="0.2">
      <c r="A328" s="11"/>
      <c r="B328" s="49" t="s">
        <v>93</v>
      </c>
      <c r="C328" s="49" t="s">
        <v>58</v>
      </c>
      <c r="D328" s="49">
        <v>0</v>
      </c>
      <c r="E328" s="49">
        <v>0</v>
      </c>
      <c r="F328" s="49">
        <f>E328-D328</f>
        <v>0</v>
      </c>
      <c r="G328" s="50">
        <f>IF(D328=0,0,ABS(F328/D328))</f>
        <v>0</v>
      </c>
      <c r="H328" s="49">
        <v>0</v>
      </c>
      <c r="I328" s="49">
        <v>0</v>
      </c>
      <c r="J328" s="51" t="str">
        <f>IF(H328=0,"No plan at start",I328/H328)</f>
        <v>No plan at start</v>
      </c>
      <c r="K328" s="52">
        <f>H328-I328</f>
        <v>0</v>
      </c>
      <c r="L328" s="49">
        <v>0</v>
      </c>
      <c r="M328" s="49">
        <f>I328+L328</f>
        <v>0</v>
      </c>
      <c r="N328" s="49">
        <f>M328-H328</f>
        <v>0</v>
      </c>
      <c r="O328" s="50" t="str">
        <f>IF(H328=0,"No plan at start",M328/H328)</f>
        <v>No plan at start</v>
      </c>
      <c r="P328" s="53"/>
      <c r="Q328" s="54"/>
      <c r="R328" s="55"/>
      <c r="S328" s="55"/>
    </row>
    <row r="329" spans="1:19" s="10" customFormat="1" hidden="1" outlineLevel="2" x14ac:dyDescent="0.2">
      <c r="A329" s="11"/>
      <c r="B329" s="49" t="s">
        <v>93</v>
      </c>
      <c r="C329" s="49" t="s">
        <v>59</v>
      </c>
      <c r="D329" s="49">
        <v>0</v>
      </c>
      <c r="E329" s="49">
        <v>0</v>
      </c>
      <c r="F329" s="49">
        <f>E329-D329</f>
        <v>0</v>
      </c>
      <c r="G329" s="50">
        <f>IF(D329=0,0,ABS(F329/D329))</f>
        <v>0</v>
      </c>
      <c r="H329" s="49">
        <v>0</v>
      </c>
      <c r="I329" s="49">
        <v>0</v>
      </c>
      <c r="J329" s="51" t="str">
        <f>IF(H329=0,"No plan at start",I329/H329)</f>
        <v>No plan at start</v>
      </c>
      <c r="K329" s="52">
        <f>H329-I329</f>
        <v>0</v>
      </c>
      <c r="L329" s="49">
        <v>0</v>
      </c>
      <c r="M329" s="49">
        <f>I329+L329</f>
        <v>0</v>
      </c>
      <c r="N329" s="49">
        <f>M329-H329</f>
        <v>0</v>
      </c>
      <c r="O329" s="50" t="str">
        <f>IF(H329=0,"No plan at start",M329/H329)</f>
        <v>No plan at start</v>
      </c>
      <c r="P329" s="53"/>
      <c r="Q329" s="54"/>
      <c r="R329" s="55"/>
      <c r="S329" s="55"/>
    </row>
    <row r="330" spans="1:19" s="10" customFormat="1" outlineLevel="1" collapsed="1" x14ac:dyDescent="0.2">
      <c r="A330" s="11"/>
      <c r="B330" s="56" t="s">
        <v>132</v>
      </c>
      <c r="C330" s="49"/>
      <c r="D330" s="49">
        <f>SUBTOTAL(9,D322:D329)</f>
        <v>1642</v>
      </c>
      <c r="E330" s="49">
        <f>SUBTOTAL(9,E322:E329)</f>
        <v>22.5</v>
      </c>
      <c r="F330" s="49">
        <f>SUBTOTAL(9,F322:F329)</f>
        <v>-1619.5</v>
      </c>
      <c r="G330" s="50">
        <f>IF(D330=0,0,ABS(F330/D330))</f>
        <v>0.98629719853836784</v>
      </c>
      <c r="H330" s="49">
        <f>SUBTOTAL(9,H322:H329)</f>
        <v>3644</v>
      </c>
      <c r="I330" s="49">
        <f>SUBTOTAL(9,I322:I329)</f>
        <v>308.5</v>
      </c>
      <c r="J330" s="51">
        <f>IF(H330=0,"No plan at start",I330/H330)</f>
        <v>8.4659714599341379E-2</v>
      </c>
      <c r="K330" s="52">
        <f>SUBTOTAL(9,K322:K329)</f>
        <v>3335.5</v>
      </c>
      <c r="L330" s="49">
        <f>SUBTOTAL(9,L322:L329)</f>
        <v>3284</v>
      </c>
      <c r="M330" s="49">
        <f>SUBTOTAL(9,M322:M329)</f>
        <v>3592.5</v>
      </c>
      <c r="N330" s="49">
        <f>SUBTOTAL(9,N322:N329)</f>
        <v>-51.5</v>
      </c>
      <c r="O330" s="50">
        <f>IF(H330=0,"No plan at start",M330/H330)</f>
        <v>0.98586717892425901</v>
      </c>
      <c r="P330" s="53"/>
      <c r="Q330" s="54"/>
      <c r="R330" s="55"/>
      <c r="S330" s="55"/>
    </row>
    <row r="331" spans="1:19" s="10" customFormat="1" hidden="1" outlineLevel="2" x14ac:dyDescent="0.2">
      <c r="A331" s="11"/>
      <c r="B331" s="49" t="s">
        <v>94</v>
      </c>
      <c r="C331" s="49" t="s">
        <v>52</v>
      </c>
      <c r="D331" s="49">
        <v>0</v>
      </c>
      <c r="E331" s="49">
        <v>0</v>
      </c>
      <c r="F331" s="49">
        <f>E331-D331</f>
        <v>0</v>
      </c>
      <c r="G331" s="50">
        <f>IF(D331=0,0,ABS(F331/D331))</f>
        <v>0</v>
      </c>
      <c r="H331" s="49">
        <v>0</v>
      </c>
      <c r="I331" s="49">
        <v>0</v>
      </c>
      <c r="J331" s="51" t="str">
        <f>IF(H331=0,"No plan at start",I331/H331)</f>
        <v>No plan at start</v>
      </c>
      <c r="K331" s="52">
        <f>H331-I331</f>
        <v>0</v>
      </c>
      <c r="L331" s="49">
        <v>0</v>
      </c>
      <c r="M331" s="49">
        <f>I331+L331</f>
        <v>0</v>
      </c>
      <c r="N331" s="49">
        <f>M331-H331</f>
        <v>0</v>
      </c>
      <c r="O331" s="50" t="str">
        <f>IF(H331=0,"No plan at start",M331/H331)</f>
        <v>No plan at start</v>
      </c>
      <c r="P331" s="53"/>
      <c r="Q331" s="54"/>
      <c r="R331" s="55"/>
      <c r="S331" s="55"/>
    </row>
    <row r="332" spans="1:19" s="10" customFormat="1" hidden="1" outlineLevel="2" x14ac:dyDescent="0.2">
      <c r="A332" s="11"/>
      <c r="B332" s="49" t="s">
        <v>94</v>
      </c>
      <c r="C332" s="49" t="s">
        <v>53</v>
      </c>
      <c r="D332" s="49">
        <v>0</v>
      </c>
      <c r="E332" s="49">
        <v>0</v>
      </c>
      <c r="F332" s="49">
        <f>E332-D332</f>
        <v>0</v>
      </c>
      <c r="G332" s="50">
        <f>IF(D332=0,0,ABS(F332/D332))</f>
        <v>0</v>
      </c>
      <c r="H332" s="49">
        <v>0</v>
      </c>
      <c r="I332" s="49">
        <v>0</v>
      </c>
      <c r="J332" s="51" t="str">
        <f>IF(H332=0,"No plan at start",I332/H332)</f>
        <v>No plan at start</v>
      </c>
      <c r="K332" s="52">
        <f>H332-I332</f>
        <v>0</v>
      </c>
      <c r="L332" s="49">
        <v>0</v>
      </c>
      <c r="M332" s="49">
        <f>I332+L332</f>
        <v>0</v>
      </c>
      <c r="N332" s="49">
        <f>M332-H332</f>
        <v>0</v>
      </c>
      <c r="O332" s="50" t="str">
        <f>IF(H332=0,"No plan at start",M332/H332)</f>
        <v>No plan at start</v>
      </c>
      <c r="P332" s="53"/>
      <c r="Q332" s="54"/>
      <c r="R332" s="55"/>
      <c r="S332" s="55"/>
    </row>
    <row r="333" spans="1:19" s="10" customFormat="1" hidden="1" outlineLevel="2" x14ac:dyDescent="0.2">
      <c r="A333" s="11"/>
      <c r="B333" s="49" t="s">
        <v>94</v>
      </c>
      <c r="C333" s="49" t="s">
        <v>54</v>
      </c>
      <c r="D333" s="49">
        <v>0</v>
      </c>
      <c r="E333" s="49">
        <v>0</v>
      </c>
      <c r="F333" s="49">
        <f>E333-D333</f>
        <v>0</v>
      </c>
      <c r="G333" s="50">
        <f>IF(D333=0,0,ABS(F333/D333))</f>
        <v>0</v>
      </c>
      <c r="H333" s="49">
        <v>0</v>
      </c>
      <c r="I333" s="49">
        <v>0</v>
      </c>
      <c r="J333" s="51" t="str">
        <f>IF(H333=0,"No plan at start",I333/H333)</f>
        <v>No plan at start</v>
      </c>
      <c r="K333" s="52">
        <f>H333-I333</f>
        <v>0</v>
      </c>
      <c r="L333" s="49">
        <v>0</v>
      </c>
      <c r="M333" s="49">
        <f>I333+L333</f>
        <v>0</v>
      </c>
      <c r="N333" s="49">
        <f>M333-H333</f>
        <v>0</v>
      </c>
      <c r="O333" s="50" t="str">
        <f>IF(H333=0,"No plan at start",M333/H333)</f>
        <v>No plan at start</v>
      </c>
      <c r="P333" s="53"/>
      <c r="Q333" s="54"/>
      <c r="R333" s="55"/>
      <c r="S333" s="55"/>
    </row>
    <row r="334" spans="1:19" s="10" customFormat="1" hidden="1" outlineLevel="2" x14ac:dyDescent="0.2">
      <c r="A334" s="11"/>
      <c r="B334" s="49" t="s">
        <v>94</v>
      </c>
      <c r="C334" s="49" t="s">
        <v>55</v>
      </c>
      <c r="D334" s="49">
        <v>0</v>
      </c>
      <c r="E334" s="49">
        <v>0</v>
      </c>
      <c r="F334" s="49">
        <f>E334-D334</f>
        <v>0</v>
      </c>
      <c r="G334" s="50">
        <f>IF(D334=0,0,ABS(F334/D334))</f>
        <v>0</v>
      </c>
      <c r="H334" s="49">
        <v>0</v>
      </c>
      <c r="I334" s="49">
        <v>0</v>
      </c>
      <c r="J334" s="51" t="str">
        <f>IF(H334=0,"No plan at start",I334/H334)</f>
        <v>No plan at start</v>
      </c>
      <c r="K334" s="52">
        <f>H334-I334</f>
        <v>0</v>
      </c>
      <c r="L334" s="49">
        <v>0</v>
      </c>
      <c r="M334" s="49">
        <f>I334+L334</f>
        <v>0</v>
      </c>
      <c r="N334" s="49">
        <f>M334-H334</f>
        <v>0</v>
      </c>
      <c r="O334" s="50" t="str">
        <f>IF(H334=0,"No plan at start",M334/H334)</f>
        <v>No plan at start</v>
      </c>
      <c r="P334" s="53"/>
      <c r="Q334" s="54"/>
      <c r="R334" s="55"/>
      <c r="S334" s="55"/>
    </row>
    <row r="335" spans="1:19" s="10" customFormat="1" hidden="1" outlineLevel="2" x14ac:dyDescent="0.2">
      <c r="A335" s="11"/>
      <c r="B335" s="49" t="s">
        <v>94</v>
      </c>
      <c r="C335" s="49" t="s">
        <v>56</v>
      </c>
      <c r="D335" s="49">
        <v>0</v>
      </c>
      <c r="E335" s="49">
        <v>0</v>
      </c>
      <c r="F335" s="49">
        <f>E335-D335</f>
        <v>0</v>
      </c>
      <c r="G335" s="50">
        <f>IF(D335=0,0,ABS(F335/D335))</f>
        <v>0</v>
      </c>
      <c r="H335" s="49">
        <v>0</v>
      </c>
      <c r="I335" s="49">
        <v>0</v>
      </c>
      <c r="J335" s="51" t="str">
        <f>IF(H335=0,"No plan at start",I335/H335)</f>
        <v>No plan at start</v>
      </c>
      <c r="K335" s="52">
        <f>H335-I335</f>
        <v>0</v>
      </c>
      <c r="L335" s="49">
        <v>0</v>
      </c>
      <c r="M335" s="49">
        <f>I335+L335</f>
        <v>0</v>
      </c>
      <c r="N335" s="49">
        <f>M335-H335</f>
        <v>0</v>
      </c>
      <c r="O335" s="50" t="str">
        <f>IF(H335=0,"No plan at start",M335/H335)</f>
        <v>No plan at start</v>
      </c>
      <c r="P335" s="53"/>
      <c r="Q335" s="54"/>
      <c r="R335" s="55"/>
      <c r="S335" s="55"/>
    </row>
    <row r="336" spans="1:19" s="10" customFormat="1" hidden="1" outlineLevel="2" x14ac:dyDescent="0.2">
      <c r="A336" s="11"/>
      <c r="B336" s="49" t="s">
        <v>94</v>
      </c>
      <c r="C336" s="49" t="s">
        <v>57</v>
      </c>
      <c r="D336" s="49">
        <v>0</v>
      </c>
      <c r="E336" s="49">
        <v>0</v>
      </c>
      <c r="F336" s="49">
        <f>E336-D336</f>
        <v>0</v>
      </c>
      <c r="G336" s="50">
        <f>IF(D336=0,0,ABS(F336/D336))</f>
        <v>0</v>
      </c>
      <c r="H336" s="49">
        <v>0</v>
      </c>
      <c r="I336" s="49">
        <v>0</v>
      </c>
      <c r="J336" s="51" t="str">
        <f>IF(H336=0,"No plan at start",I336/H336)</f>
        <v>No plan at start</v>
      </c>
      <c r="K336" s="52">
        <f>H336-I336</f>
        <v>0</v>
      </c>
      <c r="L336" s="49">
        <v>0</v>
      </c>
      <c r="M336" s="49">
        <f>I336+L336</f>
        <v>0</v>
      </c>
      <c r="N336" s="49">
        <f>M336-H336</f>
        <v>0</v>
      </c>
      <c r="O336" s="50" t="str">
        <f>IF(H336=0,"No plan at start",M336/H336)</f>
        <v>No plan at start</v>
      </c>
      <c r="P336" s="53"/>
      <c r="Q336" s="54"/>
      <c r="R336" s="55"/>
      <c r="S336" s="55"/>
    </row>
    <row r="337" spans="1:19" s="10" customFormat="1" hidden="1" outlineLevel="2" x14ac:dyDescent="0.2">
      <c r="A337" s="11"/>
      <c r="B337" s="49" t="s">
        <v>94</v>
      </c>
      <c r="C337" s="49" t="s">
        <v>58</v>
      </c>
      <c r="D337" s="49">
        <v>0</v>
      </c>
      <c r="E337" s="49">
        <v>0</v>
      </c>
      <c r="F337" s="49">
        <f>E337-D337</f>
        <v>0</v>
      </c>
      <c r="G337" s="50">
        <f>IF(D337=0,0,ABS(F337/D337))</f>
        <v>0</v>
      </c>
      <c r="H337" s="49">
        <v>0</v>
      </c>
      <c r="I337" s="49">
        <v>0</v>
      </c>
      <c r="J337" s="51" t="str">
        <f>IF(H337=0,"No plan at start",I337/H337)</f>
        <v>No plan at start</v>
      </c>
      <c r="K337" s="52">
        <f>H337-I337</f>
        <v>0</v>
      </c>
      <c r="L337" s="49">
        <v>0</v>
      </c>
      <c r="M337" s="49">
        <f>I337+L337</f>
        <v>0</v>
      </c>
      <c r="N337" s="49">
        <f>M337-H337</f>
        <v>0</v>
      </c>
      <c r="O337" s="50" t="str">
        <f>IF(H337=0,"No plan at start",M337/H337)</f>
        <v>No plan at start</v>
      </c>
      <c r="P337" s="53"/>
      <c r="Q337" s="54"/>
      <c r="R337" s="55"/>
      <c r="S337" s="55"/>
    </row>
    <row r="338" spans="1:19" s="10" customFormat="1" hidden="1" outlineLevel="2" x14ac:dyDescent="0.2">
      <c r="A338" s="11"/>
      <c r="B338" s="49" t="s">
        <v>94</v>
      </c>
      <c r="C338" s="49" t="s">
        <v>59</v>
      </c>
      <c r="D338" s="49">
        <v>0</v>
      </c>
      <c r="E338" s="49">
        <v>0</v>
      </c>
      <c r="F338" s="49">
        <f>E338-D338</f>
        <v>0</v>
      </c>
      <c r="G338" s="50">
        <f>IF(D338=0,0,ABS(F338/D338))</f>
        <v>0</v>
      </c>
      <c r="H338" s="49">
        <v>0</v>
      </c>
      <c r="I338" s="49">
        <v>0</v>
      </c>
      <c r="J338" s="51" t="str">
        <f>IF(H338=0,"No plan at start",I338/H338)</f>
        <v>No plan at start</v>
      </c>
      <c r="K338" s="52">
        <f>H338-I338</f>
        <v>0</v>
      </c>
      <c r="L338" s="49">
        <v>0</v>
      </c>
      <c r="M338" s="49">
        <f>I338+L338</f>
        <v>0</v>
      </c>
      <c r="N338" s="49">
        <f>M338-H338</f>
        <v>0</v>
      </c>
      <c r="O338" s="50" t="str">
        <f>IF(H338=0,"No plan at start",M338/H338)</f>
        <v>No plan at start</v>
      </c>
      <c r="P338" s="53"/>
      <c r="Q338" s="54"/>
      <c r="R338" s="55"/>
      <c r="S338" s="55"/>
    </row>
    <row r="339" spans="1:19" s="10" customFormat="1" outlineLevel="1" collapsed="1" x14ac:dyDescent="0.2">
      <c r="A339" s="11"/>
      <c r="B339" s="56" t="s">
        <v>133</v>
      </c>
      <c r="C339" s="49"/>
      <c r="D339" s="49">
        <f>SUBTOTAL(9,D331:D338)</f>
        <v>0</v>
      </c>
      <c r="E339" s="49">
        <f>SUBTOTAL(9,E331:E338)</f>
        <v>0</v>
      </c>
      <c r="F339" s="49">
        <f>SUBTOTAL(9,F331:F338)</f>
        <v>0</v>
      </c>
      <c r="G339" s="50">
        <f>IF(D339=0,0,ABS(F339/D339))</f>
        <v>0</v>
      </c>
      <c r="H339" s="49">
        <f>SUBTOTAL(9,H331:H338)</f>
        <v>0</v>
      </c>
      <c r="I339" s="49">
        <f>SUBTOTAL(9,I331:I338)</f>
        <v>0</v>
      </c>
      <c r="J339" s="51" t="str">
        <f>IF(H339=0,"No plan at start",I339/H339)</f>
        <v>No plan at start</v>
      </c>
      <c r="K339" s="52">
        <f>SUBTOTAL(9,K331:K338)</f>
        <v>0</v>
      </c>
      <c r="L339" s="49">
        <f>SUBTOTAL(9,L331:L338)</f>
        <v>0</v>
      </c>
      <c r="M339" s="49">
        <f>SUBTOTAL(9,M331:M338)</f>
        <v>0</v>
      </c>
      <c r="N339" s="49">
        <f>SUBTOTAL(9,N331:N338)</f>
        <v>0</v>
      </c>
      <c r="O339" s="50" t="str">
        <f>IF(H339=0,"No plan at start",M339/H339)</f>
        <v>No plan at start</v>
      </c>
      <c r="P339" s="53"/>
      <c r="Q339" s="54"/>
      <c r="R339" s="55"/>
      <c r="S339" s="55"/>
    </row>
    <row r="340" spans="1:19" s="10" customFormat="1" hidden="1" outlineLevel="2" x14ac:dyDescent="0.2">
      <c r="A340" s="11"/>
      <c r="B340" s="49" t="s">
        <v>95</v>
      </c>
      <c r="C340" s="49" t="s">
        <v>52</v>
      </c>
      <c r="D340" s="49">
        <v>0</v>
      </c>
      <c r="E340" s="49">
        <v>0</v>
      </c>
      <c r="F340" s="49">
        <f>E340-D340</f>
        <v>0</v>
      </c>
      <c r="G340" s="50">
        <f>IF(D340=0,0,ABS(F340/D340))</f>
        <v>0</v>
      </c>
      <c r="H340" s="49">
        <v>0</v>
      </c>
      <c r="I340" s="49">
        <v>0</v>
      </c>
      <c r="J340" s="51" t="str">
        <f>IF(H340=0,"No plan at start",I340/H340)</f>
        <v>No plan at start</v>
      </c>
      <c r="K340" s="52">
        <f>H340-I340</f>
        <v>0</v>
      </c>
      <c r="L340" s="49">
        <v>0</v>
      </c>
      <c r="M340" s="49">
        <f>I340+L340</f>
        <v>0</v>
      </c>
      <c r="N340" s="49">
        <f>M340-H340</f>
        <v>0</v>
      </c>
      <c r="O340" s="50" t="str">
        <f>IF(H340=0,"No plan at start",M340/H340)</f>
        <v>No plan at start</v>
      </c>
      <c r="P340" s="53"/>
      <c r="Q340" s="54"/>
      <c r="R340" s="55"/>
      <c r="S340" s="55"/>
    </row>
    <row r="341" spans="1:19" s="10" customFormat="1" hidden="1" outlineLevel="2" x14ac:dyDescent="0.2">
      <c r="A341" s="11"/>
      <c r="B341" s="49" t="s">
        <v>95</v>
      </c>
      <c r="C341" s="49" t="s">
        <v>53</v>
      </c>
      <c r="D341" s="49">
        <v>0</v>
      </c>
      <c r="E341" s="49">
        <v>0</v>
      </c>
      <c r="F341" s="49">
        <f>E341-D341</f>
        <v>0</v>
      </c>
      <c r="G341" s="50">
        <f>IF(D341=0,0,ABS(F341/D341))</f>
        <v>0</v>
      </c>
      <c r="H341" s="49">
        <v>0</v>
      </c>
      <c r="I341" s="49">
        <v>0</v>
      </c>
      <c r="J341" s="51" t="str">
        <f>IF(H341=0,"No plan at start",I341/H341)</f>
        <v>No plan at start</v>
      </c>
      <c r="K341" s="52">
        <f>H341-I341</f>
        <v>0</v>
      </c>
      <c r="L341" s="49">
        <v>0</v>
      </c>
      <c r="M341" s="49">
        <f>I341+L341</f>
        <v>0</v>
      </c>
      <c r="N341" s="49">
        <f>M341-H341</f>
        <v>0</v>
      </c>
      <c r="O341" s="50" t="str">
        <f>IF(H341=0,"No plan at start",M341/H341)</f>
        <v>No plan at start</v>
      </c>
      <c r="P341" s="53"/>
      <c r="Q341" s="54"/>
      <c r="R341" s="55"/>
      <c r="S341" s="55"/>
    </row>
    <row r="342" spans="1:19" s="10" customFormat="1" hidden="1" outlineLevel="2" x14ac:dyDescent="0.2">
      <c r="A342" s="11"/>
      <c r="B342" s="49" t="s">
        <v>95</v>
      </c>
      <c r="C342" s="49" t="s">
        <v>54</v>
      </c>
      <c r="D342" s="49">
        <v>0</v>
      </c>
      <c r="E342" s="49">
        <v>0</v>
      </c>
      <c r="F342" s="49">
        <f>E342-D342</f>
        <v>0</v>
      </c>
      <c r="G342" s="50">
        <f>IF(D342=0,0,ABS(F342/D342))</f>
        <v>0</v>
      </c>
      <c r="H342" s="49">
        <v>0</v>
      </c>
      <c r="I342" s="49">
        <v>0</v>
      </c>
      <c r="J342" s="51" t="str">
        <f>IF(H342=0,"No plan at start",I342/H342)</f>
        <v>No plan at start</v>
      </c>
      <c r="K342" s="52">
        <f>H342-I342</f>
        <v>0</v>
      </c>
      <c r="L342" s="49">
        <v>0</v>
      </c>
      <c r="M342" s="49">
        <f>I342+L342</f>
        <v>0</v>
      </c>
      <c r="N342" s="49">
        <f>M342-H342</f>
        <v>0</v>
      </c>
      <c r="O342" s="50" t="str">
        <f>IF(H342=0,"No plan at start",M342/H342)</f>
        <v>No plan at start</v>
      </c>
      <c r="P342" s="53"/>
      <c r="Q342" s="54"/>
      <c r="R342" s="55"/>
      <c r="S342" s="55"/>
    </row>
    <row r="343" spans="1:19" s="10" customFormat="1" hidden="1" outlineLevel="2" x14ac:dyDescent="0.2">
      <c r="A343" s="11"/>
      <c r="B343" s="49" t="s">
        <v>95</v>
      </c>
      <c r="C343" s="49" t="s">
        <v>55</v>
      </c>
      <c r="D343" s="49">
        <v>0</v>
      </c>
      <c r="E343" s="49">
        <v>0</v>
      </c>
      <c r="F343" s="49">
        <f>E343-D343</f>
        <v>0</v>
      </c>
      <c r="G343" s="50">
        <f>IF(D343=0,0,ABS(F343/D343))</f>
        <v>0</v>
      </c>
      <c r="H343" s="49">
        <v>0</v>
      </c>
      <c r="I343" s="49">
        <v>0</v>
      </c>
      <c r="J343" s="51" t="str">
        <f>IF(H343=0,"No plan at start",I343/H343)</f>
        <v>No plan at start</v>
      </c>
      <c r="K343" s="52">
        <f>H343-I343</f>
        <v>0</v>
      </c>
      <c r="L343" s="49">
        <v>0</v>
      </c>
      <c r="M343" s="49">
        <f>I343+L343</f>
        <v>0</v>
      </c>
      <c r="N343" s="49">
        <f>M343-H343</f>
        <v>0</v>
      </c>
      <c r="O343" s="50" t="str">
        <f>IF(H343=0,"No plan at start",M343/H343)</f>
        <v>No plan at start</v>
      </c>
      <c r="P343" s="53"/>
      <c r="Q343" s="54"/>
      <c r="R343" s="55"/>
      <c r="S343" s="55"/>
    </row>
    <row r="344" spans="1:19" s="10" customFormat="1" hidden="1" outlineLevel="2" x14ac:dyDescent="0.2">
      <c r="A344" s="11"/>
      <c r="B344" s="49" t="s">
        <v>95</v>
      </c>
      <c r="C344" s="49" t="s">
        <v>56</v>
      </c>
      <c r="D344" s="49">
        <v>0</v>
      </c>
      <c r="E344" s="49">
        <v>0</v>
      </c>
      <c r="F344" s="49">
        <f>E344-D344</f>
        <v>0</v>
      </c>
      <c r="G344" s="50">
        <f>IF(D344=0,0,ABS(F344/D344))</f>
        <v>0</v>
      </c>
      <c r="H344" s="49">
        <v>0</v>
      </c>
      <c r="I344" s="49">
        <v>0</v>
      </c>
      <c r="J344" s="51" t="str">
        <f>IF(H344=0,"No plan at start",I344/H344)</f>
        <v>No plan at start</v>
      </c>
      <c r="K344" s="52">
        <f>H344-I344</f>
        <v>0</v>
      </c>
      <c r="L344" s="49">
        <v>0</v>
      </c>
      <c r="M344" s="49">
        <f>I344+L344</f>
        <v>0</v>
      </c>
      <c r="N344" s="49">
        <f>M344-H344</f>
        <v>0</v>
      </c>
      <c r="O344" s="50" t="str">
        <f>IF(H344=0,"No plan at start",M344/H344)</f>
        <v>No plan at start</v>
      </c>
      <c r="P344" s="53"/>
      <c r="Q344" s="54"/>
      <c r="R344" s="55"/>
      <c r="S344" s="55"/>
    </row>
    <row r="345" spans="1:19" s="10" customFormat="1" hidden="1" outlineLevel="2" x14ac:dyDescent="0.2">
      <c r="A345" s="11"/>
      <c r="B345" s="49" t="s">
        <v>95</v>
      </c>
      <c r="C345" s="49" t="s">
        <v>57</v>
      </c>
      <c r="D345" s="49">
        <v>0</v>
      </c>
      <c r="E345" s="49">
        <v>0</v>
      </c>
      <c r="F345" s="49">
        <f>E345-D345</f>
        <v>0</v>
      </c>
      <c r="G345" s="50">
        <f>IF(D345=0,0,ABS(F345/D345))</f>
        <v>0</v>
      </c>
      <c r="H345" s="49">
        <v>0</v>
      </c>
      <c r="I345" s="49">
        <v>0</v>
      </c>
      <c r="J345" s="51" t="str">
        <f>IF(H345=0,"No plan at start",I345/H345)</f>
        <v>No plan at start</v>
      </c>
      <c r="K345" s="52">
        <f>H345-I345</f>
        <v>0</v>
      </c>
      <c r="L345" s="49">
        <v>0</v>
      </c>
      <c r="M345" s="49">
        <f>I345+L345</f>
        <v>0</v>
      </c>
      <c r="N345" s="49">
        <f>M345-H345</f>
        <v>0</v>
      </c>
      <c r="O345" s="50" t="str">
        <f>IF(H345=0,"No plan at start",M345/H345)</f>
        <v>No plan at start</v>
      </c>
      <c r="P345" s="53"/>
      <c r="Q345" s="54"/>
      <c r="R345" s="55"/>
      <c r="S345" s="55"/>
    </row>
    <row r="346" spans="1:19" s="10" customFormat="1" hidden="1" outlineLevel="2" x14ac:dyDescent="0.2">
      <c r="A346" s="11"/>
      <c r="B346" s="49" t="s">
        <v>95</v>
      </c>
      <c r="C346" s="49" t="s">
        <v>58</v>
      </c>
      <c r="D346" s="49">
        <v>0</v>
      </c>
      <c r="E346" s="49">
        <v>0</v>
      </c>
      <c r="F346" s="49">
        <f>E346-D346</f>
        <v>0</v>
      </c>
      <c r="G346" s="50">
        <f>IF(D346=0,0,ABS(F346/D346))</f>
        <v>0</v>
      </c>
      <c r="H346" s="49">
        <v>0</v>
      </c>
      <c r="I346" s="49">
        <v>0</v>
      </c>
      <c r="J346" s="51" t="str">
        <f>IF(H346=0,"No plan at start",I346/H346)</f>
        <v>No plan at start</v>
      </c>
      <c r="K346" s="52">
        <f>H346-I346</f>
        <v>0</v>
      </c>
      <c r="L346" s="49">
        <v>0</v>
      </c>
      <c r="M346" s="49">
        <f>I346+L346</f>
        <v>0</v>
      </c>
      <c r="N346" s="49">
        <f>M346-H346</f>
        <v>0</v>
      </c>
      <c r="O346" s="50" t="str">
        <f>IF(H346=0,"No plan at start",M346/H346)</f>
        <v>No plan at start</v>
      </c>
      <c r="P346" s="53"/>
      <c r="Q346" s="54"/>
      <c r="R346" s="55"/>
      <c r="S346" s="55"/>
    </row>
    <row r="347" spans="1:19" s="10" customFormat="1" hidden="1" outlineLevel="2" x14ac:dyDescent="0.2">
      <c r="A347" s="11"/>
      <c r="B347" s="49" t="s">
        <v>95</v>
      </c>
      <c r="C347" s="49" t="s">
        <v>59</v>
      </c>
      <c r="D347" s="49">
        <v>0</v>
      </c>
      <c r="E347" s="49">
        <v>0</v>
      </c>
      <c r="F347" s="49">
        <f>E347-D347</f>
        <v>0</v>
      </c>
      <c r="G347" s="50">
        <f>IF(D347=0,0,ABS(F347/D347))</f>
        <v>0</v>
      </c>
      <c r="H347" s="49">
        <v>0</v>
      </c>
      <c r="I347" s="49">
        <v>0</v>
      </c>
      <c r="J347" s="51" t="str">
        <f>IF(H347=0,"No plan at start",I347/H347)</f>
        <v>No plan at start</v>
      </c>
      <c r="K347" s="52">
        <f>H347-I347</f>
        <v>0</v>
      </c>
      <c r="L347" s="49">
        <v>0</v>
      </c>
      <c r="M347" s="49">
        <f>I347+L347</f>
        <v>0</v>
      </c>
      <c r="N347" s="49">
        <f>M347-H347</f>
        <v>0</v>
      </c>
      <c r="O347" s="50" t="str">
        <f>IF(H347=0,"No plan at start",M347/H347)</f>
        <v>No plan at start</v>
      </c>
      <c r="P347" s="53"/>
      <c r="Q347" s="54"/>
      <c r="R347" s="55"/>
      <c r="S347" s="55"/>
    </row>
    <row r="348" spans="1:19" s="10" customFormat="1" outlineLevel="1" collapsed="1" x14ac:dyDescent="0.2">
      <c r="A348" s="11"/>
      <c r="B348" s="56" t="s">
        <v>134</v>
      </c>
      <c r="C348" s="49"/>
      <c r="D348" s="49">
        <f>SUBTOTAL(9,D340:D347)</f>
        <v>0</v>
      </c>
      <c r="E348" s="49">
        <f>SUBTOTAL(9,E340:E347)</f>
        <v>0</v>
      </c>
      <c r="F348" s="49">
        <f>SUBTOTAL(9,F340:F347)</f>
        <v>0</v>
      </c>
      <c r="G348" s="50">
        <f>IF(D348=0,0,ABS(F348/D348))</f>
        <v>0</v>
      </c>
      <c r="H348" s="49">
        <f>SUBTOTAL(9,H340:H347)</f>
        <v>0</v>
      </c>
      <c r="I348" s="49">
        <f>SUBTOTAL(9,I340:I347)</f>
        <v>0</v>
      </c>
      <c r="J348" s="51" t="str">
        <f>IF(H348=0,"No plan at start",I348/H348)</f>
        <v>No plan at start</v>
      </c>
      <c r="K348" s="52">
        <f>SUBTOTAL(9,K340:K347)</f>
        <v>0</v>
      </c>
      <c r="L348" s="49">
        <f>SUBTOTAL(9,L340:L347)</f>
        <v>0</v>
      </c>
      <c r="M348" s="49">
        <f>SUBTOTAL(9,M340:M347)</f>
        <v>0</v>
      </c>
      <c r="N348" s="49">
        <f>SUBTOTAL(9,N340:N347)</f>
        <v>0</v>
      </c>
      <c r="O348" s="50" t="str">
        <f>IF(H348=0,"No plan at start",M348/H348)</f>
        <v>No plan at start</v>
      </c>
      <c r="P348" s="53"/>
      <c r="Q348" s="54"/>
      <c r="R348" s="55"/>
      <c r="S348" s="55"/>
    </row>
    <row r="349" spans="1:19" s="10" customFormat="1" hidden="1" outlineLevel="2" x14ac:dyDescent="0.2">
      <c r="A349" s="11"/>
      <c r="B349" s="49" t="s">
        <v>96</v>
      </c>
      <c r="C349" s="49" t="s">
        <v>52</v>
      </c>
      <c r="D349" s="49">
        <v>0</v>
      </c>
      <c r="E349" s="49">
        <v>0</v>
      </c>
      <c r="F349" s="49">
        <f>E349-D349</f>
        <v>0</v>
      </c>
      <c r="G349" s="50">
        <f>IF(D349=0,0,ABS(F349/D349))</f>
        <v>0</v>
      </c>
      <c r="H349" s="49">
        <v>0</v>
      </c>
      <c r="I349" s="49">
        <v>0</v>
      </c>
      <c r="J349" s="51" t="str">
        <f>IF(H349=0,"No plan at start",I349/H349)</f>
        <v>No plan at start</v>
      </c>
      <c r="K349" s="52">
        <f>H349-I349</f>
        <v>0</v>
      </c>
      <c r="L349" s="49">
        <v>0</v>
      </c>
      <c r="M349" s="49">
        <f>I349+L349</f>
        <v>0</v>
      </c>
      <c r="N349" s="49">
        <f>M349-H349</f>
        <v>0</v>
      </c>
      <c r="O349" s="50" t="str">
        <f>IF(H349=0,"No plan at start",M349/H349)</f>
        <v>No plan at start</v>
      </c>
      <c r="P349" s="53"/>
      <c r="Q349" s="54"/>
      <c r="R349" s="55"/>
      <c r="S349" s="55"/>
    </row>
    <row r="350" spans="1:19" s="10" customFormat="1" hidden="1" outlineLevel="2" x14ac:dyDescent="0.2">
      <c r="A350" s="11"/>
      <c r="B350" s="49" t="s">
        <v>96</v>
      </c>
      <c r="C350" s="49" t="s">
        <v>53</v>
      </c>
      <c r="D350" s="49">
        <v>0</v>
      </c>
      <c r="E350" s="49">
        <v>0</v>
      </c>
      <c r="F350" s="49">
        <f>E350-D350</f>
        <v>0</v>
      </c>
      <c r="G350" s="50">
        <f>IF(D350=0,0,ABS(F350/D350))</f>
        <v>0</v>
      </c>
      <c r="H350" s="49">
        <v>0</v>
      </c>
      <c r="I350" s="49">
        <v>0</v>
      </c>
      <c r="J350" s="51" t="str">
        <f>IF(H350=0,"No plan at start",I350/H350)</f>
        <v>No plan at start</v>
      </c>
      <c r="K350" s="52">
        <f>H350-I350</f>
        <v>0</v>
      </c>
      <c r="L350" s="49">
        <v>0</v>
      </c>
      <c r="M350" s="49">
        <f>I350+L350</f>
        <v>0</v>
      </c>
      <c r="N350" s="49">
        <f>M350-H350</f>
        <v>0</v>
      </c>
      <c r="O350" s="50" t="str">
        <f>IF(H350=0,"No plan at start",M350/H350)</f>
        <v>No plan at start</v>
      </c>
      <c r="P350" s="53"/>
      <c r="Q350" s="54"/>
      <c r="R350" s="55"/>
      <c r="S350" s="55"/>
    </row>
    <row r="351" spans="1:19" s="10" customFormat="1" hidden="1" outlineLevel="2" x14ac:dyDescent="0.2">
      <c r="A351" s="11"/>
      <c r="B351" s="49" t="s">
        <v>96</v>
      </c>
      <c r="C351" s="49" t="s">
        <v>54</v>
      </c>
      <c r="D351" s="49">
        <v>0</v>
      </c>
      <c r="E351" s="49">
        <v>0</v>
      </c>
      <c r="F351" s="49">
        <f>E351-D351</f>
        <v>0</v>
      </c>
      <c r="G351" s="50">
        <f>IF(D351=0,0,ABS(F351/D351))</f>
        <v>0</v>
      </c>
      <c r="H351" s="49">
        <v>0</v>
      </c>
      <c r="I351" s="49">
        <v>0</v>
      </c>
      <c r="J351" s="51" t="str">
        <f>IF(H351=0,"No plan at start",I351/H351)</f>
        <v>No plan at start</v>
      </c>
      <c r="K351" s="52">
        <f>H351-I351</f>
        <v>0</v>
      </c>
      <c r="L351" s="49">
        <v>0</v>
      </c>
      <c r="M351" s="49">
        <f>I351+L351</f>
        <v>0</v>
      </c>
      <c r="N351" s="49">
        <f>M351-H351</f>
        <v>0</v>
      </c>
      <c r="O351" s="50" t="str">
        <f>IF(H351=0,"No plan at start",M351/H351)</f>
        <v>No plan at start</v>
      </c>
      <c r="P351" s="53"/>
      <c r="Q351" s="54"/>
      <c r="R351" s="55"/>
      <c r="S351" s="55"/>
    </row>
    <row r="352" spans="1:19" s="10" customFormat="1" hidden="1" outlineLevel="2" x14ac:dyDescent="0.2">
      <c r="A352" s="11"/>
      <c r="B352" s="49" t="s">
        <v>96</v>
      </c>
      <c r="C352" s="49" t="s">
        <v>55</v>
      </c>
      <c r="D352" s="49">
        <v>0</v>
      </c>
      <c r="E352" s="49">
        <v>0</v>
      </c>
      <c r="F352" s="49">
        <f>E352-D352</f>
        <v>0</v>
      </c>
      <c r="G352" s="50">
        <f>IF(D352=0,0,ABS(F352/D352))</f>
        <v>0</v>
      </c>
      <c r="H352" s="49">
        <v>0</v>
      </c>
      <c r="I352" s="49">
        <v>0</v>
      </c>
      <c r="J352" s="51" t="str">
        <f>IF(H352=0,"No plan at start",I352/H352)</f>
        <v>No plan at start</v>
      </c>
      <c r="K352" s="52">
        <f>H352-I352</f>
        <v>0</v>
      </c>
      <c r="L352" s="49">
        <v>0</v>
      </c>
      <c r="M352" s="49">
        <f>I352+L352</f>
        <v>0</v>
      </c>
      <c r="N352" s="49">
        <f>M352-H352</f>
        <v>0</v>
      </c>
      <c r="O352" s="50" t="str">
        <f>IF(H352=0,"No plan at start",M352/H352)</f>
        <v>No plan at start</v>
      </c>
      <c r="P352" s="53"/>
      <c r="Q352" s="54"/>
      <c r="R352" s="55"/>
      <c r="S352" s="55"/>
    </row>
    <row r="353" spans="1:19" s="10" customFormat="1" hidden="1" outlineLevel="2" x14ac:dyDescent="0.2">
      <c r="A353" s="11"/>
      <c r="B353" s="49" t="s">
        <v>96</v>
      </c>
      <c r="C353" s="49" t="s">
        <v>56</v>
      </c>
      <c r="D353" s="49">
        <v>0</v>
      </c>
      <c r="E353" s="49">
        <v>0</v>
      </c>
      <c r="F353" s="49">
        <f>E353-D353</f>
        <v>0</v>
      </c>
      <c r="G353" s="50">
        <f>IF(D353=0,0,ABS(F353/D353))</f>
        <v>0</v>
      </c>
      <c r="H353" s="49">
        <v>0</v>
      </c>
      <c r="I353" s="49">
        <v>0</v>
      </c>
      <c r="J353" s="51" t="str">
        <f>IF(H353=0,"No plan at start",I353/H353)</f>
        <v>No plan at start</v>
      </c>
      <c r="K353" s="52">
        <f>H353-I353</f>
        <v>0</v>
      </c>
      <c r="L353" s="49">
        <v>0</v>
      </c>
      <c r="M353" s="49">
        <f>I353+L353</f>
        <v>0</v>
      </c>
      <c r="N353" s="49">
        <f>M353-H353</f>
        <v>0</v>
      </c>
      <c r="O353" s="50" t="str">
        <f>IF(H353=0,"No plan at start",M353/H353)</f>
        <v>No plan at start</v>
      </c>
      <c r="P353" s="53"/>
      <c r="Q353" s="54"/>
      <c r="R353" s="55"/>
      <c r="S353" s="55"/>
    </row>
    <row r="354" spans="1:19" s="10" customFormat="1" hidden="1" outlineLevel="2" x14ac:dyDescent="0.2">
      <c r="A354" s="11"/>
      <c r="B354" s="49" t="s">
        <v>96</v>
      </c>
      <c r="C354" s="49" t="s">
        <v>57</v>
      </c>
      <c r="D354" s="49">
        <v>0</v>
      </c>
      <c r="E354" s="49">
        <v>0</v>
      </c>
      <c r="F354" s="49">
        <f>E354-D354</f>
        <v>0</v>
      </c>
      <c r="G354" s="50">
        <f>IF(D354=0,0,ABS(F354/D354))</f>
        <v>0</v>
      </c>
      <c r="H354" s="49">
        <v>0</v>
      </c>
      <c r="I354" s="49">
        <v>0</v>
      </c>
      <c r="J354" s="51" t="str">
        <f>IF(H354=0,"No plan at start",I354/H354)</f>
        <v>No plan at start</v>
      </c>
      <c r="K354" s="52">
        <f>H354-I354</f>
        <v>0</v>
      </c>
      <c r="L354" s="49">
        <v>0</v>
      </c>
      <c r="M354" s="49">
        <f>I354+L354</f>
        <v>0</v>
      </c>
      <c r="N354" s="49">
        <f>M354-H354</f>
        <v>0</v>
      </c>
      <c r="O354" s="50" t="str">
        <f>IF(H354=0,"No plan at start",M354/H354)</f>
        <v>No plan at start</v>
      </c>
      <c r="P354" s="53"/>
      <c r="Q354" s="54"/>
      <c r="R354" s="55"/>
      <c r="S354" s="55"/>
    </row>
    <row r="355" spans="1:19" s="10" customFormat="1" hidden="1" outlineLevel="2" x14ac:dyDescent="0.2">
      <c r="A355" s="11"/>
      <c r="B355" s="49" t="s">
        <v>96</v>
      </c>
      <c r="C355" s="49" t="s">
        <v>58</v>
      </c>
      <c r="D355" s="49">
        <v>0</v>
      </c>
      <c r="E355" s="49">
        <v>0</v>
      </c>
      <c r="F355" s="49">
        <f>E355-D355</f>
        <v>0</v>
      </c>
      <c r="G355" s="50">
        <f>IF(D355=0,0,ABS(F355/D355))</f>
        <v>0</v>
      </c>
      <c r="H355" s="49">
        <v>0</v>
      </c>
      <c r="I355" s="49">
        <v>0</v>
      </c>
      <c r="J355" s="51" t="str">
        <f>IF(H355=0,"No plan at start",I355/H355)</f>
        <v>No plan at start</v>
      </c>
      <c r="K355" s="52">
        <f>H355-I355</f>
        <v>0</v>
      </c>
      <c r="L355" s="49">
        <v>0</v>
      </c>
      <c r="M355" s="49">
        <f>I355+L355</f>
        <v>0</v>
      </c>
      <c r="N355" s="49">
        <f>M355-H355</f>
        <v>0</v>
      </c>
      <c r="O355" s="50" t="str">
        <f>IF(H355=0,"No plan at start",M355/H355)</f>
        <v>No plan at start</v>
      </c>
      <c r="P355" s="53"/>
      <c r="Q355" s="54"/>
      <c r="R355" s="55"/>
      <c r="S355" s="55"/>
    </row>
    <row r="356" spans="1:19" s="10" customFormat="1" hidden="1" outlineLevel="2" x14ac:dyDescent="0.2">
      <c r="A356" s="11"/>
      <c r="B356" s="49" t="s">
        <v>96</v>
      </c>
      <c r="C356" s="49" t="s">
        <v>59</v>
      </c>
      <c r="D356" s="49">
        <v>0</v>
      </c>
      <c r="E356" s="49">
        <v>0</v>
      </c>
      <c r="F356" s="49">
        <f>E356-D356</f>
        <v>0</v>
      </c>
      <c r="G356" s="50">
        <f>IF(D356=0,0,ABS(F356/D356))</f>
        <v>0</v>
      </c>
      <c r="H356" s="49">
        <v>0</v>
      </c>
      <c r="I356" s="49">
        <v>0</v>
      </c>
      <c r="J356" s="51" t="str">
        <f>IF(H356=0,"No plan at start",I356/H356)</f>
        <v>No plan at start</v>
      </c>
      <c r="K356" s="52">
        <f>H356-I356</f>
        <v>0</v>
      </c>
      <c r="L356" s="49">
        <v>0</v>
      </c>
      <c r="M356" s="49">
        <f>I356+L356</f>
        <v>0</v>
      </c>
      <c r="N356" s="49">
        <f>M356-H356</f>
        <v>0</v>
      </c>
      <c r="O356" s="50" t="str">
        <f>IF(H356=0,"No plan at start",M356/H356)</f>
        <v>No plan at start</v>
      </c>
      <c r="P356" s="53"/>
      <c r="Q356" s="54"/>
      <c r="R356" s="55"/>
      <c r="S356" s="55"/>
    </row>
    <row r="357" spans="1:19" s="10" customFormat="1" outlineLevel="1" collapsed="1" x14ac:dyDescent="0.2">
      <c r="A357" s="11"/>
      <c r="B357" s="56" t="s">
        <v>135</v>
      </c>
      <c r="C357" s="49"/>
      <c r="D357" s="49">
        <f>SUBTOTAL(9,D349:D356)</f>
        <v>0</v>
      </c>
      <c r="E357" s="49">
        <f>SUBTOTAL(9,E349:E356)</f>
        <v>0</v>
      </c>
      <c r="F357" s="49">
        <f>SUBTOTAL(9,F349:F356)</f>
        <v>0</v>
      </c>
      <c r="G357" s="50">
        <f>IF(D357=0,0,ABS(F357/D357))</f>
        <v>0</v>
      </c>
      <c r="H357" s="49">
        <f>SUBTOTAL(9,H349:H356)</f>
        <v>0</v>
      </c>
      <c r="I357" s="49">
        <f>SUBTOTAL(9,I349:I356)</f>
        <v>0</v>
      </c>
      <c r="J357" s="51" t="str">
        <f>IF(H357=0,"No plan at start",I357/H357)</f>
        <v>No plan at start</v>
      </c>
      <c r="K357" s="52">
        <f>SUBTOTAL(9,K349:K356)</f>
        <v>0</v>
      </c>
      <c r="L357" s="49">
        <f>SUBTOTAL(9,L349:L356)</f>
        <v>0</v>
      </c>
      <c r="M357" s="49">
        <f>SUBTOTAL(9,M349:M356)</f>
        <v>0</v>
      </c>
      <c r="N357" s="49">
        <f>SUBTOTAL(9,N349:N356)</f>
        <v>0</v>
      </c>
      <c r="O357" s="50" t="str">
        <f>IF(H357=0,"No plan at start",M357/H357)</f>
        <v>No plan at start</v>
      </c>
      <c r="P357" s="53"/>
      <c r="Q357" s="54"/>
      <c r="R357" s="55"/>
      <c r="S357" s="55"/>
    </row>
    <row r="358" spans="1:19" s="10" customFormat="1" hidden="1" outlineLevel="2" x14ac:dyDescent="0.2">
      <c r="A358" s="11"/>
      <c r="B358" s="49" t="s">
        <v>97</v>
      </c>
      <c r="C358" s="49" t="s">
        <v>52</v>
      </c>
      <c r="D358" s="49">
        <v>0</v>
      </c>
      <c r="E358" s="49">
        <v>1</v>
      </c>
      <c r="F358" s="49">
        <f>E358-D358</f>
        <v>1</v>
      </c>
      <c r="G358" s="50">
        <f>IF(D358=0,0,ABS(F358/D358))</f>
        <v>0</v>
      </c>
      <c r="H358" s="49">
        <v>0</v>
      </c>
      <c r="I358" s="49">
        <v>1</v>
      </c>
      <c r="J358" s="51" t="str">
        <f>IF(H358=0,"No plan at start",I358/H358)</f>
        <v>No plan at start</v>
      </c>
      <c r="K358" s="52">
        <f>H358-I358</f>
        <v>-1</v>
      </c>
      <c r="L358" s="49">
        <v>0</v>
      </c>
      <c r="M358" s="49">
        <f>I358+L358</f>
        <v>1</v>
      </c>
      <c r="N358" s="49">
        <f>M358-H358</f>
        <v>1</v>
      </c>
      <c r="O358" s="50" t="str">
        <f>IF(H358=0,"No plan at start",M358/H358)</f>
        <v>No plan at start</v>
      </c>
      <c r="P358" s="53"/>
      <c r="Q358" s="54"/>
      <c r="R358" s="55"/>
      <c r="S358" s="55"/>
    </row>
    <row r="359" spans="1:19" s="10" customFormat="1" hidden="1" outlineLevel="2" x14ac:dyDescent="0.2">
      <c r="A359" s="11"/>
      <c r="B359" s="49" t="s">
        <v>97</v>
      </c>
      <c r="C359" s="49" t="s">
        <v>53</v>
      </c>
      <c r="D359" s="49">
        <v>0</v>
      </c>
      <c r="E359" s="49">
        <v>0</v>
      </c>
      <c r="F359" s="49">
        <f>E359-D359</f>
        <v>0</v>
      </c>
      <c r="G359" s="50">
        <f>IF(D359=0,0,ABS(F359/D359))</f>
        <v>0</v>
      </c>
      <c r="H359" s="49">
        <v>0</v>
      </c>
      <c r="I359" s="49">
        <v>0</v>
      </c>
      <c r="J359" s="51" t="str">
        <f>IF(H359=0,"No plan at start",I359/H359)</f>
        <v>No plan at start</v>
      </c>
      <c r="K359" s="52">
        <f>H359-I359</f>
        <v>0</v>
      </c>
      <c r="L359" s="49">
        <v>0</v>
      </c>
      <c r="M359" s="49">
        <f>I359+L359</f>
        <v>0</v>
      </c>
      <c r="N359" s="49">
        <f>M359-H359</f>
        <v>0</v>
      </c>
      <c r="O359" s="50" t="str">
        <f>IF(H359=0,"No plan at start",M359/H359)</f>
        <v>No plan at start</v>
      </c>
      <c r="P359" s="53"/>
      <c r="Q359" s="54"/>
      <c r="R359" s="55"/>
      <c r="S359" s="55"/>
    </row>
    <row r="360" spans="1:19" s="10" customFormat="1" hidden="1" outlineLevel="2" x14ac:dyDescent="0.2">
      <c r="A360" s="11"/>
      <c r="B360" s="49" t="s">
        <v>97</v>
      </c>
      <c r="C360" s="49" t="s">
        <v>54</v>
      </c>
      <c r="D360" s="49">
        <v>0</v>
      </c>
      <c r="E360" s="49">
        <v>0</v>
      </c>
      <c r="F360" s="49">
        <f>E360-D360</f>
        <v>0</v>
      </c>
      <c r="G360" s="50">
        <f>IF(D360=0,0,ABS(F360/D360))</f>
        <v>0</v>
      </c>
      <c r="H360" s="49">
        <v>0</v>
      </c>
      <c r="I360" s="49">
        <v>0</v>
      </c>
      <c r="J360" s="51" t="str">
        <f>IF(H360=0,"No plan at start",I360/H360)</f>
        <v>No plan at start</v>
      </c>
      <c r="K360" s="52">
        <f>H360-I360</f>
        <v>0</v>
      </c>
      <c r="L360" s="49">
        <v>0</v>
      </c>
      <c r="M360" s="49">
        <f>I360+L360</f>
        <v>0</v>
      </c>
      <c r="N360" s="49">
        <f>M360-H360</f>
        <v>0</v>
      </c>
      <c r="O360" s="50" t="str">
        <f>IF(H360=0,"No plan at start",M360/H360)</f>
        <v>No plan at start</v>
      </c>
      <c r="P360" s="53"/>
      <c r="Q360" s="54"/>
      <c r="R360" s="55"/>
      <c r="S360" s="55"/>
    </row>
    <row r="361" spans="1:19" s="10" customFormat="1" hidden="1" outlineLevel="2" x14ac:dyDescent="0.2">
      <c r="A361" s="11"/>
      <c r="B361" s="49" t="s">
        <v>97</v>
      </c>
      <c r="C361" s="49" t="s">
        <v>55</v>
      </c>
      <c r="D361" s="49">
        <v>0</v>
      </c>
      <c r="E361" s="49">
        <v>0</v>
      </c>
      <c r="F361" s="49">
        <f>E361-D361</f>
        <v>0</v>
      </c>
      <c r="G361" s="50">
        <f>IF(D361=0,0,ABS(F361/D361))</f>
        <v>0</v>
      </c>
      <c r="H361" s="49">
        <v>0</v>
      </c>
      <c r="I361" s="49">
        <v>0</v>
      </c>
      <c r="J361" s="51" t="str">
        <f>IF(H361=0,"No plan at start",I361/H361)</f>
        <v>No plan at start</v>
      </c>
      <c r="K361" s="52">
        <f>H361-I361</f>
        <v>0</v>
      </c>
      <c r="L361" s="49">
        <v>0</v>
      </c>
      <c r="M361" s="49">
        <f>I361+L361</f>
        <v>0</v>
      </c>
      <c r="N361" s="49">
        <f>M361-H361</f>
        <v>0</v>
      </c>
      <c r="O361" s="50" t="str">
        <f>IF(H361=0,"No plan at start",M361/H361)</f>
        <v>No plan at start</v>
      </c>
      <c r="P361" s="53"/>
      <c r="Q361" s="54"/>
      <c r="R361" s="55"/>
      <c r="S361" s="55"/>
    </row>
    <row r="362" spans="1:19" s="10" customFormat="1" hidden="1" outlineLevel="2" x14ac:dyDescent="0.2">
      <c r="A362" s="11"/>
      <c r="B362" s="49" t="s">
        <v>97</v>
      </c>
      <c r="C362" s="49" t="s">
        <v>56</v>
      </c>
      <c r="D362" s="49">
        <v>0</v>
      </c>
      <c r="E362" s="49">
        <v>0</v>
      </c>
      <c r="F362" s="49">
        <f>E362-D362</f>
        <v>0</v>
      </c>
      <c r="G362" s="50">
        <f>IF(D362=0,0,ABS(F362/D362))</f>
        <v>0</v>
      </c>
      <c r="H362" s="49">
        <v>0</v>
      </c>
      <c r="I362" s="49">
        <v>0</v>
      </c>
      <c r="J362" s="51" t="str">
        <f>IF(H362=0,"No plan at start",I362/H362)</f>
        <v>No plan at start</v>
      </c>
      <c r="K362" s="52">
        <f>H362-I362</f>
        <v>0</v>
      </c>
      <c r="L362" s="49">
        <v>0</v>
      </c>
      <c r="M362" s="49">
        <f>I362+L362</f>
        <v>0</v>
      </c>
      <c r="N362" s="49">
        <f>M362-H362</f>
        <v>0</v>
      </c>
      <c r="O362" s="50" t="str">
        <f>IF(H362=0,"No plan at start",M362/H362)</f>
        <v>No plan at start</v>
      </c>
      <c r="P362" s="53"/>
      <c r="Q362" s="54"/>
      <c r="R362" s="55"/>
      <c r="S362" s="55"/>
    </row>
    <row r="363" spans="1:19" s="10" customFormat="1" hidden="1" outlineLevel="2" x14ac:dyDescent="0.2">
      <c r="A363" s="11"/>
      <c r="B363" s="49" t="s">
        <v>97</v>
      </c>
      <c r="C363" s="49" t="s">
        <v>57</v>
      </c>
      <c r="D363" s="49">
        <v>0</v>
      </c>
      <c r="E363" s="49">
        <v>0</v>
      </c>
      <c r="F363" s="49">
        <f>E363-D363</f>
        <v>0</v>
      </c>
      <c r="G363" s="50">
        <f>IF(D363=0,0,ABS(F363/D363))</f>
        <v>0</v>
      </c>
      <c r="H363" s="49">
        <v>0</v>
      </c>
      <c r="I363" s="49">
        <v>0</v>
      </c>
      <c r="J363" s="51" t="str">
        <f>IF(H363=0,"No plan at start",I363/H363)</f>
        <v>No plan at start</v>
      </c>
      <c r="K363" s="52">
        <f>H363-I363</f>
        <v>0</v>
      </c>
      <c r="L363" s="49">
        <v>0</v>
      </c>
      <c r="M363" s="49">
        <f>I363+L363</f>
        <v>0</v>
      </c>
      <c r="N363" s="49">
        <f>M363-H363</f>
        <v>0</v>
      </c>
      <c r="O363" s="50" t="str">
        <f>IF(H363=0,"No plan at start",M363/H363)</f>
        <v>No plan at start</v>
      </c>
      <c r="P363" s="53"/>
      <c r="Q363" s="54"/>
      <c r="R363" s="55"/>
      <c r="S363" s="55"/>
    </row>
    <row r="364" spans="1:19" s="10" customFormat="1" hidden="1" outlineLevel="2" x14ac:dyDescent="0.2">
      <c r="A364" s="11"/>
      <c r="B364" s="49" t="s">
        <v>97</v>
      </c>
      <c r="C364" s="49" t="s">
        <v>58</v>
      </c>
      <c r="D364" s="49">
        <v>0</v>
      </c>
      <c r="E364" s="49">
        <v>0</v>
      </c>
      <c r="F364" s="49">
        <f>E364-D364</f>
        <v>0</v>
      </c>
      <c r="G364" s="50">
        <f>IF(D364=0,0,ABS(F364/D364))</f>
        <v>0</v>
      </c>
      <c r="H364" s="49">
        <v>0</v>
      </c>
      <c r="I364" s="49">
        <v>0</v>
      </c>
      <c r="J364" s="51" t="str">
        <f>IF(H364=0,"No plan at start",I364/H364)</f>
        <v>No plan at start</v>
      </c>
      <c r="K364" s="52">
        <f>H364-I364</f>
        <v>0</v>
      </c>
      <c r="L364" s="49">
        <v>0</v>
      </c>
      <c r="M364" s="49">
        <f>I364+L364</f>
        <v>0</v>
      </c>
      <c r="N364" s="49">
        <f>M364-H364</f>
        <v>0</v>
      </c>
      <c r="O364" s="50" t="str">
        <f>IF(H364=0,"No plan at start",M364/H364)</f>
        <v>No plan at start</v>
      </c>
      <c r="P364" s="53"/>
      <c r="Q364" s="54"/>
      <c r="R364" s="55"/>
      <c r="S364" s="55"/>
    </row>
    <row r="365" spans="1:19" s="10" customFormat="1" hidden="1" outlineLevel="2" x14ac:dyDescent="0.2">
      <c r="A365" s="11"/>
      <c r="B365" s="49" t="s">
        <v>97</v>
      </c>
      <c r="C365" s="49" t="s">
        <v>59</v>
      </c>
      <c r="D365" s="49">
        <v>0</v>
      </c>
      <c r="E365" s="49">
        <v>0</v>
      </c>
      <c r="F365" s="49">
        <f>E365-D365</f>
        <v>0</v>
      </c>
      <c r="G365" s="50">
        <f>IF(D365=0,0,ABS(F365/D365))</f>
        <v>0</v>
      </c>
      <c r="H365" s="49">
        <v>0</v>
      </c>
      <c r="I365" s="49">
        <v>0</v>
      </c>
      <c r="J365" s="51" t="str">
        <f t="shared" ref="J365:J366" si="0">IF(H365=0,"No plan at start",I365/H365)</f>
        <v>No plan at start</v>
      </c>
      <c r="K365" s="52">
        <f>H365-I365</f>
        <v>0</v>
      </c>
      <c r="L365" s="49">
        <v>0</v>
      </c>
      <c r="M365" s="49">
        <f>I365+L365</f>
        <v>0</v>
      </c>
      <c r="N365" s="49">
        <f>M365-H365</f>
        <v>0</v>
      </c>
      <c r="O365" s="50" t="str">
        <f>IF(H365=0,"No plan at start",M365/H365)</f>
        <v>No plan at start</v>
      </c>
      <c r="P365" s="53"/>
      <c r="Q365" s="54"/>
      <c r="R365" s="55"/>
      <c r="S365" s="55"/>
    </row>
    <row r="366" spans="1:19" s="10" customFormat="1" outlineLevel="1" collapsed="1" x14ac:dyDescent="0.2">
      <c r="A366" s="11"/>
      <c r="B366" s="56" t="s">
        <v>136</v>
      </c>
      <c r="C366" s="49"/>
      <c r="D366" s="49">
        <f>SUBTOTAL(9,D358:D365)</f>
        <v>0</v>
      </c>
      <c r="E366" s="49">
        <f>SUBTOTAL(9,E358:E365)</f>
        <v>1</v>
      </c>
      <c r="F366" s="49">
        <f>SUBTOTAL(9,F358:F365)</f>
        <v>1</v>
      </c>
      <c r="G366" s="50">
        <f>IF(D366=0,0,ABS(F366/D366))</f>
        <v>0</v>
      </c>
      <c r="H366" s="49">
        <f>SUBTOTAL(9,H358:H365)</f>
        <v>0</v>
      </c>
      <c r="I366" s="49">
        <f>SUBTOTAL(9,I358:I365)</f>
        <v>1</v>
      </c>
      <c r="J366" s="51" t="str">
        <f t="shared" si="0"/>
        <v>No plan at start</v>
      </c>
      <c r="K366" s="52">
        <f>SUBTOTAL(9,K358:K365)</f>
        <v>-1</v>
      </c>
      <c r="L366" s="49">
        <f>SUBTOTAL(9,L358:L365)</f>
        <v>0</v>
      </c>
      <c r="M366" s="49">
        <f>SUBTOTAL(9,M358:M365)</f>
        <v>1</v>
      </c>
      <c r="N366" s="49">
        <f>SUBTOTAL(9,N358:N365)</f>
        <v>1</v>
      </c>
      <c r="O366" s="50" t="str">
        <f>IF(H366=0,"No plan at start",M366/H366)</f>
        <v>No plan at start</v>
      </c>
      <c r="P366" s="53"/>
      <c r="Q366" s="54"/>
      <c r="R366" s="55"/>
      <c r="S366" s="55"/>
    </row>
    <row r="367" spans="1:19" s="10" customFormat="1" ht="28.5" customHeight="1" x14ac:dyDescent="0.2">
      <c r="A367" s="11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</row>
    <row r="368" spans="1:19" x14ac:dyDescent="0.2">
      <c r="B368" s="37" t="s">
        <v>35</v>
      </c>
      <c r="C368" s="38"/>
      <c r="D368" s="38"/>
      <c r="E368" s="38"/>
      <c r="F368" s="39"/>
      <c r="G368" s="39"/>
      <c r="H368" s="40"/>
      <c r="I368" s="10"/>
      <c r="J368" s="10"/>
      <c r="K368" s="41"/>
      <c r="L368" s="10"/>
      <c r="M368" s="42"/>
      <c r="N368" s="10"/>
      <c r="O368" s="10"/>
    </row>
    <row r="369" spans="2:15" x14ac:dyDescent="0.2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</row>
    <row r="370" spans="2:15" x14ac:dyDescent="0.2">
      <c r="B370" s="43"/>
      <c r="C370" s="43"/>
      <c r="D370" s="43" t="s">
        <v>2</v>
      </c>
      <c r="E370" s="43" t="s">
        <v>3</v>
      </c>
      <c r="F370" s="43" t="s">
        <v>13</v>
      </c>
      <c r="G370" s="43" t="s">
        <v>4</v>
      </c>
      <c r="H370" s="43" t="s">
        <v>25</v>
      </c>
      <c r="I370" s="43" t="s">
        <v>42</v>
      </c>
      <c r="J370" s="44" t="s">
        <v>43</v>
      </c>
      <c r="K370" s="44" t="s">
        <v>44</v>
      </c>
      <c r="L370" s="43" t="s">
        <v>24</v>
      </c>
      <c r="M370" s="43" t="s">
        <v>45</v>
      </c>
      <c r="N370" s="43" t="s">
        <v>27</v>
      </c>
      <c r="O370" s="43" t="s">
        <v>28</v>
      </c>
    </row>
    <row r="371" spans="2:15" ht="76.5" x14ac:dyDescent="0.2">
      <c r="B371" s="46" t="s">
        <v>17</v>
      </c>
      <c r="C371" s="46" t="s">
        <v>33</v>
      </c>
      <c r="D371" s="57" t="s">
        <v>18</v>
      </c>
      <c r="E371" s="57" t="s">
        <v>19</v>
      </c>
      <c r="F371" s="57" t="s">
        <v>20</v>
      </c>
      <c r="G371" s="57" t="s">
        <v>12</v>
      </c>
      <c r="H371" s="57" t="s">
        <v>36</v>
      </c>
      <c r="I371" s="57" t="s">
        <v>37</v>
      </c>
      <c r="J371" s="58" t="s">
        <v>38</v>
      </c>
      <c r="K371" s="58" t="s">
        <v>22</v>
      </c>
      <c r="L371" s="57" t="s">
        <v>39</v>
      </c>
      <c r="M371" s="57" t="s">
        <v>40</v>
      </c>
      <c r="N371" s="57" t="s">
        <v>41</v>
      </c>
      <c r="O371" s="57" t="s">
        <v>29</v>
      </c>
    </row>
    <row r="372" spans="2:15" hidden="1" outlineLevel="2" x14ac:dyDescent="0.2">
      <c r="B372" s="49" t="s">
        <v>51</v>
      </c>
      <c r="C372" s="49" t="s">
        <v>52</v>
      </c>
      <c r="D372" s="49">
        <v>0</v>
      </c>
      <c r="E372" s="49">
        <v>0</v>
      </c>
      <c r="F372" s="49">
        <f>E372-D372</f>
        <v>0</v>
      </c>
      <c r="G372" s="50">
        <f>IF(D372=0,0,ABS(F372/D372))</f>
        <v>0</v>
      </c>
      <c r="H372" s="49">
        <v>0</v>
      </c>
      <c r="I372" s="49">
        <v>45066.580000000118</v>
      </c>
      <c r="J372" s="51" t="str">
        <f>IF(H372=0,"No plan at start",I372/H372)</f>
        <v>No plan at start</v>
      </c>
      <c r="K372" s="52">
        <f>H372-I372</f>
        <v>-45066.580000000118</v>
      </c>
      <c r="L372" s="49">
        <v>0</v>
      </c>
      <c r="M372" s="49">
        <f>I372+L372</f>
        <v>45066.580000000118</v>
      </c>
      <c r="N372" s="49">
        <f>M372-H372</f>
        <v>45066.580000000118</v>
      </c>
      <c r="O372" s="50" t="str">
        <f>IF(H372=0,"No plan at start",M372/H372)</f>
        <v>No plan at start</v>
      </c>
    </row>
    <row r="373" spans="2:15" hidden="1" outlineLevel="2" x14ac:dyDescent="0.2">
      <c r="B373" s="49" t="s">
        <v>51</v>
      </c>
      <c r="C373" s="49" t="s">
        <v>53</v>
      </c>
      <c r="D373" s="49">
        <v>0</v>
      </c>
      <c r="E373" s="49">
        <v>0</v>
      </c>
      <c r="F373" s="49">
        <f>E373-D373</f>
        <v>0</v>
      </c>
      <c r="G373" s="50">
        <f>IF(D373=0,0,ABS(F373/D373))</f>
        <v>0</v>
      </c>
      <c r="H373" s="49">
        <v>0</v>
      </c>
      <c r="I373" s="49">
        <v>0</v>
      </c>
      <c r="J373" s="51" t="str">
        <f>IF(H373=0,"No plan at start",I373/H373)</f>
        <v>No plan at start</v>
      </c>
      <c r="K373" s="52">
        <f>H373-I373</f>
        <v>0</v>
      </c>
      <c r="L373" s="49">
        <v>0</v>
      </c>
      <c r="M373" s="49">
        <f>I373+L373</f>
        <v>0</v>
      </c>
      <c r="N373" s="49">
        <f>M373-H373</f>
        <v>0</v>
      </c>
      <c r="O373" s="50" t="str">
        <f>IF(H373=0,"No plan at start",M373/H373)</f>
        <v>No plan at start</v>
      </c>
    </row>
    <row r="374" spans="2:15" hidden="1" outlineLevel="2" x14ac:dyDescent="0.2">
      <c r="B374" s="49" t="s">
        <v>51</v>
      </c>
      <c r="C374" s="49" t="s">
        <v>54</v>
      </c>
      <c r="D374" s="49">
        <v>0</v>
      </c>
      <c r="E374" s="49">
        <v>0</v>
      </c>
      <c r="F374" s="49">
        <f>E374-D374</f>
        <v>0</v>
      </c>
      <c r="G374" s="50">
        <f>IF(D374=0,0,ABS(F374/D374))</f>
        <v>0</v>
      </c>
      <c r="H374" s="49">
        <v>0</v>
      </c>
      <c r="I374" s="49">
        <v>0</v>
      </c>
      <c r="J374" s="51" t="str">
        <f>IF(H374=0,"No plan at start",I374/H374)</f>
        <v>No plan at start</v>
      </c>
      <c r="K374" s="52">
        <f>H374-I374</f>
        <v>0</v>
      </c>
      <c r="L374" s="49">
        <v>0</v>
      </c>
      <c r="M374" s="49">
        <f>I374+L374</f>
        <v>0</v>
      </c>
      <c r="N374" s="49">
        <f>M374-H374</f>
        <v>0</v>
      </c>
      <c r="O374" s="50" t="str">
        <f>IF(H374=0,"No plan at start",M374/H374)</f>
        <v>No plan at start</v>
      </c>
    </row>
    <row r="375" spans="2:15" hidden="1" outlineLevel="2" x14ac:dyDescent="0.2">
      <c r="B375" s="49" t="s">
        <v>51</v>
      </c>
      <c r="C375" s="49" t="s">
        <v>55</v>
      </c>
      <c r="D375" s="49">
        <v>0</v>
      </c>
      <c r="E375" s="49">
        <v>0</v>
      </c>
      <c r="F375" s="49">
        <f>E375-D375</f>
        <v>0</v>
      </c>
      <c r="G375" s="50">
        <f>IF(D375=0,0,ABS(F375/D375))</f>
        <v>0</v>
      </c>
      <c r="H375" s="49">
        <v>0</v>
      </c>
      <c r="I375" s="49">
        <v>0</v>
      </c>
      <c r="J375" s="51" t="str">
        <f>IF(H375=0,"No plan at start",I375/H375)</f>
        <v>No plan at start</v>
      </c>
      <c r="K375" s="52">
        <f>H375-I375</f>
        <v>0</v>
      </c>
      <c r="L375" s="49">
        <v>0</v>
      </c>
      <c r="M375" s="49">
        <f>I375+L375</f>
        <v>0</v>
      </c>
      <c r="N375" s="49">
        <f>M375-H375</f>
        <v>0</v>
      </c>
      <c r="O375" s="50" t="str">
        <f>IF(H375=0,"No plan at start",M375/H375)</f>
        <v>No plan at start</v>
      </c>
    </row>
    <row r="376" spans="2:15" hidden="1" outlineLevel="2" x14ac:dyDescent="0.2">
      <c r="B376" s="49" t="s">
        <v>51</v>
      </c>
      <c r="C376" s="49" t="s">
        <v>56</v>
      </c>
      <c r="D376" s="49">
        <v>0</v>
      </c>
      <c r="E376" s="49">
        <v>0</v>
      </c>
      <c r="F376" s="49">
        <f>E376-D376</f>
        <v>0</v>
      </c>
      <c r="G376" s="50">
        <f>IF(D376=0,0,ABS(F376/D376))</f>
        <v>0</v>
      </c>
      <c r="H376" s="49">
        <v>0</v>
      </c>
      <c r="I376" s="49">
        <v>26998.400000000056</v>
      </c>
      <c r="J376" s="51" t="str">
        <f>IF(H376=0,"No plan at start",I376/H376)</f>
        <v>No plan at start</v>
      </c>
      <c r="K376" s="52">
        <f>H376-I376</f>
        <v>-26998.400000000056</v>
      </c>
      <c r="L376" s="49">
        <v>0</v>
      </c>
      <c r="M376" s="49">
        <f>I376+L376</f>
        <v>26998.400000000056</v>
      </c>
      <c r="N376" s="49">
        <f>M376-H376</f>
        <v>26998.400000000056</v>
      </c>
      <c r="O376" s="50" t="str">
        <f>IF(H376=0,"No plan at start",M376/H376)</f>
        <v>No plan at start</v>
      </c>
    </row>
    <row r="377" spans="2:15" hidden="1" outlineLevel="2" x14ac:dyDescent="0.2">
      <c r="B377" s="49" t="s">
        <v>51</v>
      </c>
      <c r="C377" s="49" t="s">
        <v>57</v>
      </c>
      <c r="D377" s="49">
        <v>0</v>
      </c>
      <c r="E377" s="49">
        <v>0</v>
      </c>
      <c r="F377" s="49">
        <f>E377-D377</f>
        <v>0</v>
      </c>
      <c r="G377" s="50">
        <f>IF(D377=0,0,ABS(F377/D377))</f>
        <v>0</v>
      </c>
      <c r="H377" s="49">
        <v>0</v>
      </c>
      <c r="I377" s="49">
        <v>3577.6000000000004</v>
      </c>
      <c r="J377" s="51" t="str">
        <f>IF(H377=0,"No plan at start",I377/H377)</f>
        <v>No plan at start</v>
      </c>
      <c r="K377" s="52">
        <f>H377-I377</f>
        <v>-3577.6000000000004</v>
      </c>
      <c r="L377" s="49">
        <v>0</v>
      </c>
      <c r="M377" s="49">
        <f>I377+L377</f>
        <v>3577.6000000000004</v>
      </c>
      <c r="N377" s="49">
        <f>M377-H377</f>
        <v>3577.6000000000004</v>
      </c>
      <c r="O377" s="50" t="str">
        <f>IF(H377=0,"No plan at start",M377/H377)</f>
        <v>No plan at start</v>
      </c>
    </row>
    <row r="378" spans="2:15" hidden="1" outlineLevel="2" x14ac:dyDescent="0.2">
      <c r="B378" s="49" t="s">
        <v>51</v>
      </c>
      <c r="C378" s="49" t="s">
        <v>58</v>
      </c>
      <c r="D378" s="49">
        <v>0</v>
      </c>
      <c r="E378" s="49">
        <v>0</v>
      </c>
      <c r="F378" s="49">
        <f>E378-D378</f>
        <v>0</v>
      </c>
      <c r="G378" s="50">
        <f>IF(D378=0,0,ABS(F378/D378))</f>
        <v>0</v>
      </c>
      <c r="H378" s="49">
        <v>134416</v>
      </c>
      <c r="I378" s="49">
        <v>232398.66000000108</v>
      </c>
      <c r="J378" s="51">
        <f>IF(H378=0,"No plan at start",I378/H378)</f>
        <v>1.7289508689441813</v>
      </c>
      <c r="K378" s="52">
        <f>H378-I378</f>
        <v>-97982.66000000108</v>
      </c>
      <c r="L378" s="49">
        <v>0</v>
      </c>
      <c r="M378" s="49">
        <f>I378+L378</f>
        <v>232398.66000000108</v>
      </c>
      <c r="N378" s="49">
        <f>M378-H378</f>
        <v>97982.66000000108</v>
      </c>
      <c r="O378" s="50">
        <f>IF(H378=0,"No plan at start",M378/H378)</f>
        <v>1.7289508689441813</v>
      </c>
    </row>
    <row r="379" spans="2:15" hidden="1" outlineLevel="2" x14ac:dyDescent="0.2">
      <c r="B379" s="49" t="s">
        <v>51</v>
      </c>
      <c r="C379" s="49" t="s">
        <v>59</v>
      </c>
      <c r="D379" s="49">
        <v>0</v>
      </c>
      <c r="E379" s="49">
        <v>0</v>
      </c>
      <c r="F379" s="49">
        <f>E379-D379</f>
        <v>0</v>
      </c>
      <c r="G379" s="50">
        <f>IF(D379=0,0,ABS(F379/D379))</f>
        <v>0</v>
      </c>
      <c r="H379" s="49">
        <v>0</v>
      </c>
      <c r="I379" s="49">
        <v>0</v>
      </c>
      <c r="J379" s="51" t="str">
        <f>IF(H379=0,"No plan at start",I379/H379)</f>
        <v>No plan at start</v>
      </c>
      <c r="K379" s="52">
        <f>H379-I379</f>
        <v>0</v>
      </c>
      <c r="L379" s="49">
        <v>0</v>
      </c>
      <c r="M379" s="49">
        <f>I379+L379</f>
        <v>0</v>
      </c>
      <c r="N379" s="49">
        <f>M379-H379</f>
        <v>0</v>
      </c>
      <c r="O379" s="50" t="str">
        <f>IF(H379=0,"No plan at start",M379/H379)</f>
        <v>No plan at start</v>
      </c>
    </row>
    <row r="380" spans="2:15" outlineLevel="1" collapsed="1" x14ac:dyDescent="0.2">
      <c r="B380" s="56" t="s">
        <v>98</v>
      </c>
      <c r="C380" s="49"/>
      <c r="D380" s="49">
        <f>SUBTOTAL(9,D372:D379)</f>
        <v>0</v>
      </c>
      <c r="E380" s="49">
        <f>SUBTOTAL(9,E372:E379)</f>
        <v>0</v>
      </c>
      <c r="F380" s="49">
        <f>SUBTOTAL(9,F372:F379)</f>
        <v>0</v>
      </c>
      <c r="G380" s="50">
        <f>IF(D380=0,0,ABS(F380/D380))</f>
        <v>0</v>
      </c>
      <c r="H380" s="49">
        <f>SUBTOTAL(9,H372:H379)</f>
        <v>134416</v>
      </c>
      <c r="I380" s="49">
        <f>SUBTOTAL(9,I372:I379)</f>
        <v>308041.24000000127</v>
      </c>
      <c r="J380" s="51">
        <f>IF(H380=0,"No plan at start",I380/H380)</f>
        <v>2.29170069039401</v>
      </c>
      <c r="K380" s="52">
        <f>SUBTOTAL(9,K372:K379)</f>
        <v>-173625.24000000127</v>
      </c>
      <c r="L380" s="49">
        <f>SUBTOTAL(9,L372:L379)</f>
        <v>0</v>
      </c>
      <c r="M380" s="49">
        <f>SUBTOTAL(9,M372:M379)</f>
        <v>308041.24000000127</v>
      </c>
      <c r="N380" s="49">
        <f>SUBTOTAL(9,N372:N379)</f>
        <v>173625.24000000127</v>
      </c>
      <c r="O380" s="50">
        <f>IF(H380=0,"No plan at start",M380/H380)</f>
        <v>2.29170069039401</v>
      </c>
    </row>
    <row r="381" spans="2:15" hidden="1" outlineLevel="2" x14ac:dyDescent="0.2">
      <c r="B381" s="49" t="s">
        <v>60</v>
      </c>
      <c r="C381" s="49" t="s">
        <v>52</v>
      </c>
      <c r="D381" s="49">
        <v>0</v>
      </c>
      <c r="E381" s="49">
        <v>0</v>
      </c>
      <c r="F381" s="49">
        <f>E381-D381</f>
        <v>0</v>
      </c>
      <c r="G381" s="50">
        <f>IF(D381=0,0,ABS(F381/D381))</f>
        <v>0</v>
      </c>
      <c r="H381" s="49">
        <v>0</v>
      </c>
      <c r="I381" s="49">
        <v>0</v>
      </c>
      <c r="J381" s="51" t="str">
        <f>IF(H381=0,"No plan at start",I381/H381)</f>
        <v>No plan at start</v>
      </c>
      <c r="K381" s="52">
        <f>H381-I381</f>
        <v>0</v>
      </c>
      <c r="L381" s="49">
        <v>0</v>
      </c>
      <c r="M381" s="49">
        <f>I381+L381</f>
        <v>0</v>
      </c>
      <c r="N381" s="49">
        <f>M381-H381</f>
        <v>0</v>
      </c>
      <c r="O381" s="50" t="str">
        <f>IF(H381=0,"No plan at start",M381/H381)</f>
        <v>No plan at start</v>
      </c>
    </row>
    <row r="382" spans="2:15" hidden="1" outlineLevel="2" x14ac:dyDescent="0.2">
      <c r="B382" s="49" t="s">
        <v>60</v>
      </c>
      <c r="C382" s="49" t="s">
        <v>53</v>
      </c>
      <c r="D382" s="49">
        <v>0</v>
      </c>
      <c r="E382" s="49">
        <v>0</v>
      </c>
      <c r="F382" s="49">
        <f>E382-D382</f>
        <v>0</v>
      </c>
      <c r="G382" s="50">
        <f>IF(D382=0,0,ABS(F382/D382))</f>
        <v>0</v>
      </c>
      <c r="H382" s="49">
        <v>0</v>
      </c>
      <c r="I382" s="49">
        <v>0</v>
      </c>
      <c r="J382" s="51" t="str">
        <f>IF(H382=0,"No plan at start",I382/H382)</f>
        <v>No plan at start</v>
      </c>
      <c r="K382" s="52">
        <f>H382-I382</f>
        <v>0</v>
      </c>
      <c r="L382" s="49">
        <v>0</v>
      </c>
      <c r="M382" s="49">
        <f>I382+L382</f>
        <v>0</v>
      </c>
      <c r="N382" s="49">
        <f>M382-H382</f>
        <v>0</v>
      </c>
      <c r="O382" s="50" t="str">
        <f>IF(H382=0,"No plan at start",M382/H382)</f>
        <v>No plan at start</v>
      </c>
    </row>
    <row r="383" spans="2:15" hidden="1" outlineLevel="2" x14ac:dyDescent="0.2">
      <c r="B383" s="49" t="s">
        <v>60</v>
      </c>
      <c r="C383" s="49" t="s">
        <v>54</v>
      </c>
      <c r="D383" s="49">
        <v>0</v>
      </c>
      <c r="E383" s="49">
        <v>0</v>
      </c>
      <c r="F383" s="49">
        <f>E383-D383</f>
        <v>0</v>
      </c>
      <c r="G383" s="50">
        <f>IF(D383=0,0,ABS(F383/D383))</f>
        <v>0</v>
      </c>
      <c r="H383" s="49">
        <v>0</v>
      </c>
      <c r="I383" s="49">
        <v>0</v>
      </c>
      <c r="J383" s="51" t="str">
        <f>IF(H383=0,"No plan at start",I383/H383)</f>
        <v>No plan at start</v>
      </c>
      <c r="K383" s="52">
        <f>H383-I383</f>
        <v>0</v>
      </c>
      <c r="L383" s="49">
        <v>0</v>
      </c>
      <c r="M383" s="49">
        <f>I383+L383</f>
        <v>0</v>
      </c>
      <c r="N383" s="49">
        <f>M383-H383</f>
        <v>0</v>
      </c>
      <c r="O383" s="50" t="str">
        <f>IF(H383=0,"No plan at start",M383/H383)</f>
        <v>No plan at start</v>
      </c>
    </row>
    <row r="384" spans="2:15" hidden="1" outlineLevel="2" x14ac:dyDescent="0.2">
      <c r="B384" s="49" t="s">
        <v>60</v>
      </c>
      <c r="C384" s="49" t="s">
        <v>55</v>
      </c>
      <c r="D384" s="49">
        <v>0</v>
      </c>
      <c r="E384" s="49">
        <v>0</v>
      </c>
      <c r="F384" s="49">
        <f>E384-D384</f>
        <v>0</v>
      </c>
      <c r="G384" s="50">
        <f>IF(D384=0,0,ABS(F384/D384))</f>
        <v>0</v>
      </c>
      <c r="H384" s="49">
        <v>0</v>
      </c>
      <c r="I384" s="49">
        <v>0</v>
      </c>
      <c r="J384" s="51" t="str">
        <f>IF(H384=0,"No plan at start",I384/H384)</f>
        <v>No plan at start</v>
      </c>
      <c r="K384" s="52">
        <f>H384-I384</f>
        <v>0</v>
      </c>
      <c r="L384" s="49">
        <v>0</v>
      </c>
      <c r="M384" s="49">
        <f>I384+L384</f>
        <v>0</v>
      </c>
      <c r="N384" s="49">
        <f>M384-H384</f>
        <v>0</v>
      </c>
      <c r="O384" s="50" t="str">
        <f>IF(H384=0,"No plan at start",M384/H384)</f>
        <v>No plan at start</v>
      </c>
    </row>
    <row r="385" spans="2:15" hidden="1" outlineLevel="2" x14ac:dyDescent="0.2">
      <c r="B385" s="49" t="s">
        <v>60</v>
      </c>
      <c r="C385" s="49" t="s">
        <v>56</v>
      </c>
      <c r="D385" s="49">
        <v>0</v>
      </c>
      <c r="E385" s="49">
        <v>0</v>
      </c>
      <c r="F385" s="49">
        <f>E385-D385</f>
        <v>0</v>
      </c>
      <c r="G385" s="50">
        <f>IF(D385=0,0,ABS(F385/D385))</f>
        <v>0</v>
      </c>
      <c r="H385" s="49">
        <v>0</v>
      </c>
      <c r="I385" s="49">
        <v>0</v>
      </c>
      <c r="J385" s="51" t="str">
        <f>IF(H385=0,"No plan at start",I385/H385)</f>
        <v>No plan at start</v>
      </c>
      <c r="K385" s="52">
        <f>H385-I385</f>
        <v>0</v>
      </c>
      <c r="L385" s="49">
        <v>0</v>
      </c>
      <c r="M385" s="49">
        <f>I385+L385</f>
        <v>0</v>
      </c>
      <c r="N385" s="49">
        <f>M385-H385</f>
        <v>0</v>
      </c>
      <c r="O385" s="50" t="str">
        <f>IF(H385=0,"No plan at start",M385/H385)</f>
        <v>No plan at start</v>
      </c>
    </row>
    <row r="386" spans="2:15" hidden="1" outlineLevel="2" x14ac:dyDescent="0.2">
      <c r="B386" s="49" t="s">
        <v>60</v>
      </c>
      <c r="C386" s="49" t="s">
        <v>57</v>
      </c>
      <c r="D386" s="49">
        <v>0</v>
      </c>
      <c r="E386" s="49">
        <v>0</v>
      </c>
      <c r="F386" s="49">
        <f>E386-D386</f>
        <v>0</v>
      </c>
      <c r="G386" s="50">
        <f>IF(D386=0,0,ABS(F386/D386))</f>
        <v>0</v>
      </c>
      <c r="H386" s="49">
        <v>0</v>
      </c>
      <c r="I386" s="49">
        <v>0</v>
      </c>
      <c r="J386" s="51" t="str">
        <f>IF(H386=0,"No plan at start",I386/H386)</f>
        <v>No plan at start</v>
      </c>
      <c r="K386" s="52">
        <f>H386-I386</f>
        <v>0</v>
      </c>
      <c r="L386" s="49">
        <v>0</v>
      </c>
      <c r="M386" s="49">
        <f>I386+L386</f>
        <v>0</v>
      </c>
      <c r="N386" s="49">
        <f>M386-H386</f>
        <v>0</v>
      </c>
      <c r="O386" s="50" t="str">
        <f>IF(H386=0,"No plan at start",M386/H386)</f>
        <v>No plan at start</v>
      </c>
    </row>
    <row r="387" spans="2:15" hidden="1" outlineLevel="2" x14ac:dyDescent="0.2">
      <c r="B387" s="49" t="s">
        <v>60</v>
      </c>
      <c r="C387" s="49" t="s">
        <v>58</v>
      </c>
      <c r="D387" s="49">
        <v>0</v>
      </c>
      <c r="E387" s="49">
        <v>0</v>
      </c>
      <c r="F387" s="49">
        <f>E387-D387</f>
        <v>0</v>
      </c>
      <c r="G387" s="50">
        <f>IF(D387=0,0,ABS(F387/D387))</f>
        <v>0</v>
      </c>
      <c r="H387" s="49">
        <v>0</v>
      </c>
      <c r="I387" s="49">
        <v>0</v>
      </c>
      <c r="J387" s="51" t="str">
        <f>IF(H387=0,"No plan at start",I387/H387)</f>
        <v>No plan at start</v>
      </c>
      <c r="K387" s="52">
        <f>H387-I387</f>
        <v>0</v>
      </c>
      <c r="L387" s="49">
        <v>0</v>
      </c>
      <c r="M387" s="49">
        <f>I387+L387</f>
        <v>0</v>
      </c>
      <c r="N387" s="49">
        <f>M387-H387</f>
        <v>0</v>
      </c>
      <c r="O387" s="50" t="str">
        <f>IF(H387=0,"No plan at start",M387/H387)</f>
        <v>No plan at start</v>
      </c>
    </row>
    <row r="388" spans="2:15" hidden="1" outlineLevel="2" x14ac:dyDescent="0.2">
      <c r="B388" s="49" t="s">
        <v>60</v>
      </c>
      <c r="C388" s="49" t="s">
        <v>59</v>
      </c>
      <c r="D388" s="49">
        <v>0</v>
      </c>
      <c r="E388" s="49">
        <v>0</v>
      </c>
      <c r="F388" s="49">
        <f>E388-D388</f>
        <v>0</v>
      </c>
      <c r="G388" s="50">
        <f>IF(D388=0,0,ABS(F388/D388))</f>
        <v>0</v>
      </c>
      <c r="H388" s="49">
        <v>0</v>
      </c>
      <c r="I388" s="49">
        <v>0</v>
      </c>
      <c r="J388" s="51" t="str">
        <f>IF(H388=0,"No plan at start",I388/H388)</f>
        <v>No plan at start</v>
      </c>
      <c r="K388" s="52">
        <f>H388-I388</f>
        <v>0</v>
      </c>
      <c r="L388" s="49">
        <v>0</v>
      </c>
      <c r="M388" s="49">
        <f>I388+L388</f>
        <v>0</v>
      </c>
      <c r="N388" s="49">
        <f>M388-H388</f>
        <v>0</v>
      </c>
      <c r="O388" s="50" t="str">
        <f>IF(H388=0,"No plan at start",M388/H388)</f>
        <v>No plan at start</v>
      </c>
    </row>
    <row r="389" spans="2:15" outlineLevel="1" collapsed="1" x14ac:dyDescent="0.2">
      <c r="B389" s="56" t="s">
        <v>99</v>
      </c>
      <c r="C389" s="49"/>
      <c r="D389" s="49">
        <f>SUBTOTAL(9,D381:D388)</f>
        <v>0</v>
      </c>
      <c r="E389" s="49">
        <f>SUBTOTAL(9,E381:E388)</f>
        <v>0</v>
      </c>
      <c r="F389" s="49">
        <f>SUBTOTAL(9,F381:F388)</f>
        <v>0</v>
      </c>
      <c r="G389" s="50">
        <f>IF(D389=0,0,ABS(F389/D389))</f>
        <v>0</v>
      </c>
      <c r="H389" s="49">
        <f>SUBTOTAL(9,H381:H388)</f>
        <v>0</v>
      </c>
      <c r="I389" s="49">
        <f>SUBTOTAL(9,I381:I388)</f>
        <v>0</v>
      </c>
      <c r="J389" s="51" t="str">
        <f>IF(H389=0,"No plan at start",I389/H389)</f>
        <v>No plan at start</v>
      </c>
      <c r="K389" s="52">
        <f>SUBTOTAL(9,K381:K388)</f>
        <v>0</v>
      </c>
      <c r="L389" s="49">
        <f>SUBTOTAL(9,L381:L388)</f>
        <v>0</v>
      </c>
      <c r="M389" s="49">
        <f>SUBTOTAL(9,M381:M388)</f>
        <v>0</v>
      </c>
      <c r="N389" s="49">
        <f>SUBTOTAL(9,N381:N388)</f>
        <v>0</v>
      </c>
      <c r="O389" s="50" t="str">
        <f>IF(H389=0,"No plan at start",M389/H389)</f>
        <v>No plan at start</v>
      </c>
    </row>
    <row r="390" spans="2:15" hidden="1" outlineLevel="2" x14ac:dyDescent="0.2">
      <c r="B390" s="49" t="s">
        <v>61</v>
      </c>
      <c r="C390" s="49" t="s">
        <v>52</v>
      </c>
      <c r="D390" s="49">
        <v>0</v>
      </c>
      <c r="E390" s="49">
        <v>0</v>
      </c>
      <c r="F390" s="49">
        <f>E390-D390</f>
        <v>0</v>
      </c>
      <c r="G390" s="50">
        <f>IF(D390=0,0,ABS(F390/D390))</f>
        <v>0</v>
      </c>
      <c r="H390" s="49">
        <v>0</v>
      </c>
      <c r="I390" s="49">
        <v>0</v>
      </c>
      <c r="J390" s="51" t="str">
        <f>IF(H390=0,"No plan at start",I390/H390)</f>
        <v>No plan at start</v>
      </c>
      <c r="K390" s="52">
        <f>H390-I390</f>
        <v>0</v>
      </c>
      <c r="L390" s="49">
        <v>0</v>
      </c>
      <c r="M390" s="49">
        <f>I390+L390</f>
        <v>0</v>
      </c>
      <c r="N390" s="49">
        <f>M390-H390</f>
        <v>0</v>
      </c>
      <c r="O390" s="50" t="str">
        <f>IF(H390=0,"No plan at start",M390/H390)</f>
        <v>No plan at start</v>
      </c>
    </row>
    <row r="391" spans="2:15" hidden="1" outlineLevel="2" x14ac:dyDescent="0.2">
      <c r="B391" s="49" t="s">
        <v>61</v>
      </c>
      <c r="C391" s="49" t="s">
        <v>53</v>
      </c>
      <c r="D391" s="49">
        <v>0</v>
      </c>
      <c r="E391" s="49">
        <v>0</v>
      </c>
      <c r="F391" s="49">
        <f>E391-D391</f>
        <v>0</v>
      </c>
      <c r="G391" s="50">
        <f>IF(D391=0,0,ABS(F391/D391))</f>
        <v>0</v>
      </c>
      <c r="H391" s="49">
        <v>0</v>
      </c>
      <c r="I391" s="49">
        <v>0</v>
      </c>
      <c r="J391" s="51" t="str">
        <f>IF(H391=0,"No plan at start",I391/H391)</f>
        <v>No plan at start</v>
      </c>
      <c r="K391" s="52">
        <f>H391-I391</f>
        <v>0</v>
      </c>
      <c r="L391" s="49">
        <v>0</v>
      </c>
      <c r="M391" s="49">
        <f>I391+L391</f>
        <v>0</v>
      </c>
      <c r="N391" s="49">
        <f>M391-H391</f>
        <v>0</v>
      </c>
      <c r="O391" s="50" t="str">
        <f>IF(H391=0,"No plan at start",M391/H391)</f>
        <v>No plan at start</v>
      </c>
    </row>
    <row r="392" spans="2:15" hidden="1" outlineLevel="2" x14ac:dyDescent="0.2">
      <c r="B392" s="49" t="s">
        <v>61</v>
      </c>
      <c r="C392" s="49" t="s">
        <v>54</v>
      </c>
      <c r="D392" s="49">
        <v>0</v>
      </c>
      <c r="E392" s="49">
        <v>0</v>
      </c>
      <c r="F392" s="49">
        <f>E392-D392</f>
        <v>0</v>
      </c>
      <c r="G392" s="50">
        <f>IF(D392=0,0,ABS(F392/D392))</f>
        <v>0</v>
      </c>
      <c r="H392" s="49">
        <v>0</v>
      </c>
      <c r="I392" s="49">
        <v>0</v>
      </c>
      <c r="J392" s="51" t="str">
        <f>IF(H392=0,"No plan at start",I392/H392)</f>
        <v>No plan at start</v>
      </c>
      <c r="K392" s="52">
        <f>H392-I392</f>
        <v>0</v>
      </c>
      <c r="L392" s="49">
        <v>0</v>
      </c>
      <c r="M392" s="49">
        <f>I392+L392</f>
        <v>0</v>
      </c>
      <c r="N392" s="49">
        <f>M392-H392</f>
        <v>0</v>
      </c>
      <c r="O392" s="50" t="str">
        <f>IF(H392=0,"No plan at start",M392/H392)</f>
        <v>No plan at start</v>
      </c>
    </row>
    <row r="393" spans="2:15" hidden="1" outlineLevel="2" x14ac:dyDescent="0.2">
      <c r="B393" s="49" t="s">
        <v>61</v>
      </c>
      <c r="C393" s="49" t="s">
        <v>55</v>
      </c>
      <c r="D393" s="49">
        <v>0</v>
      </c>
      <c r="E393" s="49">
        <v>0</v>
      </c>
      <c r="F393" s="49">
        <f>E393-D393</f>
        <v>0</v>
      </c>
      <c r="G393" s="50">
        <f>IF(D393=0,0,ABS(F393/D393))</f>
        <v>0</v>
      </c>
      <c r="H393" s="49">
        <v>0</v>
      </c>
      <c r="I393" s="49">
        <v>0</v>
      </c>
      <c r="J393" s="51" t="str">
        <f>IF(H393=0,"No plan at start",I393/H393)</f>
        <v>No plan at start</v>
      </c>
      <c r="K393" s="52">
        <f>H393-I393</f>
        <v>0</v>
      </c>
      <c r="L393" s="49">
        <v>0</v>
      </c>
      <c r="M393" s="49">
        <f>I393+L393</f>
        <v>0</v>
      </c>
      <c r="N393" s="49">
        <f>M393-H393</f>
        <v>0</v>
      </c>
      <c r="O393" s="50" t="str">
        <f>IF(H393=0,"No plan at start",M393/H393)</f>
        <v>No plan at start</v>
      </c>
    </row>
    <row r="394" spans="2:15" hidden="1" outlineLevel="2" x14ac:dyDescent="0.2">
      <c r="B394" s="49" t="s">
        <v>61</v>
      </c>
      <c r="C394" s="49" t="s">
        <v>56</v>
      </c>
      <c r="D394" s="49">
        <v>0</v>
      </c>
      <c r="E394" s="49">
        <v>0</v>
      </c>
      <c r="F394" s="49">
        <f>E394-D394</f>
        <v>0</v>
      </c>
      <c r="G394" s="50">
        <f>IF(D394=0,0,ABS(F394/D394))</f>
        <v>0</v>
      </c>
      <c r="H394" s="49">
        <v>0</v>
      </c>
      <c r="I394" s="49">
        <v>0</v>
      </c>
      <c r="J394" s="51" t="str">
        <f>IF(H394=0,"No plan at start",I394/H394)</f>
        <v>No plan at start</v>
      </c>
      <c r="K394" s="52">
        <f>H394-I394</f>
        <v>0</v>
      </c>
      <c r="L394" s="49">
        <v>0</v>
      </c>
      <c r="M394" s="49">
        <f>I394+L394</f>
        <v>0</v>
      </c>
      <c r="N394" s="49">
        <f>M394-H394</f>
        <v>0</v>
      </c>
      <c r="O394" s="50" t="str">
        <f>IF(H394=0,"No plan at start",M394/H394)</f>
        <v>No plan at start</v>
      </c>
    </row>
    <row r="395" spans="2:15" hidden="1" outlineLevel="2" x14ac:dyDescent="0.2">
      <c r="B395" s="49" t="s">
        <v>61</v>
      </c>
      <c r="C395" s="49" t="s">
        <v>57</v>
      </c>
      <c r="D395" s="49">
        <v>0</v>
      </c>
      <c r="E395" s="49">
        <v>0</v>
      </c>
      <c r="F395" s="49">
        <f>E395-D395</f>
        <v>0</v>
      </c>
      <c r="G395" s="50">
        <f>IF(D395=0,0,ABS(F395/D395))</f>
        <v>0</v>
      </c>
      <c r="H395" s="49">
        <v>0</v>
      </c>
      <c r="I395" s="49">
        <v>0</v>
      </c>
      <c r="J395" s="51" t="str">
        <f>IF(H395=0,"No plan at start",I395/H395)</f>
        <v>No plan at start</v>
      </c>
      <c r="K395" s="52">
        <f>H395-I395</f>
        <v>0</v>
      </c>
      <c r="L395" s="49">
        <v>0</v>
      </c>
      <c r="M395" s="49">
        <f>I395+L395</f>
        <v>0</v>
      </c>
      <c r="N395" s="49">
        <f>M395-H395</f>
        <v>0</v>
      </c>
      <c r="O395" s="50" t="str">
        <f>IF(H395=0,"No plan at start",M395/H395)</f>
        <v>No plan at start</v>
      </c>
    </row>
    <row r="396" spans="2:15" hidden="1" outlineLevel="2" x14ac:dyDescent="0.2">
      <c r="B396" s="49" t="s">
        <v>61</v>
      </c>
      <c r="C396" s="49" t="s">
        <v>58</v>
      </c>
      <c r="D396" s="49">
        <v>0</v>
      </c>
      <c r="E396" s="49">
        <v>0</v>
      </c>
      <c r="F396" s="49">
        <f>E396-D396</f>
        <v>0</v>
      </c>
      <c r="G396" s="50">
        <f>IF(D396=0,0,ABS(F396/D396))</f>
        <v>0</v>
      </c>
      <c r="H396" s="49">
        <v>0</v>
      </c>
      <c r="I396" s="49">
        <v>9726.5999999999967</v>
      </c>
      <c r="J396" s="51" t="str">
        <f>IF(H396=0,"No plan at start",I396/H396)</f>
        <v>No plan at start</v>
      </c>
      <c r="K396" s="52">
        <f>H396-I396</f>
        <v>-9726.5999999999967</v>
      </c>
      <c r="L396" s="49">
        <v>0</v>
      </c>
      <c r="M396" s="49">
        <f>I396+L396</f>
        <v>9726.5999999999967</v>
      </c>
      <c r="N396" s="49">
        <f>M396-H396</f>
        <v>9726.5999999999967</v>
      </c>
      <c r="O396" s="50" t="str">
        <f>IF(H396=0,"No plan at start",M396/H396)</f>
        <v>No plan at start</v>
      </c>
    </row>
    <row r="397" spans="2:15" hidden="1" outlineLevel="2" x14ac:dyDescent="0.2">
      <c r="B397" s="49" t="s">
        <v>61</v>
      </c>
      <c r="C397" s="49" t="s">
        <v>59</v>
      </c>
      <c r="D397" s="49">
        <v>0</v>
      </c>
      <c r="E397" s="49">
        <v>0</v>
      </c>
      <c r="F397" s="49">
        <f>E397-D397</f>
        <v>0</v>
      </c>
      <c r="G397" s="50">
        <f>IF(D397=0,0,ABS(F397/D397))</f>
        <v>0</v>
      </c>
      <c r="H397" s="49">
        <v>0</v>
      </c>
      <c r="I397" s="49">
        <v>0</v>
      </c>
      <c r="J397" s="51" t="str">
        <f>IF(H397=0,"No plan at start",I397/H397)</f>
        <v>No plan at start</v>
      </c>
      <c r="K397" s="52">
        <f>H397-I397</f>
        <v>0</v>
      </c>
      <c r="L397" s="49">
        <v>0</v>
      </c>
      <c r="M397" s="49">
        <f>I397+L397</f>
        <v>0</v>
      </c>
      <c r="N397" s="49">
        <f>M397-H397</f>
        <v>0</v>
      </c>
      <c r="O397" s="50" t="str">
        <f>IF(H397=0,"No plan at start",M397/H397)</f>
        <v>No plan at start</v>
      </c>
    </row>
    <row r="398" spans="2:15" outlineLevel="1" collapsed="1" x14ac:dyDescent="0.2">
      <c r="B398" s="56" t="s">
        <v>100</v>
      </c>
      <c r="C398" s="49"/>
      <c r="D398" s="49">
        <f>SUBTOTAL(9,D390:D397)</f>
        <v>0</v>
      </c>
      <c r="E398" s="49">
        <f>SUBTOTAL(9,E390:E397)</f>
        <v>0</v>
      </c>
      <c r="F398" s="49">
        <f>SUBTOTAL(9,F390:F397)</f>
        <v>0</v>
      </c>
      <c r="G398" s="50">
        <f>IF(D398=0,0,ABS(F398/D398))</f>
        <v>0</v>
      </c>
      <c r="H398" s="49">
        <f>SUBTOTAL(9,H390:H397)</f>
        <v>0</v>
      </c>
      <c r="I398" s="49">
        <f>SUBTOTAL(9,I390:I397)</f>
        <v>9726.5999999999967</v>
      </c>
      <c r="J398" s="51" t="str">
        <f>IF(H398=0,"No plan at start",I398/H398)</f>
        <v>No plan at start</v>
      </c>
      <c r="K398" s="52">
        <f>SUBTOTAL(9,K390:K397)</f>
        <v>-9726.5999999999967</v>
      </c>
      <c r="L398" s="49">
        <f>SUBTOTAL(9,L390:L397)</f>
        <v>0</v>
      </c>
      <c r="M398" s="49">
        <f>SUBTOTAL(9,M390:M397)</f>
        <v>9726.5999999999967</v>
      </c>
      <c r="N398" s="49">
        <f>SUBTOTAL(9,N390:N397)</f>
        <v>9726.5999999999967</v>
      </c>
      <c r="O398" s="50" t="str">
        <f>IF(H398=0,"No plan at start",M398/H398)</f>
        <v>No plan at start</v>
      </c>
    </row>
    <row r="399" spans="2:15" hidden="1" outlineLevel="2" x14ac:dyDescent="0.2">
      <c r="B399" s="49" t="s">
        <v>62</v>
      </c>
      <c r="C399" s="49" t="s">
        <v>52</v>
      </c>
      <c r="D399" s="49">
        <v>0</v>
      </c>
      <c r="E399" s="49">
        <v>0</v>
      </c>
      <c r="F399" s="49">
        <f>E399-D399</f>
        <v>0</v>
      </c>
      <c r="G399" s="50">
        <f>IF(D399=0,0,ABS(F399/D399))</f>
        <v>0</v>
      </c>
      <c r="H399" s="49">
        <v>0</v>
      </c>
      <c r="I399" s="49">
        <v>0</v>
      </c>
      <c r="J399" s="51" t="str">
        <f>IF(H399=0,"No plan at start",I399/H399)</f>
        <v>No plan at start</v>
      </c>
      <c r="K399" s="52">
        <f>H399-I399</f>
        <v>0</v>
      </c>
      <c r="L399" s="49">
        <v>0</v>
      </c>
      <c r="M399" s="49">
        <f>I399+L399</f>
        <v>0</v>
      </c>
      <c r="N399" s="49">
        <f>M399-H399</f>
        <v>0</v>
      </c>
      <c r="O399" s="50" t="str">
        <f>IF(H399=0,"No plan at start",M399/H399)</f>
        <v>No plan at start</v>
      </c>
    </row>
    <row r="400" spans="2:15" hidden="1" outlineLevel="2" x14ac:dyDescent="0.2">
      <c r="B400" s="49" t="s">
        <v>62</v>
      </c>
      <c r="C400" s="49" t="s">
        <v>53</v>
      </c>
      <c r="D400" s="49">
        <v>0</v>
      </c>
      <c r="E400" s="49">
        <v>0</v>
      </c>
      <c r="F400" s="49">
        <f>E400-D400</f>
        <v>0</v>
      </c>
      <c r="G400" s="50">
        <f>IF(D400=0,0,ABS(F400/D400))</f>
        <v>0</v>
      </c>
      <c r="H400" s="49">
        <v>0</v>
      </c>
      <c r="I400" s="49">
        <v>0</v>
      </c>
      <c r="J400" s="51" t="str">
        <f>IF(H400=0,"No plan at start",I400/H400)</f>
        <v>No plan at start</v>
      </c>
      <c r="K400" s="52">
        <f>H400-I400</f>
        <v>0</v>
      </c>
      <c r="L400" s="49">
        <v>0</v>
      </c>
      <c r="M400" s="49">
        <f>I400+L400</f>
        <v>0</v>
      </c>
      <c r="N400" s="49">
        <f>M400-H400</f>
        <v>0</v>
      </c>
      <c r="O400" s="50" t="str">
        <f>IF(H400=0,"No plan at start",M400/H400)</f>
        <v>No plan at start</v>
      </c>
    </row>
    <row r="401" spans="2:15" hidden="1" outlineLevel="2" x14ac:dyDescent="0.2">
      <c r="B401" s="49" t="s">
        <v>62</v>
      </c>
      <c r="C401" s="49" t="s">
        <v>54</v>
      </c>
      <c r="D401" s="49">
        <v>0</v>
      </c>
      <c r="E401" s="49">
        <v>0</v>
      </c>
      <c r="F401" s="49">
        <f>E401-D401</f>
        <v>0</v>
      </c>
      <c r="G401" s="50">
        <f>IF(D401=0,0,ABS(F401/D401))</f>
        <v>0</v>
      </c>
      <c r="H401" s="49">
        <v>0</v>
      </c>
      <c r="I401" s="49">
        <v>0</v>
      </c>
      <c r="J401" s="51" t="str">
        <f>IF(H401=0,"No plan at start",I401/H401)</f>
        <v>No plan at start</v>
      </c>
      <c r="K401" s="52">
        <f>H401-I401</f>
        <v>0</v>
      </c>
      <c r="L401" s="49">
        <v>0</v>
      </c>
      <c r="M401" s="49">
        <f>I401+L401</f>
        <v>0</v>
      </c>
      <c r="N401" s="49">
        <f>M401-H401</f>
        <v>0</v>
      </c>
      <c r="O401" s="50" t="str">
        <f>IF(H401=0,"No plan at start",M401/H401)</f>
        <v>No plan at start</v>
      </c>
    </row>
    <row r="402" spans="2:15" hidden="1" outlineLevel="2" x14ac:dyDescent="0.2">
      <c r="B402" s="49" t="s">
        <v>62</v>
      </c>
      <c r="C402" s="49" t="s">
        <v>55</v>
      </c>
      <c r="D402" s="49">
        <v>0</v>
      </c>
      <c r="E402" s="49">
        <v>0</v>
      </c>
      <c r="F402" s="49">
        <f>E402-D402</f>
        <v>0</v>
      </c>
      <c r="G402" s="50">
        <f>IF(D402=0,0,ABS(F402/D402))</f>
        <v>0</v>
      </c>
      <c r="H402" s="49">
        <v>0</v>
      </c>
      <c r="I402" s="49">
        <v>0</v>
      </c>
      <c r="J402" s="51" t="str">
        <f>IF(H402=0,"No plan at start",I402/H402)</f>
        <v>No plan at start</v>
      </c>
      <c r="K402" s="52">
        <f>H402-I402</f>
        <v>0</v>
      </c>
      <c r="L402" s="49">
        <v>0</v>
      </c>
      <c r="M402" s="49">
        <f>I402+L402</f>
        <v>0</v>
      </c>
      <c r="N402" s="49">
        <f>M402-H402</f>
        <v>0</v>
      </c>
      <c r="O402" s="50" t="str">
        <f>IF(H402=0,"No plan at start",M402/H402)</f>
        <v>No plan at start</v>
      </c>
    </row>
    <row r="403" spans="2:15" hidden="1" outlineLevel="2" x14ac:dyDescent="0.2">
      <c r="B403" s="49" t="s">
        <v>62</v>
      </c>
      <c r="C403" s="49" t="s">
        <v>56</v>
      </c>
      <c r="D403" s="49">
        <v>0</v>
      </c>
      <c r="E403" s="49">
        <v>0</v>
      </c>
      <c r="F403" s="49">
        <f>E403-D403</f>
        <v>0</v>
      </c>
      <c r="G403" s="50">
        <f>IF(D403=0,0,ABS(F403/D403))</f>
        <v>0</v>
      </c>
      <c r="H403" s="49">
        <v>0</v>
      </c>
      <c r="I403" s="49">
        <v>0</v>
      </c>
      <c r="J403" s="51" t="str">
        <f>IF(H403=0,"No plan at start",I403/H403)</f>
        <v>No plan at start</v>
      </c>
      <c r="K403" s="52">
        <f>H403-I403</f>
        <v>0</v>
      </c>
      <c r="L403" s="49">
        <v>0</v>
      </c>
      <c r="M403" s="49">
        <f>I403+L403</f>
        <v>0</v>
      </c>
      <c r="N403" s="49">
        <f>M403-H403</f>
        <v>0</v>
      </c>
      <c r="O403" s="50" t="str">
        <f>IF(H403=0,"No plan at start",M403/H403)</f>
        <v>No plan at start</v>
      </c>
    </row>
    <row r="404" spans="2:15" hidden="1" outlineLevel="2" x14ac:dyDescent="0.2">
      <c r="B404" s="49" t="s">
        <v>62</v>
      </c>
      <c r="C404" s="49" t="s">
        <v>57</v>
      </c>
      <c r="D404" s="49">
        <v>0</v>
      </c>
      <c r="E404" s="49">
        <v>0</v>
      </c>
      <c r="F404" s="49">
        <f>E404-D404</f>
        <v>0</v>
      </c>
      <c r="G404" s="50">
        <f>IF(D404=0,0,ABS(F404/D404))</f>
        <v>0</v>
      </c>
      <c r="H404" s="49">
        <v>0</v>
      </c>
      <c r="I404" s="49">
        <v>0</v>
      </c>
      <c r="J404" s="51" t="str">
        <f>IF(H404=0,"No plan at start",I404/H404)</f>
        <v>No plan at start</v>
      </c>
      <c r="K404" s="52">
        <f>H404-I404</f>
        <v>0</v>
      </c>
      <c r="L404" s="49">
        <v>0</v>
      </c>
      <c r="M404" s="49">
        <f>I404+L404</f>
        <v>0</v>
      </c>
      <c r="N404" s="49">
        <f>M404-H404</f>
        <v>0</v>
      </c>
      <c r="O404" s="50" t="str">
        <f>IF(H404=0,"No plan at start",M404/H404)</f>
        <v>No plan at start</v>
      </c>
    </row>
    <row r="405" spans="2:15" hidden="1" outlineLevel="2" x14ac:dyDescent="0.2">
      <c r="B405" s="49" t="s">
        <v>62</v>
      </c>
      <c r="C405" s="49" t="s">
        <v>58</v>
      </c>
      <c r="D405" s="49">
        <v>0</v>
      </c>
      <c r="E405" s="49">
        <v>0</v>
      </c>
      <c r="F405" s="49">
        <f>E405-D405</f>
        <v>0</v>
      </c>
      <c r="G405" s="50">
        <f>IF(D405=0,0,ABS(F405/D405))</f>
        <v>0</v>
      </c>
      <c r="H405" s="49">
        <v>0</v>
      </c>
      <c r="I405" s="49">
        <v>0</v>
      </c>
      <c r="J405" s="51" t="str">
        <f>IF(H405=0,"No plan at start",I405/H405)</f>
        <v>No plan at start</v>
      </c>
      <c r="K405" s="52">
        <f>H405-I405</f>
        <v>0</v>
      </c>
      <c r="L405" s="49">
        <v>0</v>
      </c>
      <c r="M405" s="49">
        <f>I405+L405</f>
        <v>0</v>
      </c>
      <c r="N405" s="49">
        <f>M405-H405</f>
        <v>0</v>
      </c>
      <c r="O405" s="50" t="str">
        <f>IF(H405=0,"No plan at start",M405/H405)</f>
        <v>No plan at start</v>
      </c>
    </row>
    <row r="406" spans="2:15" hidden="1" outlineLevel="2" x14ac:dyDescent="0.2">
      <c r="B406" s="49" t="s">
        <v>62</v>
      </c>
      <c r="C406" s="49" t="s">
        <v>59</v>
      </c>
      <c r="D406" s="49">
        <v>0</v>
      </c>
      <c r="E406" s="49">
        <v>0</v>
      </c>
      <c r="F406" s="49">
        <f>E406-D406</f>
        <v>0</v>
      </c>
      <c r="G406" s="50">
        <f>IF(D406=0,0,ABS(F406/D406))</f>
        <v>0</v>
      </c>
      <c r="H406" s="49">
        <v>0</v>
      </c>
      <c r="I406" s="49">
        <v>0</v>
      </c>
      <c r="J406" s="51" t="str">
        <f>IF(H406=0,"No plan at start",I406/H406)</f>
        <v>No plan at start</v>
      </c>
      <c r="K406" s="52">
        <f>H406-I406</f>
        <v>0</v>
      </c>
      <c r="L406" s="49">
        <v>0</v>
      </c>
      <c r="M406" s="49">
        <f>I406+L406</f>
        <v>0</v>
      </c>
      <c r="N406" s="49">
        <f>M406-H406</f>
        <v>0</v>
      </c>
      <c r="O406" s="50" t="str">
        <f>IF(H406=0,"No plan at start",M406/H406)</f>
        <v>No plan at start</v>
      </c>
    </row>
    <row r="407" spans="2:15" outlineLevel="1" collapsed="1" x14ac:dyDescent="0.2">
      <c r="B407" s="56" t="s">
        <v>101</v>
      </c>
      <c r="C407" s="49"/>
      <c r="D407" s="49">
        <f>SUBTOTAL(9,D399:D406)</f>
        <v>0</v>
      </c>
      <c r="E407" s="49">
        <f>SUBTOTAL(9,E399:E406)</f>
        <v>0</v>
      </c>
      <c r="F407" s="49">
        <f>SUBTOTAL(9,F399:F406)</f>
        <v>0</v>
      </c>
      <c r="G407" s="50">
        <f>IF(D407=0,0,ABS(F407/D407))</f>
        <v>0</v>
      </c>
      <c r="H407" s="49">
        <f>SUBTOTAL(9,H399:H406)</f>
        <v>0</v>
      </c>
      <c r="I407" s="49">
        <f>SUBTOTAL(9,I399:I406)</f>
        <v>0</v>
      </c>
      <c r="J407" s="51" t="str">
        <f>IF(H407=0,"No plan at start",I407/H407)</f>
        <v>No plan at start</v>
      </c>
      <c r="K407" s="52">
        <f>SUBTOTAL(9,K399:K406)</f>
        <v>0</v>
      </c>
      <c r="L407" s="49">
        <f>SUBTOTAL(9,L399:L406)</f>
        <v>0</v>
      </c>
      <c r="M407" s="49">
        <f>SUBTOTAL(9,M399:M406)</f>
        <v>0</v>
      </c>
      <c r="N407" s="49">
        <f>SUBTOTAL(9,N399:N406)</f>
        <v>0</v>
      </c>
      <c r="O407" s="50" t="str">
        <f>IF(H407=0,"No plan at start",M407/H407)</f>
        <v>No plan at start</v>
      </c>
    </row>
    <row r="408" spans="2:15" hidden="1" outlineLevel="2" x14ac:dyDescent="0.2">
      <c r="B408" s="49" t="s">
        <v>63</v>
      </c>
      <c r="C408" s="49" t="s">
        <v>52</v>
      </c>
      <c r="D408" s="49">
        <v>0</v>
      </c>
      <c r="E408" s="49">
        <v>0</v>
      </c>
      <c r="F408" s="49">
        <f>E408-D408</f>
        <v>0</v>
      </c>
      <c r="G408" s="50">
        <f>IF(D408=0,0,ABS(F408/D408))</f>
        <v>0</v>
      </c>
      <c r="H408" s="49">
        <v>0</v>
      </c>
      <c r="I408" s="49">
        <v>290.68</v>
      </c>
      <c r="J408" s="51" t="str">
        <f>IF(H408=0,"No plan at start",I408/H408)</f>
        <v>No plan at start</v>
      </c>
      <c r="K408" s="52">
        <f>H408-I408</f>
        <v>-290.68</v>
      </c>
      <c r="L408" s="49">
        <v>0</v>
      </c>
      <c r="M408" s="49">
        <f>I408+L408</f>
        <v>290.68</v>
      </c>
      <c r="N408" s="49">
        <f>M408-H408</f>
        <v>290.68</v>
      </c>
      <c r="O408" s="50" t="str">
        <f>IF(H408=0,"No plan at start",M408/H408)</f>
        <v>No plan at start</v>
      </c>
    </row>
    <row r="409" spans="2:15" hidden="1" outlineLevel="2" x14ac:dyDescent="0.2">
      <c r="B409" s="49" t="s">
        <v>63</v>
      </c>
      <c r="C409" s="49" t="s">
        <v>53</v>
      </c>
      <c r="D409" s="49">
        <v>0</v>
      </c>
      <c r="E409" s="49">
        <v>0</v>
      </c>
      <c r="F409" s="49">
        <f>E409-D409</f>
        <v>0</v>
      </c>
      <c r="G409" s="50">
        <f>IF(D409=0,0,ABS(F409/D409))</f>
        <v>0</v>
      </c>
      <c r="H409" s="49">
        <v>0</v>
      </c>
      <c r="I409" s="49">
        <v>0</v>
      </c>
      <c r="J409" s="51" t="str">
        <f>IF(H409=0,"No plan at start",I409/H409)</f>
        <v>No plan at start</v>
      </c>
      <c r="K409" s="52">
        <f>H409-I409</f>
        <v>0</v>
      </c>
      <c r="L409" s="49">
        <v>0</v>
      </c>
      <c r="M409" s="49">
        <f>I409+L409</f>
        <v>0</v>
      </c>
      <c r="N409" s="49">
        <f>M409-H409</f>
        <v>0</v>
      </c>
      <c r="O409" s="50" t="str">
        <f>IF(H409=0,"No plan at start",M409/H409)</f>
        <v>No plan at start</v>
      </c>
    </row>
    <row r="410" spans="2:15" hidden="1" outlineLevel="2" x14ac:dyDescent="0.2">
      <c r="B410" s="49" t="s">
        <v>63</v>
      </c>
      <c r="C410" s="49" t="s">
        <v>54</v>
      </c>
      <c r="D410" s="49">
        <v>87484.800000000017</v>
      </c>
      <c r="E410" s="49">
        <v>3993.5999999999995</v>
      </c>
      <c r="F410" s="49">
        <f>E410-D410</f>
        <v>-83491.200000000012</v>
      </c>
      <c r="G410" s="50">
        <f>IF(D410=0,0,ABS(F410/D410))</f>
        <v>0.95435092724679027</v>
      </c>
      <c r="H410" s="49">
        <v>417504.25599999994</v>
      </c>
      <c r="I410" s="49">
        <v>227762.34000000195</v>
      </c>
      <c r="J410" s="51">
        <f>IF(H410=0,"No plan at start",I410/H410)</f>
        <v>0.54553297775245191</v>
      </c>
      <c r="K410" s="52">
        <f>H410-I410</f>
        <v>189741.91599999799</v>
      </c>
      <c r="L410" s="49">
        <v>174969.60000000003</v>
      </c>
      <c r="M410" s="49">
        <f>I410+L410</f>
        <v>402731.94000000198</v>
      </c>
      <c r="N410" s="49">
        <f>M410-H410</f>
        <v>-14772.315999997954</v>
      </c>
      <c r="O410" s="50">
        <f>IF(H410=0,"No plan at start",M410/H410)</f>
        <v>0.96461756787457043</v>
      </c>
    </row>
    <row r="411" spans="2:15" hidden="1" outlineLevel="2" x14ac:dyDescent="0.2">
      <c r="B411" s="49" t="s">
        <v>63</v>
      </c>
      <c r="C411" s="49" t="s">
        <v>55</v>
      </c>
      <c r="D411" s="49">
        <v>0</v>
      </c>
      <c r="E411" s="49">
        <v>0</v>
      </c>
      <c r="F411" s="49">
        <f>E411-D411</f>
        <v>0</v>
      </c>
      <c r="G411" s="50">
        <f>IF(D411=0,0,ABS(F411/D411))</f>
        <v>0</v>
      </c>
      <c r="H411" s="49">
        <v>0</v>
      </c>
      <c r="I411" s="49">
        <v>0</v>
      </c>
      <c r="J411" s="51" t="str">
        <f>IF(H411=0,"No plan at start",I411/H411)</f>
        <v>No plan at start</v>
      </c>
      <c r="K411" s="52">
        <f>H411-I411</f>
        <v>0</v>
      </c>
      <c r="L411" s="49">
        <v>0</v>
      </c>
      <c r="M411" s="49">
        <f>I411+L411</f>
        <v>0</v>
      </c>
      <c r="N411" s="49">
        <f>M411-H411</f>
        <v>0</v>
      </c>
      <c r="O411" s="50" t="str">
        <f>IF(H411=0,"No plan at start",M411/H411)</f>
        <v>No plan at start</v>
      </c>
    </row>
    <row r="412" spans="2:15" hidden="1" outlineLevel="2" x14ac:dyDescent="0.2">
      <c r="B412" s="49" t="s">
        <v>63</v>
      </c>
      <c r="C412" s="49" t="s">
        <v>56</v>
      </c>
      <c r="D412" s="49">
        <v>0</v>
      </c>
      <c r="E412" s="49">
        <v>0</v>
      </c>
      <c r="F412" s="49">
        <f>E412-D412</f>
        <v>0</v>
      </c>
      <c r="G412" s="50">
        <f>IF(D412=0,0,ABS(F412/D412))</f>
        <v>0</v>
      </c>
      <c r="H412" s="49">
        <v>0</v>
      </c>
      <c r="I412" s="49">
        <v>0</v>
      </c>
      <c r="J412" s="51" t="str">
        <f>IF(H412=0,"No plan at start",I412/H412)</f>
        <v>No plan at start</v>
      </c>
      <c r="K412" s="52">
        <f>H412-I412</f>
        <v>0</v>
      </c>
      <c r="L412" s="49">
        <v>0</v>
      </c>
      <c r="M412" s="49">
        <f>I412+L412</f>
        <v>0</v>
      </c>
      <c r="N412" s="49">
        <f>M412-H412</f>
        <v>0</v>
      </c>
      <c r="O412" s="50" t="str">
        <f>IF(H412=0,"No plan at start",M412/H412)</f>
        <v>No plan at start</v>
      </c>
    </row>
    <row r="413" spans="2:15" hidden="1" outlineLevel="2" x14ac:dyDescent="0.2">
      <c r="B413" s="49" t="s">
        <v>63</v>
      </c>
      <c r="C413" s="49" t="s">
        <v>57</v>
      </c>
      <c r="D413" s="49">
        <v>0</v>
      </c>
      <c r="E413" s="49">
        <v>0</v>
      </c>
      <c r="F413" s="49">
        <f>E413-D413</f>
        <v>0</v>
      </c>
      <c r="G413" s="50">
        <f>IF(D413=0,0,ABS(F413/D413))</f>
        <v>0</v>
      </c>
      <c r="H413" s="49">
        <v>0</v>
      </c>
      <c r="I413" s="49">
        <v>0</v>
      </c>
      <c r="J413" s="51" t="str">
        <f>IF(H413=0,"No plan at start",I413/H413)</f>
        <v>No plan at start</v>
      </c>
      <c r="K413" s="52">
        <f>H413-I413</f>
        <v>0</v>
      </c>
      <c r="L413" s="49">
        <v>0</v>
      </c>
      <c r="M413" s="49">
        <f>I413+L413</f>
        <v>0</v>
      </c>
      <c r="N413" s="49">
        <f>M413-H413</f>
        <v>0</v>
      </c>
      <c r="O413" s="50" t="str">
        <f>IF(H413=0,"No plan at start",M413/H413)</f>
        <v>No plan at start</v>
      </c>
    </row>
    <row r="414" spans="2:15" hidden="1" outlineLevel="2" x14ac:dyDescent="0.2">
      <c r="B414" s="49" t="s">
        <v>63</v>
      </c>
      <c r="C414" s="49" t="s">
        <v>58</v>
      </c>
      <c r="D414" s="49">
        <v>0</v>
      </c>
      <c r="E414" s="49">
        <v>0</v>
      </c>
      <c r="F414" s="49">
        <f>E414-D414</f>
        <v>0</v>
      </c>
      <c r="G414" s="50">
        <f>IF(D414=0,0,ABS(F414/D414))</f>
        <v>0</v>
      </c>
      <c r="H414" s="49">
        <v>0</v>
      </c>
      <c r="I414" s="49">
        <v>0</v>
      </c>
      <c r="J414" s="51" t="str">
        <f>IF(H414=0,"No plan at start",I414/H414)</f>
        <v>No plan at start</v>
      </c>
      <c r="K414" s="52">
        <f>H414-I414</f>
        <v>0</v>
      </c>
      <c r="L414" s="49">
        <v>0</v>
      </c>
      <c r="M414" s="49">
        <f>I414+L414</f>
        <v>0</v>
      </c>
      <c r="N414" s="49">
        <f>M414-H414</f>
        <v>0</v>
      </c>
      <c r="O414" s="50" t="str">
        <f>IF(H414=0,"No plan at start",M414/H414)</f>
        <v>No plan at start</v>
      </c>
    </row>
    <row r="415" spans="2:15" hidden="1" outlineLevel="2" x14ac:dyDescent="0.2">
      <c r="B415" s="49" t="s">
        <v>63</v>
      </c>
      <c r="C415" s="49" t="s">
        <v>59</v>
      </c>
      <c r="D415" s="49">
        <v>0</v>
      </c>
      <c r="E415" s="49">
        <v>0</v>
      </c>
      <c r="F415" s="49">
        <f>E415-D415</f>
        <v>0</v>
      </c>
      <c r="G415" s="50">
        <f>IF(D415=0,0,ABS(F415/D415))</f>
        <v>0</v>
      </c>
      <c r="H415" s="49">
        <v>0</v>
      </c>
      <c r="I415" s="49">
        <v>0</v>
      </c>
      <c r="J415" s="51" t="str">
        <f>IF(H415=0,"No plan at start",I415/H415)</f>
        <v>No plan at start</v>
      </c>
      <c r="K415" s="52">
        <f>H415-I415</f>
        <v>0</v>
      </c>
      <c r="L415" s="49">
        <v>0</v>
      </c>
      <c r="M415" s="49">
        <f>I415+L415</f>
        <v>0</v>
      </c>
      <c r="N415" s="49">
        <f>M415-H415</f>
        <v>0</v>
      </c>
      <c r="O415" s="50" t="str">
        <f>IF(H415=0,"No plan at start",M415/H415)</f>
        <v>No plan at start</v>
      </c>
    </row>
    <row r="416" spans="2:15" outlineLevel="1" collapsed="1" x14ac:dyDescent="0.2">
      <c r="B416" s="56" t="s">
        <v>102</v>
      </c>
      <c r="C416" s="49"/>
      <c r="D416" s="49">
        <f>SUBTOTAL(9,D408:D415)</f>
        <v>87484.800000000017</v>
      </c>
      <c r="E416" s="49">
        <f>SUBTOTAL(9,E408:E415)</f>
        <v>3993.5999999999995</v>
      </c>
      <c r="F416" s="49">
        <f>SUBTOTAL(9,F408:F415)</f>
        <v>-83491.200000000012</v>
      </c>
      <c r="G416" s="50">
        <f>IF(D416=0,0,ABS(F416/D416))</f>
        <v>0.95435092724679027</v>
      </c>
      <c r="H416" s="49">
        <f>SUBTOTAL(9,H408:H415)</f>
        <v>417504.25599999994</v>
      </c>
      <c r="I416" s="49">
        <f>SUBTOTAL(9,I408:I415)</f>
        <v>228053.02000000194</v>
      </c>
      <c r="J416" s="51">
        <f>IF(H416=0,"No plan at start",I416/H416)</f>
        <v>0.54622921017600834</v>
      </c>
      <c r="K416" s="52">
        <f>SUBTOTAL(9,K408:K415)</f>
        <v>189451.235999998</v>
      </c>
      <c r="L416" s="49">
        <f>SUBTOTAL(9,L408:L415)</f>
        <v>174969.60000000003</v>
      </c>
      <c r="M416" s="49">
        <f>SUBTOTAL(9,M408:M415)</f>
        <v>403022.62000000197</v>
      </c>
      <c r="N416" s="49">
        <f>SUBTOTAL(9,N408:N415)</f>
        <v>-14481.635999997954</v>
      </c>
      <c r="O416" s="50">
        <f>IF(H416=0,"No plan at start",M416/H416)</f>
        <v>0.96531380029812686</v>
      </c>
    </row>
    <row r="417" spans="2:15" hidden="1" outlineLevel="2" x14ac:dyDescent="0.2">
      <c r="B417" s="49" t="s">
        <v>64</v>
      </c>
      <c r="C417" s="49" t="s">
        <v>52</v>
      </c>
      <c r="D417" s="49">
        <v>0</v>
      </c>
      <c r="E417" s="49">
        <v>0</v>
      </c>
      <c r="F417" s="49">
        <f>E417-D417</f>
        <v>0</v>
      </c>
      <c r="G417" s="50">
        <f>IF(D417=0,0,ABS(F417/D417))</f>
        <v>0</v>
      </c>
      <c r="H417" s="49">
        <v>0</v>
      </c>
      <c r="I417" s="49">
        <v>0</v>
      </c>
      <c r="J417" s="51" t="str">
        <f>IF(H417=0,"No plan at start",I417/H417)</f>
        <v>No plan at start</v>
      </c>
      <c r="K417" s="52">
        <f>H417-I417</f>
        <v>0</v>
      </c>
      <c r="L417" s="49">
        <v>0</v>
      </c>
      <c r="M417" s="49">
        <f>I417+L417</f>
        <v>0</v>
      </c>
      <c r="N417" s="49">
        <f>M417-H417</f>
        <v>0</v>
      </c>
      <c r="O417" s="50" t="str">
        <f>IF(H417=0,"No plan at start",M417/H417)</f>
        <v>No plan at start</v>
      </c>
    </row>
    <row r="418" spans="2:15" hidden="1" outlineLevel="2" x14ac:dyDescent="0.2">
      <c r="B418" s="49" t="s">
        <v>64</v>
      </c>
      <c r="C418" s="49" t="s">
        <v>53</v>
      </c>
      <c r="D418" s="49">
        <v>0</v>
      </c>
      <c r="E418" s="49">
        <v>0</v>
      </c>
      <c r="F418" s="49">
        <f>E418-D418</f>
        <v>0</v>
      </c>
      <c r="G418" s="50">
        <f>IF(D418=0,0,ABS(F418/D418))</f>
        <v>0</v>
      </c>
      <c r="H418" s="49">
        <v>0</v>
      </c>
      <c r="I418" s="49">
        <v>0</v>
      </c>
      <c r="J418" s="51" t="str">
        <f>IF(H418=0,"No plan at start",I418/H418)</f>
        <v>No plan at start</v>
      </c>
      <c r="K418" s="52">
        <f>H418-I418</f>
        <v>0</v>
      </c>
      <c r="L418" s="49">
        <v>0</v>
      </c>
      <c r="M418" s="49">
        <f>I418+L418</f>
        <v>0</v>
      </c>
      <c r="N418" s="49">
        <f>M418-H418</f>
        <v>0</v>
      </c>
      <c r="O418" s="50" t="str">
        <f>IF(H418=0,"No plan at start",M418/H418)</f>
        <v>No plan at start</v>
      </c>
    </row>
    <row r="419" spans="2:15" hidden="1" outlineLevel="2" x14ac:dyDescent="0.2">
      <c r="B419" s="49" t="s">
        <v>64</v>
      </c>
      <c r="C419" s="49" t="s">
        <v>54</v>
      </c>
      <c r="D419" s="49">
        <v>0</v>
      </c>
      <c r="E419" s="49">
        <v>0</v>
      </c>
      <c r="F419" s="49">
        <f>E419-D419</f>
        <v>0</v>
      </c>
      <c r="G419" s="50">
        <f>IF(D419=0,0,ABS(F419/D419))</f>
        <v>0</v>
      </c>
      <c r="H419" s="49">
        <v>0</v>
      </c>
      <c r="I419" s="49">
        <v>0</v>
      </c>
      <c r="J419" s="51" t="str">
        <f>IF(H419=0,"No plan at start",I419/H419)</f>
        <v>No plan at start</v>
      </c>
      <c r="K419" s="52">
        <f>H419-I419</f>
        <v>0</v>
      </c>
      <c r="L419" s="49">
        <v>0</v>
      </c>
      <c r="M419" s="49">
        <f>I419+L419</f>
        <v>0</v>
      </c>
      <c r="N419" s="49">
        <f>M419-H419</f>
        <v>0</v>
      </c>
      <c r="O419" s="50" t="str">
        <f>IF(H419=0,"No plan at start",M419/H419)</f>
        <v>No plan at start</v>
      </c>
    </row>
    <row r="420" spans="2:15" hidden="1" outlineLevel="2" x14ac:dyDescent="0.2">
      <c r="B420" s="49" t="s">
        <v>64</v>
      </c>
      <c r="C420" s="49" t="s">
        <v>55</v>
      </c>
      <c r="D420" s="49">
        <v>0</v>
      </c>
      <c r="E420" s="49">
        <v>0</v>
      </c>
      <c r="F420" s="49">
        <f>E420-D420</f>
        <v>0</v>
      </c>
      <c r="G420" s="50">
        <f>IF(D420=0,0,ABS(F420/D420))</f>
        <v>0</v>
      </c>
      <c r="H420" s="49">
        <v>0</v>
      </c>
      <c r="I420" s="49">
        <v>0</v>
      </c>
      <c r="J420" s="51" t="str">
        <f>IF(H420=0,"No plan at start",I420/H420)</f>
        <v>No plan at start</v>
      </c>
      <c r="K420" s="52">
        <f>H420-I420</f>
        <v>0</v>
      </c>
      <c r="L420" s="49">
        <v>0</v>
      </c>
      <c r="M420" s="49">
        <f>I420+L420</f>
        <v>0</v>
      </c>
      <c r="N420" s="49">
        <f>M420-H420</f>
        <v>0</v>
      </c>
      <c r="O420" s="50" t="str">
        <f>IF(H420=0,"No plan at start",M420/H420)</f>
        <v>No plan at start</v>
      </c>
    </row>
    <row r="421" spans="2:15" hidden="1" outlineLevel="2" x14ac:dyDescent="0.2">
      <c r="B421" s="49" t="s">
        <v>64</v>
      </c>
      <c r="C421" s="49" t="s">
        <v>56</v>
      </c>
      <c r="D421" s="49">
        <v>0</v>
      </c>
      <c r="E421" s="49">
        <v>0</v>
      </c>
      <c r="F421" s="49">
        <f>E421-D421</f>
        <v>0</v>
      </c>
      <c r="G421" s="50">
        <f>IF(D421=0,0,ABS(F421/D421))</f>
        <v>0</v>
      </c>
      <c r="H421" s="49">
        <v>0</v>
      </c>
      <c r="I421" s="49">
        <v>122.72</v>
      </c>
      <c r="J421" s="51" t="str">
        <f>IF(H421=0,"No plan at start",I421/H421)</f>
        <v>No plan at start</v>
      </c>
      <c r="K421" s="52">
        <f>H421-I421</f>
        <v>-122.72</v>
      </c>
      <c r="L421" s="49">
        <v>0</v>
      </c>
      <c r="M421" s="49">
        <f>I421+L421</f>
        <v>122.72</v>
      </c>
      <c r="N421" s="49">
        <f>M421-H421</f>
        <v>122.72</v>
      </c>
      <c r="O421" s="50" t="str">
        <f>IF(H421=0,"No plan at start",M421/H421)</f>
        <v>No plan at start</v>
      </c>
    </row>
    <row r="422" spans="2:15" hidden="1" outlineLevel="2" x14ac:dyDescent="0.2">
      <c r="B422" s="49" t="s">
        <v>64</v>
      </c>
      <c r="C422" s="49" t="s">
        <v>57</v>
      </c>
      <c r="D422" s="49">
        <v>0</v>
      </c>
      <c r="E422" s="49">
        <v>0</v>
      </c>
      <c r="F422" s="49">
        <f>E422-D422</f>
        <v>0</v>
      </c>
      <c r="G422" s="50">
        <f>IF(D422=0,0,ABS(F422/D422))</f>
        <v>0</v>
      </c>
      <c r="H422" s="49">
        <v>0</v>
      </c>
      <c r="I422" s="49">
        <v>0</v>
      </c>
      <c r="J422" s="51" t="str">
        <f>IF(H422=0,"No plan at start",I422/H422)</f>
        <v>No plan at start</v>
      </c>
      <c r="K422" s="52">
        <f>H422-I422</f>
        <v>0</v>
      </c>
      <c r="L422" s="49">
        <v>0</v>
      </c>
      <c r="M422" s="49">
        <f>I422+L422</f>
        <v>0</v>
      </c>
      <c r="N422" s="49">
        <f>M422-H422</f>
        <v>0</v>
      </c>
      <c r="O422" s="50" t="str">
        <f>IF(H422=0,"No plan at start",M422/H422)</f>
        <v>No plan at start</v>
      </c>
    </row>
    <row r="423" spans="2:15" hidden="1" outlineLevel="2" x14ac:dyDescent="0.2">
      <c r="B423" s="49" t="s">
        <v>64</v>
      </c>
      <c r="C423" s="49" t="s">
        <v>58</v>
      </c>
      <c r="D423" s="49">
        <v>0</v>
      </c>
      <c r="E423" s="49">
        <v>0</v>
      </c>
      <c r="F423" s="49">
        <f>E423-D423</f>
        <v>0</v>
      </c>
      <c r="G423" s="50">
        <f>IF(D423=0,0,ABS(F423/D423))</f>
        <v>0</v>
      </c>
      <c r="H423" s="49">
        <v>0</v>
      </c>
      <c r="I423" s="49">
        <v>0</v>
      </c>
      <c r="J423" s="51" t="str">
        <f>IF(H423=0,"No plan at start",I423/H423)</f>
        <v>No plan at start</v>
      </c>
      <c r="K423" s="52">
        <f>H423-I423</f>
        <v>0</v>
      </c>
      <c r="L423" s="49">
        <v>0</v>
      </c>
      <c r="M423" s="49">
        <f>I423+L423</f>
        <v>0</v>
      </c>
      <c r="N423" s="49">
        <f>M423-H423</f>
        <v>0</v>
      </c>
      <c r="O423" s="50" t="str">
        <f>IF(H423=0,"No plan at start",M423/H423)</f>
        <v>No plan at start</v>
      </c>
    </row>
    <row r="424" spans="2:15" hidden="1" outlineLevel="2" x14ac:dyDescent="0.2">
      <c r="B424" s="49" t="s">
        <v>64</v>
      </c>
      <c r="C424" s="49" t="s">
        <v>59</v>
      </c>
      <c r="D424" s="49">
        <v>0</v>
      </c>
      <c r="E424" s="49">
        <v>0</v>
      </c>
      <c r="F424" s="49">
        <f>E424-D424</f>
        <v>0</v>
      </c>
      <c r="G424" s="50">
        <f>IF(D424=0,0,ABS(F424/D424))</f>
        <v>0</v>
      </c>
      <c r="H424" s="49">
        <v>0</v>
      </c>
      <c r="I424" s="49">
        <v>0</v>
      </c>
      <c r="J424" s="51" t="str">
        <f>IF(H424=0,"No plan at start",I424/H424)</f>
        <v>No plan at start</v>
      </c>
      <c r="K424" s="52">
        <f>H424-I424</f>
        <v>0</v>
      </c>
      <c r="L424" s="49">
        <v>0</v>
      </c>
      <c r="M424" s="49">
        <f>I424+L424</f>
        <v>0</v>
      </c>
      <c r="N424" s="49">
        <f>M424-H424</f>
        <v>0</v>
      </c>
      <c r="O424" s="50" t="str">
        <f>IF(H424=0,"No plan at start",M424/H424)</f>
        <v>No plan at start</v>
      </c>
    </row>
    <row r="425" spans="2:15" outlineLevel="1" collapsed="1" x14ac:dyDescent="0.2">
      <c r="B425" s="56" t="s">
        <v>103</v>
      </c>
      <c r="C425" s="49"/>
      <c r="D425" s="49">
        <f>SUBTOTAL(9,D417:D424)</f>
        <v>0</v>
      </c>
      <c r="E425" s="49">
        <f>SUBTOTAL(9,E417:E424)</f>
        <v>0</v>
      </c>
      <c r="F425" s="49">
        <f>SUBTOTAL(9,F417:F424)</f>
        <v>0</v>
      </c>
      <c r="G425" s="50">
        <f>IF(D425=0,0,ABS(F425/D425))</f>
        <v>0</v>
      </c>
      <c r="H425" s="49">
        <f>SUBTOTAL(9,H417:H424)</f>
        <v>0</v>
      </c>
      <c r="I425" s="49">
        <f>SUBTOTAL(9,I417:I424)</f>
        <v>122.72</v>
      </c>
      <c r="J425" s="51" t="str">
        <f>IF(H425=0,"No plan at start",I425/H425)</f>
        <v>No plan at start</v>
      </c>
      <c r="K425" s="52">
        <f>SUBTOTAL(9,K417:K424)</f>
        <v>-122.72</v>
      </c>
      <c r="L425" s="49">
        <f>SUBTOTAL(9,L417:L424)</f>
        <v>0</v>
      </c>
      <c r="M425" s="49">
        <f>SUBTOTAL(9,M417:M424)</f>
        <v>122.72</v>
      </c>
      <c r="N425" s="49">
        <f>SUBTOTAL(9,N417:N424)</f>
        <v>122.72</v>
      </c>
      <c r="O425" s="50" t="str">
        <f>IF(H425=0,"No plan at start",M425/H425)</f>
        <v>No plan at start</v>
      </c>
    </row>
    <row r="426" spans="2:15" hidden="1" outlineLevel="2" x14ac:dyDescent="0.2">
      <c r="B426" s="49" t="s">
        <v>65</v>
      </c>
      <c r="C426" s="49" t="s">
        <v>52</v>
      </c>
      <c r="D426" s="49">
        <v>0</v>
      </c>
      <c r="E426" s="49">
        <v>0</v>
      </c>
      <c r="F426" s="49">
        <f>E426-D426</f>
        <v>0</v>
      </c>
      <c r="G426" s="50">
        <f>IF(D426=0,0,ABS(F426/D426))</f>
        <v>0</v>
      </c>
      <c r="H426" s="49">
        <v>0</v>
      </c>
      <c r="I426" s="49">
        <v>0</v>
      </c>
      <c r="J426" s="51" t="str">
        <f>IF(H426=0,"No plan at start",I426/H426)</f>
        <v>No plan at start</v>
      </c>
      <c r="K426" s="52">
        <f>H426-I426</f>
        <v>0</v>
      </c>
      <c r="L426" s="49">
        <v>0</v>
      </c>
      <c r="M426" s="49">
        <f>I426+L426</f>
        <v>0</v>
      </c>
      <c r="N426" s="49">
        <f>M426-H426</f>
        <v>0</v>
      </c>
      <c r="O426" s="50" t="str">
        <f>IF(H426=0,"No plan at start",M426/H426)</f>
        <v>No plan at start</v>
      </c>
    </row>
    <row r="427" spans="2:15" hidden="1" outlineLevel="2" x14ac:dyDescent="0.2">
      <c r="B427" s="49" t="s">
        <v>65</v>
      </c>
      <c r="C427" s="49" t="s">
        <v>53</v>
      </c>
      <c r="D427" s="49">
        <v>0</v>
      </c>
      <c r="E427" s="49">
        <v>0</v>
      </c>
      <c r="F427" s="49">
        <f>E427-D427</f>
        <v>0</v>
      </c>
      <c r="G427" s="50">
        <f>IF(D427=0,0,ABS(F427/D427))</f>
        <v>0</v>
      </c>
      <c r="H427" s="49">
        <v>0</v>
      </c>
      <c r="I427" s="49">
        <v>0</v>
      </c>
      <c r="J427" s="51" t="str">
        <f>IF(H427=0,"No plan at start",I427/H427)</f>
        <v>No plan at start</v>
      </c>
      <c r="K427" s="52">
        <f>H427-I427</f>
        <v>0</v>
      </c>
      <c r="L427" s="49">
        <v>0</v>
      </c>
      <c r="M427" s="49">
        <f>I427+L427</f>
        <v>0</v>
      </c>
      <c r="N427" s="49">
        <f>M427-H427</f>
        <v>0</v>
      </c>
      <c r="O427" s="50" t="str">
        <f>IF(H427=0,"No plan at start",M427/H427)</f>
        <v>No plan at start</v>
      </c>
    </row>
    <row r="428" spans="2:15" hidden="1" outlineLevel="2" x14ac:dyDescent="0.2">
      <c r="B428" s="49" t="s">
        <v>65</v>
      </c>
      <c r="C428" s="49" t="s">
        <v>54</v>
      </c>
      <c r="D428" s="49">
        <v>0</v>
      </c>
      <c r="E428" s="49">
        <v>0</v>
      </c>
      <c r="F428" s="49">
        <f>E428-D428</f>
        <v>0</v>
      </c>
      <c r="G428" s="50">
        <f>IF(D428=0,0,ABS(F428/D428))</f>
        <v>0</v>
      </c>
      <c r="H428" s="49">
        <v>0</v>
      </c>
      <c r="I428" s="49">
        <v>4279.8599999999997</v>
      </c>
      <c r="J428" s="51" t="str">
        <f>IF(H428=0,"No plan at start",I428/H428)</f>
        <v>No plan at start</v>
      </c>
      <c r="K428" s="52">
        <f>H428-I428</f>
        <v>-4279.8599999999997</v>
      </c>
      <c r="L428" s="49">
        <v>0</v>
      </c>
      <c r="M428" s="49">
        <f>I428+L428</f>
        <v>4279.8599999999997</v>
      </c>
      <c r="N428" s="49">
        <f>M428-H428</f>
        <v>4279.8599999999997</v>
      </c>
      <c r="O428" s="50" t="str">
        <f>IF(H428=0,"No plan at start",M428/H428)</f>
        <v>No plan at start</v>
      </c>
    </row>
    <row r="429" spans="2:15" hidden="1" outlineLevel="2" x14ac:dyDescent="0.2">
      <c r="B429" s="49" t="s">
        <v>65</v>
      </c>
      <c r="C429" s="49" t="s">
        <v>55</v>
      </c>
      <c r="D429" s="49">
        <v>0</v>
      </c>
      <c r="E429" s="49">
        <v>0</v>
      </c>
      <c r="F429" s="49">
        <f>E429-D429</f>
        <v>0</v>
      </c>
      <c r="G429" s="50">
        <f>IF(D429=0,0,ABS(F429/D429))</f>
        <v>0</v>
      </c>
      <c r="H429" s="49">
        <v>0</v>
      </c>
      <c r="I429" s="49">
        <v>0</v>
      </c>
      <c r="J429" s="51" t="str">
        <f>IF(H429=0,"No plan at start",I429/H429)</f>
        <v>No plan at start</v>
      </c>
      <c r="K429" s="52">
        <f>H429-I429</f>
        <v>0</v>
      </c>
      <c r="L429" s="49">
        <v>0</v>
      </c>
      <c r="M429" s="49">
        <f>I429+L429</f>
        <v>0</v>
      </c>
      <c r="N429" s="49">
        <f>M429-H429</f>
        <v>0</v>
      </c>
      <c r="O429" s="50" t="str">
        <f>IF(H429=0,"No plan at start",M429/H429)</f>
        <v>No plan at start</v>
      </c>
    </row>
    <row r="430" spans="2:15" hidden="1" outlineLevel="2" x14ac:dyDescent="0.2">
      <c r="B430" s="49" t="s">
        <v>65</v>
      </c>
      <c r="C430" s="49" t="s">
        <v>56</v>
      </c>
      <c r="D430" s="49">
        <v>0</v>
      </c>
      <c r="E430" s="49">
        <v>0</v>
      </c>
      <c r="F430" s="49">
        <f>E430-D430</f>
        <v>0</v>
      </c>
      <c r="G430" s="50">
        <f>IF(D430=0,0,ABS(F430/D430))</f>
        <v>0</v>
      </c>
      <c r="H430" s="49">
        <v>0</v>
      </c>
      <c r="I430" s="49">
        <v>2270.3200000000002</v>
      </c>
      <c r="J430" s="51" t="str">
        <f>IF(H430=0,"No plan at start",I430/H430)</f>
        <v>No plan at start</v>
      </c>
      <c r="K430" s="52">
        <f>H430-I430</f>
        <v>-2270.3200000000002</v>
      </c>
      <c r="L430" s="49">
        <v>0</v>
      </c>
      <c r="M430" s="49">
        <f>I430+L430</f>
        <v>2270.3200000000002</v>
      </c>
      <c r="N430" s="49">
        <f>M430-H430</f>
        <v>2270.3200000000002</v>
      </c>
      <c r="O430" s="50" t="str">
        <f>IF(H430=0,"No plan at start",M430/H430)</f>
        <v>No plan at start</v>
      </c>
    </row>
    <row r="431" spans="2:15" hidden="1" outlineLevel="2" x14ac:dyDescent="0.2">
      <c r="B431" s="49" t="s">
        <v>65</v>
      </c>
      <c r="C431" s="49" t="s">
        <v>57</v>
      </c>
      <c r="D431" s="49">
        <v>0</v>
      </c>
      <c r="E431" s="49">
        <v>0</v>
      </c>
      <c r="F431" s="49">
        <f>E431-D431</f>
        <v>0</v>
      </c>
      <c r="G431" s="50">
        <f>IF(D431=0,0,ABS(F431/D431))</f>
        <v>0</v>
      </c>
      <c r="H431" s="49">
        <v>0</v>
      </c>
      <c r="I431" s="49">
        <v>0</v>
      </c>
      <c r="J431" s="51" t="str">
        <f>IF(H431=0,"No plan at start",I431/H431)</f>
        <v>No plan at start</v>
      </c>
      <c r="K431" s="52">
        <f>H431-I431</f>
        <v>0</v>
      </c>
      <c r="L431" s="49">
        <v>0</v>
      </c>
      <c r="M431" s="49">
        <f>I431+L431</f>
        <v>0</v>
      </c>
      <c r="N431" s="49">
        <f>M431-H431</f>
        <v>0</v>
      </c>
      <c r="O431" s="50" t="str">
        <f>IF(H431=0,"No plan at start",M431/H431)</f>
        <v>No plan at start</v>
      </c>
    </row>
    <row r="432" spans="2:15" hidden="1" outlineLevel="2" x14ac:dyDescent="0.2">
      <c r="B432" s="49" t="s">
        <v>65</v>
      </c>
      <c r="C432" s="49" t="s">
        <v>58</v>
      </c>
      <c r="D432" s="49">
        <v>0</v>
      </c>
      <c r="E432" s="49">
        <v>0</v>
      </c>
      <c r="F432" s="49">
        <f>E432-D432</f>
        <v>0</v>
      </c>
      <c r="G432" s="50">
        <f>IF(D432=0,0,ABS(F432/D432))</f>
        <v>0</v>
      </c>
      <c r="H432" s="49">
        <v>0</v>
      </c>
      <c r="I432" s="49">
        <v>0</v>
      </c>
      <c r="J432" s="51" t="str">
        <f>IF(H432=0,"No plan at start",I432/H432)</f>
        <v>No plan at start</v>
      </c>
      <c r="K432" s="52">
        <f>H432-I432</f>
        <v>0</v>
      </c>
      <c r="L432" s="49">
        <v>0</v>
      </c>
      <c r="M432" s="49">
        <f>I432+L432</f>
        <v>0</v>
      </c>
      <c r="N432" s="49">
        <f>M432-H432</f>
        <v>0</v>
      </c>
      <c r="O432" s="50" t="str">
        <f>IF(H432=0,"No plan at start",M432/H432)</f>
        <v>No plan at start</v>
      </c>
    </row>
    <row r="433" spans="2:15" hidden="1" outlineLevel="2" x14ac:dyDescent="0.2">
      <c r="B433" s="49" t="s">
        <v>65</v>
      </c>
      <c r="C433" s="49" t="s">
        <v>59</v>
      </c>
      <c r="D433" s="49">
        <v>0</v>
      </c>
      <c r="E433" s="49">
        <v>0</v>
      </c>
      <c r="F433" s="49">
        <f>E433-D433</f>
        <v>0</v>
      </c>
      <c r="G433" s="50">
        <f>IF(D433=0,0,ABS(F433/D433))</f>
        <v>0</v>
      </c>
      <c r="H433" s="49">
        <v>0</v>
      </c>
      <c r="I433" s="49">
        <v>0</v>
      </c>
      <c r="J433" s="51" t="str">
        <f>IF(H433=0,"No plan at start",I433/H433)</f>
        <v>No plan at start</v>
      </c>
      <c r="K433" s="52">
        <f>H433-I433</f>
        <v>0</v>
      </c>
      <c r="L433" s="49">
        <v>0</v>
      </c>
      <c r="M433" s="49">
        <f>I433+L433</f>
        <v>0</v>
      </c>
      <c r="N433" s="49">
        <f>M433-H433</f>
        <v>0</v>
      </c>
      <c r="O433" s="50" t="str">
        <f>IF(H433=0,"No plan at start",M433/H433)</f>
        <v>No plan at start</v>
      </c>
    </row>
    <row r="434" spans="2:15" outlineLevel="1" collapsed="1" x14ac:dyDescent="0.2">
      <c r="B434" s="56" t="s">
        <v>104</v>
      </c>
      <c r="C434" s="49"/>
      <c r="D434" s="49">
        <f>SUBTOTAL(9,D426:D433)</f>
        <v>0</v>
      </c>
      <c r="E434" s="49">
        <f>SUBTOTAL(9,E426:E433)</f>
        <v>0</v>
      </c>
      <c r="F434" s="49">
        <f>SUBTOTAL(9,F426:F433)</f>
        <v>0</v>
      </c>
      <c r="G434" s="50">
        <f>IF(D434=0,0,ABS(F434/D434))</f>
        <v>0</v>
      </c>
      <c r="H434" s="49">
        <f>SUBTOTAL(9,H426:H433)</f>
        <v>0</v>
      </c>
      <c r="I434" s="49">
        <f>SUBTOTAL(9,I426:I433)</f>
        <v>6550.18</v>
      </c>
      <c r="J434" s="51" t="str">
        <f>IF(H434=0,"No plan at start",I434/H434)</f>
        <v>No plan at start</v>
      </c>
      <c r="K434" s="52">
        <f>SUBTOTAL(9,K426:K433)</f>
        <v>-6550.18</v>
      </c>
      <c r="L434" s="49">
        <f>SUBTOTAL(9,L426:L433)</f>
        <v>0</v>
      </c>
      <c r="M434" s="49">
        <f>SUBTOTAL(9,M426:M433)</f>
        <v>6550.18</v>
      </c>
      <c r="N434" s="49">
        <f>SUBTOTAL(9,N426:N433)</f>
        <v>6550.18</v>
      </c>
      <c r="O434" s="50" t="str">
        <f>IF(H434=0,"No plan at start",M434/H434)</f>
        <v>No plan at start</v>
      </c>
    </row>
    <row r="435" spans="2:15" hidden="1" outlineLevel="2" x14ac:dyDescent="0.2">
      <c r="B435" s="49" t="s">
        <v>66</v>
      </c>
      <c r="C435" s="49" t="s">
        <v>52</v>
      </c>
      <c r="D435" s="49">
        <v>0</v>
      </c>
      <c r="E435" s="49">
        <v>0</v>
      </c>
      <c r="F435" s="49">
        <f>E435-D435</f>
        <v>0</v>
      </c>
      <c r="G435" s="50">
        <f>IF(D435=0,0,ABS(F435/D435))</f>
        <v>0</v>
      </c>
      <c r="H435" s="49">
        <v>0</v>
      </c>
      <c r="I435" s="49">
        <v>178.88</v>
      </c>
      <c r="J435" s="51" t="str">
        <f>IF(H435=0,"No plan at start",I435/H435)</f>
        <v>No plan at start</v>
      </c>
      <c r="K435" s="52">
        <f>H435-I435</f>
        <v>-178.88</v>
      </c>
      <c r="L435" s="49">
        <v>0</v>
      </c>
      <c r="M435" s="49">
        <f>I435+L435</f>
        <v>178.88</v>
      </c>
      <c r="N435" s="49">
        <f>M435-H435</f>
        <v>178.88</v>
      </c>
      <c r="O435" s="50" t="str">
        <f>IF(H435=0,"No plan at start",M435/H435)</f>
        <v>No plan at start</v>
      </c>
    </row>
    <row r="436" spans="2:15" hidden="1" outlineLevel="2" x14ac:dyDescent="0.2">
      <c r="B436" s="49" t="s">
        <v>66</v>
      </c>
      <c r="C436" s="49" t="s">
        <v>53</v>
      </c>
      <c r="D436" s="49">
        <v>0</v>
      </c>
      <c r="E436" s="49">
        <v>0</v>
      </c>
      <c r="F436" s="49">
        <f>E436-D436</f>
        <v>0</v>
      </c>
      <c r="G436" s="50">
        <f>IF(D436=0,0,ABS(F436/D436))</f>
        <v>0</v>
      </c>
      <c r="H436" s="49">
        <v>0</v>
      </c>
      <c r="I436" s="49">
        <v>0</v>
      </c>
      <c r="J436" s="51" t="str">
        <f>IF(H436=0,"No plan at start",I436/H436)</f>
        <v>No plan at start</v>
      </c>
      <c r="K436" s="52">
        <f>H436-I436</f>
        <v>0</v>
      </c>
      <c r="L436" s="49">
        <v>0</v>
      </c>
      <c r="M436" s="49">
        <f>I436+L436</f>
        <v>0</v>
      </c>
      <c r="N436" s="49">
        <f>M436-H436</f>
        <v>0</v>
      </c>
      <c r="O436" s="50" t="str">
        <f>IF(H436=0,"No plan at start",M436/H436)</f>
        <v>No plan at start</v>
      </c>
    </row>
    <row r="437" spans="2:15" hidden="1" outlineLevel="2" x14ac:dyDescent="0.2">
      <c r="B437" s="49" t="s">
        <v>66</v>
      </c>
      <c r="C437" s="49" t="s">
        <v>54</v>
      </c>
      <c r="D437" s="49">
        <v>0</v>
      </c>
      <c r="E437" s="49">
        <v>0</v>
      </c>
      <c r="F437" s="49">
        <f>E437-D437</f>
        <v>0</v>
      </c>
      <c r="G437" s="50">
        <f>IF(D437=0,0,ABS(F437/D437))</f>
        <v>0</v>
      </c>
      <c r="H437" s="49">
        <v>0</v>
      </c>
      <c r="I437" s="49">
        <v>0</v>
      </c>
      <c r="J437" s="51" t="str">
        <f>IF(H437=0,"No plan at start",I437/H437)</f>
        <v>No plan at start</v>
      </c>
      <c r="K437" s="52">
        <f>H437-I437</f>
        <v>0</v>
      </c>
      <c r="L437" s="49">
        <v>0</v>
      </c>
      <c r="M437" s="49">
        <f>I437+L437</f>
        <v>0</v>
      </c>
      <c r="N437" s="49">
        <f>M437-H437</f>
        <v>0</v>
      </c>
      <c r="O437" s="50" t="str">
        <f>IF(H437=0,"No plan at start",M437/H437)</f>
        <v>No plan at start</v>
      </c>
    </row>
    <row r="438" spans="2:15" hidden="1" outlineLevel="2" x14ac:dyDescent="0.2">
      <c r="B438" s="49" t="s">
        <v>66</v>
      </c>
      <c r="C438" s="49" t="s">
        <v>55</v>
      </c>
      <c r="D438" s="49">
        <v>0</v>
      </c>
      <c r="E438" s="49">
        <v>0</v>
      </c>
      <c r="F438" s="49">
        <f>E438-D438</f>
        <v>0</v>
      </c>
      <c r="G438" s="50">
        <f>IF(D438=0,0,ABS(F438/D438))</f>
        <v>0</v>
      </c>
      <c r="H438" s="49">
        <v>0</v>
      </c>
      <c r="I438" s="49">
        <v>0</v>
      </c>
      <c r="J438" s="51" t="str">
        <f>IF(H438=0,"No plan at start",I438/H438)</f>
        <v>No plan at start</v>
      </c>
      <c r="K438" s="52">
        <f>H438-I438</f>
        <v>0</v>
      </c>
      <c r="L438" s="49">
        <v>0</v>
      </c>
      <c r="M438" s="49">
        <f>I438+L438</f>
        <v>0</v>
      </c>
      <c r="N438" s="49">
        <f>M438-H438</f>
        <v>0</v>
      </c>
      <c r="O438" s="50" t="str">
        <f>IF(H438=0,"No plan at start",M438/H438)</f>
        <v>No plan at start</v>
      </c>
    </row>
    <row r="439" spans="2:15" hidden="1" outlineLevel="2" x14ac:dyDescent="0.2">
      <c r="B439" s="49" t="s">
        <v>66</v>
      </c>
      <c r="C439" s="49" t="s">
        <v>56</v>
      </c>
      <c r="D439" s="49">
        <v>0</v>
      </c>
      <c r="E439" s="49">
        <v>0</v>
      </c>
      <c r="F439" s="49">
        <f>E439-D439</f>
        <v>0</v>
      </c>
      <c r="G439" s="50">
        <f>IF(D439=0,0,ABS(F439/D439))</f>
        <v>0</v>
      </c>
      <c r="H439" s="49">
        <v>0</v>
      </c>
      <c r="I439" s="49">
        <v>0</v>
      </c>
      <c r="J439" s="51" t="str">
        <f>IF(H439=0,"No plan at start",I439/H439)</f>
        <v>No plan at start</v>
      </c>
      <c r="K439" s="52">
        <f>H439-I439</f>
        <v>0</v>
      </c>
      <c r="L439" s="49">
        <v>0</v>
      </c>
      <c r="M439" s="49">
        <f>I439+L439</f>
        <v>0</v>
      </c>
      <c r="N439" s="49">
        <f>M439-H439</f>
        <v>0</v>
      </c>
      <c r="O439" s="50" t="str">
        <f>IF(H439=0,"No plan at start",M439/H439)</f>
        <v>No plan at start</v>
      </c>
    </row>
    <row r="440" spans="2:15" hidden="1" outlineLevel="2" x14ac:dyDescent="0.2">
      <c r="B440" s="49" t="s">
        <v>66</v>
      </c>
      <c r="C440" s="49" t="s">
        <v>57</v>
      </c>
      <c r="D440" s="49">
        <v>0</v>
      </c>
      <c r="E440" s="49">
        <v>0</v>
      </c>
      <c r="F440" s="49">
        <f>E440-D440</f>
        <v>0</v>
      </c>
      <c r="G440" s="50">
        <f>IF(D440=0,0,ABS(F440/D440))</f>
        <v>0</v>
      </c>
      <c r="H440" s="49">
        <v>0</v>
      </c>
      <c r="I440" s="49">
        <v>0</v>
      </c>
      <c r="J440" s="51" t="str">
        <f>IF(H440=0,"No plan at start",I440/H440)</f>
        <v>No plan at start</v>
      </c>
      <c r="K440" s="52">
        <f>H440-I440</f>
        <v>0</v>
      </c>
      <c r="L440" s="49">
        <v>0</v>
      </c>
      <c r="M440" s="49">
        <f>I440+L440</f>
        <v>0</v>
      </c>
      <c r="N440" s="49">
        <f>M440-H440</f>
        <v>0</v>
      </c>
      <c r="O440" s="50" t="str">
        <f>IF(H440=0,"No plan at start",M440/H440)</f>
        <v>No plan at start</v>
      </c>
    </row>
    <row r="441" spans="2:15" hidden="1" outlineLevel="2" x14ac:dyDescent="0.2">
      <c r="B441" s="49" t="s">
        <v>66</v>
      </c>
      <c r="C441" s="49" t="s">
        <v>58</v>
      </c>
      <c r="D441" s="49">
        <v>0</v>
      </c>
      <c r="E441" s="49">
        <v>0</v>
      </c>
      <c r="F441" s="49">
        <f>E441-D441</f>
        <v>0</v>
      </c>
      <c r="G441" s="50">
        <f>IF(D441=0,0,ABS(F441/D441))</f>
        <v>0</v>
      </c>
      <c r="H441" s="49">
        <v>0</v>
      </c>
      <c r="I441" s="49">
        <v>0</v>
      </c>
      <c r="J441" s="51" t="str">
        <f>IF(H441=0,"No plan at start",I441/H441)</f>
        <v>No plan at start</v>
      </c>
      <c r="K441" s="52">
        <f>H441-I441</f>
        <v>0</v>
      </c>
      <c r="L441" s="49">
        <v>0</v>
      </c>
      <c r="M441" s="49">
        <f>I441+L441</f>
        <v>0</v>
      </c>
      <c r="N441" s="49">
        <f>M441-H441</f>
        <v>0</v>
      </c>
      <c r="O441" s="50" t="str">
        <f>IF(H441=0,"No plan at start",M441/H441)</f>
        <v>No plan at start</v>
      </c>
    </row>
    <row r="442" spans="2:15" hidden="1" outlineLevel="2" x14ac:dyDescent="0.2">
      <c r="B442" s="49" t="s">
        <v>66</v>
      </c>
      <c r="C442" s="49" t="s">
        <v>59</v>
      </c>
      <c r="D442" s="49">
        <v>0</v>
      </c>
      <c r="E442" s="49">
        <v>0</v>
      </c>
      <c r="F442" s="49">
        <f>E442-D442</f>
        <v>0</v>
      </c>
      <c r="G442" s="50">
        <f>IF(D442=0,0,ABS(F442/D442))</f>
        <v>0</v>
      </c>
      <c r="H442" s="49">
        <v>0</v>
      </c>
      <c r="I442" s="49">
        <v>0</v>
      </c>
      <c r="J442" s="51" t="str">
        <f>IF(H442=0,"No plan at start",I442/H442)</f>
        <v>No plan at start</v>
      </c>
      <c r="K442" s="52">
        <f>H442-I442</f>
        <v>0</v>
      </c>
      <c r="L442" s="49">
        <v>0</v>
      </c>
      <c r="M442" s="49">
        <f>I442+L442</f>
        <v>0</v>
      </c>
      <c r="N442" s="49">
        <f>M442-H442</f>
        <v>0</v>
      </c>
      <c r="O442" s="50" t="str">
        <f>IF(H442=0,"No plan at start",M442/H442)</f>
        <v>No plan at start</v>
      </c>
    </row>
    <row r="443" spans="2:15" outlineLevel="1" collapsed="1" x14ac:dyDescent="0.2">
      <c r="B443" s="56" t="s">
        <v>105</v>
      </c>
      <c r="C443" s="49"/>
      <c r="D443" s="49">
        <f>SUBTOTAL(9,D435:D442)</f>
        <v>0</v>
      </c>
      <c r="E443" s="49">
        <f>SUBTOTAL(9,E435:E442)</f>
        <v>0</v>
      </c>
      <c r="F443" s="49">
        <f>SUBTOTAL(9,F435:F442)</f>
        <v>0</v>
      </c>
      <c r="G443" s="50">
        <f>IF(D443=0,0,ABS(F443/D443))</f>
        <v>0</v>
      </c>
      <c r="H443" s="49">
        <f>SUBTOTAL(9,H435:H442)</f>
        <v>0</v>
      </c>
      <c r="I443" s="49">
        <f>SUBTOTAL(9,I435:I442)</f>
        <v>178.88</v>
      </c>
      <c r="J443" s="51" t="str">
        <f>IF(H443=0,"No plan at start",I443/H443)</f>
        <v>No plan at start</v>
      </c>
      <c r="K443" s="52">
        <f>SUBTOTAL(9,K435:K442)</f>
        <v>-178.88</v>
      </c>
      <c r="L443" s="49">
        <f>SUBTOTAL(9,L435:L442)</f>
        <v>0</v>
      </c>
      <c r="M443" s="49">
        <f>SUBTOTAL(9,M435:M442)</f>
        <v>178.88</v>
      </c>
      <c r="N443" s="49">
        <f>SUBTOTAL(9,N435:N442)</f>
        <v>178.88</v>
      </c>
      <c r="O443" s="50" t="str">
        <f>IF(H443=0,"No plan at start",M443/H443)</f>
        <v>No plan at start</v>
      </c>
    </row>
    <row r="444" spans="2:15" hidden="1" outlineLevel="2" x14ac:dyDescent="0.2">
      <c r="B444" s="49" t="s">
        <v>67</v>
      </c>
      <c r="C444" s="49" t="s">
        <v>52</v>
      </c>
      <c r="D444" s="49">
        <v>0</v>
      </c>
      <c r="E444" s="49">
        <v>0</v>
      </c>
      <c r="F444" s="49">
        <f>E444-D444</f>
        <v>0</v>
      </c>
      <c r="G444" s="50">
        <f>IF(D444=0,0,ABS(F444/D444))</f>
        <v>0</v>
      </c>
      <c r="H444" s="49">
        <v>0</v>
      </c>
      <c r="I444" s="49">
        <v>0</v>
      </c>
      <c r="J444" s="51" t="str">
        <f>IF(H444=0,"No plan at start",I444/H444)</f>
        <v>No plan at start</v>
      </c>
      <c r="K444" s="52">
        <f>H444-I444</f>
        <v>0</v>
      </c>
      <c r="L444" s="49">
        <v>0</v>
      </c>
      <c r="M444" s="49">
        <f>I444+L444</f>
        <v>0</v>
      </c>
      <c r="N444" s="49">
        <f>M444-H444</f>
        <v>0</v>
      </c>
      <c r="O444" s="50" t="str">
        <f>IF(H444=0,"No plan at start",M444/H444)</f>
        <v>No plan at start</v>
      </c>
    </row>
    <row r="445" spans="2:15" hidden="1" outlineLevel="2" x14ac:dyDescent="0.2">
      <c r="B445" s="49" t="s">
        <v>67</v>
      </c>
      <c r="C445" s="49" t="s">
        <v>53</v>
      </c>
      <c r="D445" s="49">
        <v>0</v>
      </c>
      <c r="E445" s="49">
        <v>0</v>
      </c>
      <c r="F445" s="49">
        <f>E445-D445</f>
        <v>0</v>
      </c>
      <c r="G445" s="50">
        <f>IF(D445=0,0,ABS(F445/D445))</f>
        <v>0</v>
      </c>
      <c r="H445" s="49">
        <v>0</v>
      </c>
      <c r="I445" s="49">
        <v>0</v>
      </c>
      <c r="J445" s="51" t="str">
        <f>IF(H445=0,"No plan at start",I445/H445)</f>
        <v>No plan at start</v>
      </c>
      <c r="K445" s="52">
        <f>H445-I445</f>
        <v>0</v>
      </c>
      <c r="L445" s="49">
        <v>0</v>
      </c>
      <c r="M445" s="49">
        <f>I445+L445</f>
        <v>0</v>
      </c>
      <c r="N445" s="49">
        <f>M445-H445</f>
        <v>0</v>
      </c>
      <c r="O445" s="50" t="str">
        <f>IF(H445=0,"No plan at start",M445/H445)</f>
        <v>No plan at start</v>
      </c>
    </row>
    <row r="446" spans="2:15" hidden="1" outlineLevel="2" x14ac:dyDescent="0.2">
      <c r="B446" s="49" t="s">
        <v>67</v>
      </c>
      <c r="C446" s="49" t="s">
        <v>54</v>
      </c>
      <c r="D446" s="49">
        <v>0</v>
      </c>
      <c r="E446" s="49">
        <v>0</v>
      </c>
      <c r="F446" s="49">
        <f>E446-D446</f>
        <v>0</v>
      </c>
      <c r="G446" s="50">
        <f>IF(D446=0,0,ABS(F446/D446))</f>
        <v>0</v>
      </c>
      <c r="H446" s="49">
        <v>89217.44</v>
      </c>
      <c r="I446" s="49">
        <v>78924.300000000178</v>
      </c>
      <c r="J446" s="51">
        <f>IF(H446=0,"No plan at start",I446/H446)</f>
        <v>0.88462861072902532</v>
      </c>
      <c r="K446" s="52">
        <f>H446-I446</f>
        <v>10293.139999999825</v>
      </c>
      <c r="L446" s="49">
        <v>0</v>
      </c>
      <c r="M446" s="49">
        <f>I446+L446</f>
        <v>78924.300000000178</v>
      </c>
      <c r="N446" s="49">
        <f>M446-H446</f>
        <v>-10293.139999999825</v>
      </c>
      <c r="O446" s="50">
        <f>IF(H446=0,"No plan at start",M446/H446)</f>
        <v>0.88462861072902532</v>
      </c>
    </row>
    <row r="447" spans="2:15" hidden="1" outlineLevel="2" x14ac:dyDescent="0.2">
      <c r="B447" s="49" t="s">
        <v>67</v>
      </c>
      <c r="C447" s="49" t="s">
        <v>55</v>
      </c>
      <c r="D447" s="49">
        <v>0</v>
      </c>
      <c r="E447" s="49">
        <v>0</v>
      </c>
      <c r="F447" s="49">
        <f>E447-D447</f>
        <v>0</v>
      </c>
      <c r="G447" s="50">
        <f>IF(D447=0,0,ABS(F447/D447))</f>
        <v>0</v>
      </c>
      <c r="H447" s="49">
        <v>0</v>
      </c>
      <c r="I447" s="49">
        <v>0</v>
      </c>
      <c r="J447" s="51" t="str">
        <f>IF(H447=0,"No plan at start",I447/H447)</f>
        <v>No plan at start</v>
      </c>
      <c r="K447" s="52">
        <f>H447-I447</f>
        <v>0</v>
      </c>
      <c r="L447" s="49">
        <v>0</v>
      </c>
      <c r="M447" s="49">
        <f>I447+L447</f>
        <v>0</v>
      </c>
      <c r="N447" s="49">
        <f>M447-H447</f>
        <v>0</v>
      </c>
      <c r="O447" s="50" t="str">
        <f>IF(H447=0,"No plan at start",M447/H447)</f>
        <v>No plan at start</v>
      </c>
    </row>
    <row r="448" spans="2:15" hidden="1" outlineLevel="2" x14ac:dyDescent="0.2">
      <c r="B448" s="49" t="s">
        <v>67</v>
      </c>
      <c r="C448" s="49" t="s">
        <v>56</v>
      </c>
      <c r="D448" s="49">
        <v>0</v>
      </c>
      <c r="E448" s="49">
        <v>0</v>
      </c>
      <c r="F448" s="49">
        <f>E448-D448</f>
        <v>0</v>
      </c>
      <c r="G448" s="50">
        <f>IF(D448=0,0,ABS(F448/D448))</f>
        <v>0</v>
      </c>
      <c r="H448" s="49">
        <v>0</v>
      </c>
      <c r="I448" s="49">
        <v>0</v>
      </c>
      <c r="J448" s="51" t="str">
        <f>IF(H448=0,"No plan at start",I448/H448)</f>
        <v>No plan at start</v>
      </c>
      <c r="K448" s="52">
        <f>H448-I448</f>
        <v>0</v>
      </c>
      <c r="L448" s="49">
        <v>0</v>
      </c>
      <c r="M448" s="49">
        <f>I448+L448</f>
        <v>0</v>
      </c>
      <c r="N448" s="49">
        <f>M448-H448</f>
        <v>0</v>
      </c>
      <c r="O448" s="50" t="str">
        <f>IF(H448=0,"No plan at start",M448/H448)</f>
        <v>No plan at start</v>
      </c>
    </row>
    <row r="449" spans="2:15" hidden="1" outlineLevel="2" x14ac:dyDescent="0.2">
      <c r="B449" s="49" t="s">
        <v>67</v>
      </c>
      <c r="C449" s="49" t="s">
        <v>57</v>
      </c>
      <c r="D449" s="49">
        <v>0</v>
      </c>
      <c r="E449" s="49">
        <v>0</v>
      </c>
      <c r="F449" s="49">
        <f>E449-D449</f>
        <v>0</v>
      </c>
      <c r="G449" s="50">
        <f>IF(D449=0,0,ABS(F449/D449))</f>
        <v>0</v>
      </c>
      <c r="H449" s="49">
        <v>0</v>
      </c>
      <c r="I449" s="49">
        <v>0</v>
      </c>
      <c r="J449" s="51" t="str">
        <f>IF(H449=0,"No plan at start",I449/H449)</f>
        <v>No plan at start</v>
      </c>
      <c r="K449" s="52">
        <f>H449-I449</f>
        <v>0</v>
      </c>
      <c r="L449" s="49">
        <v>0</v>
      </c>
      <c r="M449" s="49">
        <f>I449+L449</f>
        <v>0</v>
      </c>
      <c r="N449" s="49">
        <f>M449-H449</f>
        <v>0</v>
      </c>
      <c r="O449" s="50" t="str">
        <f>IF(H449=0,"No plan at start",M449/H449)</f>
        <v>No plan at start</v>
      </c>
    </row>
    <row r="450" spans="2:15" hidden="1" outlineLevel="2" x14ac:dyDescent="0.2">
      <c r="B450" s="49" t="s">
        <v>67</v>
      </c>
      <c r="C450" s="49" t="s">
        <v>58</v>
      </c>
      <c r="D450" s="49">
        <v>0</v>
      </c>
      <c r="E450" s="49">
        <v>0</v>
      </c>
      <c r="F450" s="49">
        <f>E450-D450</f>
        <v>0</v>
      </c>
      <c r="G450" s="50">
        <f>IF(D450=0,0,ABS(F450/D450))</f>
        <v>0</v>
      </c>
      <c r="H450" s="49">
        <v>0</v>
      </c>
      <c r="I450" s="49">
        <v>0</v>
      </c>
      <c r="J450" s="51" t="str">
        <f>IF(H450=0,"No plan at start",I450/H450)</f>
        <v>No plan at start</v>
      </c>
      <c r="K450" s="52">
        <f>H450-I450</f>
        <v>0</v>
      </c>
      <c r="L450" s="49">
        <v>0</v>
      </c>
      <c r="M450" s="49">
        <f>I450+L450</f>
        <v>0</v>
      </c>
      <c r="N450" s="49">
        <f>M450-H450</f>
        <v>0</v>
      </c>
      <c r="O450" s="50" t="str">
        <f>IF(H450=0,"No plan at start",M450/H450)</f>
        <v>No plan at start</v>
      </c>
    </row>
    <row r="451" spans="2:15" hidden="1" outlineLevel="2" x14ac:dyDescent="0.2">
      <c r="B451" s="49" t="s">
        <v>67</v>
      </c>
      <c r="C451" s="49" t="s">
        <v>59</v>
      </c>
      <c r="D451" s="49">
        <v>0</v>
      </c>
      <c r="E451" s="49">
        <v>0</v>
      </c>
      <c r="F451" s="49">
        <f>E451-D451</f>
        <v>0</v>
      </c>
      <c r="G451" s="50">
        <f>IF(D451=0,0,ABS(F451/D451))</f>
        <v>0</v>
      </c>
      <c r="H451" s="49">
        <v>0</v>
      </c>
      <c r="I451" s="49">
        <v>0</v>
      </c>
      <c r="J451" s="51" t="str">
        <f>IF(H451=0,"No plan at start",I451/H451)</f>
        <v>No plan at start</v>
      </c>
      <c r="K451" s="52">
        <f>H451-I451</f>
        <v>0</v>
      </c>
      <c r="L451" s="49">
        <v>0</v>
      </c>
      <c r="M451" s="49">
        <f>I451+L451</f>
        <v>0</v>
      </c>
      <c r="N451" s="49">
        <f>M451-H451</f>
        <v>0</v>
      </c>
      <c r="O451" s="50" t="str">
        <f>IF(H451=0,"No plan at start",M451/H451)</f>
        <v>No plan at start</v>
      </c>
    </row>
    <row r="452" spans="2:15" outlineLevel="1" collapsed="1" x14ac:dyDescent="0.2">
      <c r="B452" s="56" t="s">
        <v>106</v>
      </c>
      <c r="C452" s="49"/>
      <c r="D452" s="49">
        <f>SUBTOTAL(9,D444:D451)</f>
        <v>0</v>
      </c>
      <c r="E452" s="49">
        <f>SUBTOTAL(9,E444:E451)</f>
        <v>0</v>
      </c>
      <c r="F452" s="49">
        <f>SUBTOTAL(9,F444:F451)</f>
        <v>0</v>
      </c>
      <c r="G452" s="50">
        <f>IF(D452=0,0,ABS(F452/D452))</f>
        <v>0</v>
      </c>
      <c r="H452" s="49">
        <f>SUBTOTAL(9,H444:H451)</f>
        <v>89217.44</v>
      </c>
      <c r="I452" s="49">
        <f>SUBTOTAL(9,I444:I451)</f>
        <v>78924.300000000178</v>
      </c>
      <c r="J452" s="51">
        <f>IF(H452=0,"No plan at start",I452/H452)</f>
        <v>0.88462861072902532</v>
      </c>
      <c r="K452" s="52">
        <f>SUBTOTAL(9,K444:K451)</f>
        <v>10293.139999999825</v>
      </c>
      <c r="L452" s="49">
        <f>SUBTOTAL(9,L444:L451)</f>
        <v>0</v>
      </c>
      <c r="M452" s="49">
        <f>SUBTOTAL(9,M444:M451)</f>
        <v>78924.300000000178</v>
      </c>
      <c r="N452" s="49">
        <f>SUBTOTAL(9,N444:N451)</f>
        <v>-10293.139999999825</v>
      </c>
      <c r="O452" s="50">
        <f>IF(H452=0,"No plan at start",M452/H452)</f>
        <v>0.88462861072902532</v>
      </c>
    </row>
    <row r="453" spans="2:15" hidden="1" outlineLevel="2" x14ac:dyDescent="0.2">
      <c r="B453" s="49" t="s">
        <v>68</v>
      </c>
      <c r="C453" s="49" t="s">
        <v>52</v>
      </c>
      <c r="D453" s="49">
        <v>0</v>
      </c>
      <c r="E453" s="49">
        <v>0</v>
      </c>
      <c r="F453" s="49">
        <f>E453-D453</f>
        <v>0</v>
      </c>
      <c r="G453" s="50">
        <f>IF(D453=0,0,ABS(F453/D453))</f>
        <v>0</v>
      </c>
      <c r="H453" s="49">
        <v>23812.799999999999</v>
      </c>
      <c r="I453" s="49">
        <v>101201.3600000008</v>
      </c>
      <c r="J453" s="51">
        <f>IF(H453=0,"No plan at start",I453/H453)</f>
        <v>4.2498723375663845</v>
      </c>
      <c r="K453" s="52">
        <f>H453-I453</f>
        <v>-77388.560000000798</v>
      </c>
      <c r="L453" s="49">
        <v>0</v>
      </c>
      <c r="M453" s="49">
        <f>I453+L453</f>
        <v>101201.3600000008</v>
      </c>
      <c r="N453" s="49">
        <f>M453-H453</f>
        <v>77388.560000000798</v>
      </c>
      <c r="O453" s="50">
        <f>IF(H453=0,"No plan at start",M453/H453)</f>
        <v>4.2498723375663845</v>
      </c>
    </row>
    <row r="454" spans="2:15" hidden="1" outlineLevel="2" x14ac:dyDescent="0.2">
      <c r="B454" s="49" t="s">
        <v>68</v>
      </c>
      <c r="C454" s="49" t="s">
        <v>53</v>
      </c>
      <c r="D454" s="49">
        <v>0</v>
      </c>
      <c r="E454" s="49">
        <v>0</v>
      </c>
      <c r="F454" s="49">
        <f>E454-D454</f>
        <v>0</v>
      </c>
      <c r="G454" s="50">
        <f>IF(D454=0,0,ABS(F454/D454))</f>
        <v>0</v>
      </c>
      <c r="H454" s="49">
        <v>0</v>
      </c>
      <c r="I454" s="49">
        <v>0</v>
      </c>
      <c r="J454" s="51" t="str">
        <f>IF(H454=0,"No plan at start",I454/H454)</f>
        <v>No plan at start</v>
      </c>
      <c r="K454" s="52">
        <f>H454-I454</f>
        <v>0</v>
      </c>
      <c r="L454" s="49">
        <v>0</v>
      </c>
      <c r="M454" s="49">
        <f>I454+L454</f>
        <v>0</v>
      </c>
      <c r="N454" s="49">
        <f>M454-H454</f>
        <v>0</v>
      </c>
      <c r="O454" s="50" t="str">
        <f>IF(H454=0,"No plan at start",M454/H454)</f>
        <v>No plan at start</v>
      </c>
    </row>
    <row r="455" spans="2:15" hidden="1" outlineLevel="2" x14ac:dyDescent="0.2">
      <c r="B455" s="49" t="s">
        <v>68</v>
      </c>
      <c r="C455" s="49" t="s">
        <v>54</v>
      </c>
      <c r="D455" s="49">
        <v>0</v>
      </c>
      <c r="E455" s="49">
        <v>0</v>
      </c>
      <c r="F455" s="49">
        <f>E455-D455</f>
        <v>0</v>
      </c>
      <c r="G455" s="50">
        <f>IF(D455=0,0,ABS(F455/D455))</f>
        <v>0</v>
      </c>
      <c r="H455" s="49">
        <v>0</v>
      </c>
      <c r="I455" s="49">
        <v>0</v>
      </c>
      <c r="J455" s="51" t="str">
        <f>IF(H455=0,"No plan at start",I455/H455)</f>
        <v>No plan at start</v>
      </c>
      <c r="K455" s="52">
        <f>H455-I455</f>
        <v>0</v>
      </c>
      <c r="L455" s="49">
        <v>0</v>
      </c>
      <c r="M455" s="49">
        <f>I455+L455</f>
        <v>0</v>
      </c>
      <c r="N455" s="49">
        <f>M455-H455</f>
        <v>0</v>
      </c>
      <c r="O455" s="50" t="str">
        <f>IF(H455=0,"No plan at start",M455/H455)</f>
        <v>No plan at start</v>
      </c>
    </row>
    <row r="456" spans="2:15" hidden="1" outlineLevel="2" x14ac:dyDescent="0.2">
      <c r="B456" s="49" t="s">
        <v>68</v>
      </c>
      <c r="C456" s="49" t="s">
        <v>55</v>
      </c>
      <c r="D456" s="49">
        <v>0</v>
      </c>
      <c r="E456" s="49">
        <v>0</v>
      </c>
      <c r="F456" s="49">
        <f>E456-D456</f>
        <v>0</v>
      </c>
      <c r="G456" s="50">
        <f>IF(D456=0,0,ABS(F456/D456))</f>
        <v>0</v>
      </c>
      <c r="H456" s="49">
        <v>0</v>
      </c>
      <c r="I456" s="49">
        <v>0</v>
      </c>
      <c r="J456" s="51" t="str">
        <f>IF(H456=0,"No plan at start",I456/H456)</f>
        <v>No plan at start</v>
      </c>
      <c r="K456" s="52">
        <f>H456-I456</f>
        <v>0</v>
      </c>
      <c r="L456" s="49">
        <v>0</v>
      </c>
      <c r="M456" s="49">
        <f>I456+L456</f>
        <v>0</v>
      </c>
      <c r="N456" s="49">
        <f>M456-H456</f>
        <v>0</v>
      </c>
      <c r="O456" s="50" t="str">
        <f>IF(H456=0,"No plan at start",M456/H456)</f>
        <v>No plan at start</v>
      </c>
    </row>
    <row r="457" spans="2:15" hidden="1" outlineLevel="2" x14ac:dyDescent="0.2">
      <c r="B457" s="49" t="s">
        <v>68</v>
      </c>
      <c r="C457" s="49" t="s">
        <v>56</v>
      </c>
      <c r="D457" s="49">
        <v>0</v>
      </c>
      <c r="E457" s="49">
        <v>0</v>
      </c>
      <c r="F457" s="49">
        <f>E457-D457</f>
        <v>0</v>
      </c>
      <c r="G457" s="50">
        <f>IF(D457=0,0,ABS(F457/D457))</f>
        <v>0</v>
      </c>
      <c r="H457" s="49">
        <v>0</v>
      </c>
      <c r="I457" s="49">
        <v>14235.520000000011</v>
      </c>
      <c r="J457" s="51" t="str">
        <f>IF(H457=0,"No plan at start",I457/H457)</f>
        <v>No plan at start</v>
      </c>
      <c r="K457" s="52">
        <f>H457-I457</f>
        <v>-14235.520000000011</v>
      </c>
      <c r="L457" s="49">
        <v>0</v>
      </c>
      <c r="M457" s="49">
        <f>I457+L457</f>
        <v>14235.520000000011</v>
      </c>
      <c r="N457" s="49">
        <f>M457-H457</f>
        <v>14235.520000000011</v>
      </c>
      <c r="O457" s="50" t="str">
        <f>IF(H457=0,"No plan at start",M457/H457)</f>
        <v>No plan at start</v>
      </c>
    </row>
    <row r="458" spans="2:15" hidden="1" outlineLevel="2" x14ac:dyDescent="0.2">
      <c r="B458" s="49" t="s">
        <v>68</v>
      </c>
      <c r="C458" s="49" t="s">
        <v>57</v>
      </c>
      <c r="D458" s="49">
        <v>0</v>
      </c>
      <c r="E458" s="49">
        <v>0</v>
      </c>
      <c r="F458" s="49">
        <f>E458-D458</f>
        <v>0</v>
      </c>
      <c r="G458" s="50">
        <f>IF(D458=0,0,ABS(F458/D458))</f>
        <v>0</v>
      </c>
      <c r="H458" s="49">
        <v>0</v>
      </c>
      <c r="I458" s="49">
        <v>1386.3200000000002</v>
      </c>
      <c r="J458" s="51" t="str">
        <f>IF(H458=0,"No plan at start",I458/H458)</f>
        <v>No plan at start</v>
      </c>
      <c r="K458" s="52">
        <f>H458-I458</f>
        <v>-1386.3200000000002</v>
      </c>
      <c r="L458" s="49">
        <v>0</v>
      </c>
      <c r="M458" s="49">
        <f>I458+L458</f>
        <v>1386.3200000000002</v>
      </c>
      <c r="N458" s="49">
        <f>M458-H458</f>
        <v>1386.3200000000002</v>
      </c>
      <c r="O458" s="50" t="str">
        <f>IF(H458=0,"No plan at start",M458/H458)</f>
        <v>No plan at start</v>
      </c>
    </row>
    <row r="459" spans="2:15" hidden="1" outlineLevel="2" x14ac:dyDescent="0.2">
      <c r="B459" s="49" t="s">
        <v>68</v>
      </c>
      <c r="C459" s="49" t="s">
        <v>58</v>
      </c>
      <c r="D459" s="49">
        <v>0</v>
      </c>
      <c r="E459" s="49">
        <v>0</v>
      </c>
      <c r="F459" s="49">
        <f>E459-D459</f>
        <v>0</v>
      </c>
      <c r="G459" s="50">
        <f>IF(D459=0,0,ABS(F459/D459))</f>
        <v>0</v>
      </c>
      <c r="H459" s="49">
        <v>0</v>
      </c>
      <c r="I459" s="49">
        <v>0</v>
      </c>
      <c r="J459" s="51" t="str">
        <f>IF(H459=0,"No plan at start",I459/H459)</f>
        <v>No plan at start</v>
      </c>
      <c r="K459" s="52">
        <f>H459-I459</f>
        <v>0</v>
      </c>
      <c r="L459" s="49">
        <v>0</v>
      </c>
      <c r="M459" s="49">
        <f>I459+L459</f>
        <v>0</v>
      </c>
      <c r="N459" s="49">
        <f>M459-H459</f>
        <v>0</v>
      </c>
      <c r="O459" s="50" t="str">
        <f>IF(H459=0,"No plan at start",M459/H459)</f>
        <v>No plan at start</v>
      </c>
    </row>
    <row r="460" spans="2:15" hidden="1" outlineLevel="2" x14ac:dyDescent="0.2">
      <c r="B460" s="49" t="s">
        <v>68</v>
      </c>
      <c r="C460" s="49" t="s">
        <v>59</v>
      </c>
      <c r="D460" s="49">
        <v>0</v>
      </c>
      <c r="E460" s="49">
        <v>0</v>
      </c>
      <c r="F460" s="49">
        <f>E460-D460</f>
        <v>0</v>
      </c>
      <c r="G460" s="50">
        <f>IF(D460=0,0,ABS(F460/D460))</f>
        <v>0</v>
      </c>
      <c r="H460" s="49">
        <v>0</v>
      </c>
      <c r="I460" s="49">
        <v>0</v>
      </c>
      <c r="J460" s="51" t="str">
        <f>IF(H460=0,"No plan at start",I460/H460)</f>
        <v>No plan at start</v>
      </c>
      <c r="K460" s="52">
        <f>H460-I460</f>
        <v>0</v>
      </c>
      <c r="L460" s="49">
        <v>0</v>
      </c>
      <c r="M460" s="49">
        <f>I460+L460</f>
        <v>0</v>
      </c>
      <c r="N460" s="49">
        <f>M460-H460</f>
        <v>0</v>
      </c>
      <c r="O460" s="50" t="str">
        <f>IF(H460=0,"No plan at start",M460/H460)</f>
        <v>No plan at start</v>
      </c>
    </row>
    <row r="461" spans="2:15" outlineLevel="1" collapsed="1" x14ac:dyDescent="0.2">
      <c r="B461" s="56" t="s">
        <v>107</v>
      </c>
      <c r="C461" s="49"/>
      <c r="D461" s="49">
        <f>SUBTOTAL(9,D453:D460)</f>
        <v>0</v>
      </c>
      <c r="E461" s="49">
        <f>SUBTOTAL(9,E453:E460)</f>
        <v>0</v>
      </c>
      <c r="F461" s="49">
        <f>SUBTOTAL(9,F453:F460)</f>
        <v>0</v>
      </c>
      <c r="G461" s="50">
        <f>IF(D461=0,0,ABS(F461/D461))</f>
        <v>0</v>
      </c>
      <c r="H461" s="49">
        <f>SUBTOTAL(9,H453:H460)</f>
        <v>23812.799999999999</v>
      </c>
      <c r="I461" s="49">
        <f>SUBTOTAL(9,I453:I460)</f>
        <v>116823.20000000083</v>
      </c>
      <c r="J461" s="51">
        <f>IF(H461=0,"No plan at start",I461/H461)</f>
        <v>4.905899348249716</v>
      </c>
      <c r="K461" s="52">
        <f>SUBTOTAL(9,K453:K460)</f>
        <v>-93010.400000000809</v>
      </c>
      <c r="L461" s="49">
        <f>SUBTOTAL(9,L453:L460)</f>
        <v>0</v>
      </c>
      <c r="M461" s="49">
        <f>SUBTOTAL(9,M453:M460)</f>
        <v>116823.20000000083</v>
      </c>
      <c r="N461" s="49">
        <f>SUBTOTAL(9,N453:N460)</f>
        <v>93010.400000000809</v>
      </c>
      <c r="O461" s="50">
        <f>IF(H461=0,"No plan at start",M461/H461)</f>
        <v>4.905899348249716</v>
      </c>
    </row>
    <row r="462" spans="2:15" hidden="1" outlineLevel="2" x14ac:dyDescent="0.2">
      <c r="B462" s="49" t="s">
        <v>69</v>
      </c>
      <c r="C462" s="49" t="s">
        <v>52</v>
      </c>
      <c r="D462" s="49">
        <v>0</v>
      </c>
      <c r="E462" s="49">
        <v>0</v>
      </c>
      <c r="F462" s="49">
        <f>E462-D462</f>
        <v>0</v>
      </c>
      <c r="G462" s="50">
        <f>IF(D462=0,0,ABS(F462/D462))</f>
        <v>0</v>
      </c>
      <c r="H462" s="49">
        <v>0</v>
      </c>
      <c r="I462" s="49">
        <v>0</v>
      </c>
      <c r="J462" s="51" t="str">
        <f>IF(H462=0,"No plan at start",I462/H462)</f>
        <v>No plan at start</v>
      </c>
      <c r="K462" s="52">
        <f>H462-I462</f>
        <v>0</v>
      </c>
      <c r="L462" s="49">
        <v>0</v>
      </c>
      <c r="M462" s="49">
        <f>I462+L462</f>
        <v>0</v>
      </c>
      <c r="N462" s="49">
        <f>M462-H462</f>
        <v>0</v>
      </c>
      <c r="O462" s="50" t="str">
        <f>IF(H462=0,"No plan at start",M462/H462)</f>
        <v>No plan at start</v>
      </c>
    </row>
    <row r="463" spans="2:15" hidden="1" outlineLevel="2" x14ac:dyDescent="0.2">
      <c r="B463" s="49" t="s">
        <v>69</v>
      </c>
      <c r="C463" s="49" t="s">
        <v>53</v>
      </c>
      <c r="D463" s="49">
        <v>0</v>
      </c>
      <c r="E463" s="49">
        <v>0</v>
      </c>
      <c r="F463" s="49">
        <f>E463-D463</f>
        <v>0</v>
      </c>
      <c r="G463" s="50">
        <f>IF(D463=0,0,ABS(F463/D463))</f>
        <v>0</v>
      </c>
      <c r="H463" s="49">
        <v>0</v>
      </c>
      <c r="I463" s="49">
        <v>0</v>
      </c>
      <c r="J463" s="51" t="str">
        <f>IF(H463=0,"No plan at start",I463/H463)</f>
        <v>No plan at start</v>
      </c>
      <c r="K463" s="52">
        <f>H463-I463</f>
        <v>0</v>
      </c>
      <c r="L463" s="49">
        <v>0</v>
      </c>
      <c r="M463" s="49">
        <f>I463+L463</f>
        <v>0</v>
      </c>
      <c r="N463" s="49">
        <f>M463-H463</f>
        <v>0</v>
      </c>
      <c r="O463" s="50" t="str">
        <f>IF(H463=0,"No plan at start",M463/H463)</f>
        <v>No plan at start</v>
      </c>
    </row>
    <row r="464" spans="2:15" hidden="1" outlineLevel="2" x14ac:dyDescent="0.2">
      <c r="B464" s="49" t="s">
        <v>69</v>
      </c>
      <c r="C464" s="49" t="s">
        <v>54</v>
      </c>
      <c r="D464" s="49">
        <v>0</v>
      </c>
      <c r="E464" s="49">
        <v>0</v>
      </c>
      <c r="F464" s="49">
        <f>E464-D464</f>
        <v>0</v>
      </c>
      <c r="G464" s="50">
        <f>IF(D464=0,0,ABS(F464/D464))</f>
        <v>0</v>
      </c>
      <c r="H464" s="49">
        <v>0</v>
      </c>
      <c r="I464" s="49">
        <v>0</v>
      </c>
      <c r="J464" s="51" t="str">
        <f>IF(H464=0,"No plan at start",I464/H464)</f>
        <v>No plan at start</v>
      </c>
      <c r="K464" s="52">
        <f>H464-I464</f>
        <v>0</v>
      </c>
      <c r="L464" s="49">
        <v>0</v>
      </c>
      <c r="M464" s="49">
        <f>I464+L464</f>
        <v>0</v>
      </c>
      <c r="N464" s="49">
        <f>M464-H464</f>
        <v>0</v>
      </c>
      <c r="O464" s="50" t="str">
        <f>IF(H464=0,"No plan at start",M464/H464)</f>
        <v>No plan at start</v>
      </c>
    </row>
    <row r="465" spans="2:15" hidden="1" outlineLevel="2" x14ac:dyDescent="0.2">
      <c r="B465" s="49" t="s">
        <v>69</v>
      </c>
      <c r="C465" s="49" t="s">
        <v>55</v>
      </c>
      <c r="D465" s="49">
        <v>0</v>
      </c>
      <c r="E465" s="49">
        <v>0</v>
      </c>
      <c r="F465" s="49">
        <f>E465-D465</f>
        <v>0</v>
      </c>
      <c r="G465" s="50">
        <f>IF(D465=0,0,ABS(F465/D465))</f>
        <v>0</v>
      </c>
      <c r="H465" s="49">
        <v>0</v>
      </c>
      <c r="I465" s="49">
        <v>0</v>
      </c>
      <c r="J465" s="51" t="str">
        <f>IF(H465=0,"No plan at start",I465/H465)</f>
        <v>No plan at start</v>
      </c>
      <c r="K465" s="52">
        <f>H465-I465</f>
        <v>0</v>
      </c>
      <c r="L465" s="49">
        <v>0</v>
      </c>
      <c r="M465" s="49">
        <f>I465+L465</f>
        <v>0</v>
      </c>
      <c r="N465" s="49">
        <f>M465-H465</f>
        <v>0</v>
      </c>
      <c r="O465" s="50" t="str">
        <f>IF(H465=0,"No plan at start",M465/H465)</f>
        <v>No plan at start</v>
      </c>
    </row>
    <row r="466" spans="2:15" hidden="1" outlineLevel="2" x14ac:dyDescent="0.2">
      <c r="B466" s="49" t="s">
        <v>69</v>
      </c>
      <c r="C466" s="49" t="s">
        <v>56</v>
      </c>
      <c r="D466" s="49">
        <v>0</v>
      </c>
      <c r="E466" s="49">
        <v>0</v>
      </c>
      <c r="F466" s="49">
        <f>E466-D466</f>
        <v>0</v>
      </c>
      <c r="G466" s="50">
        <f>IF(D466=0,0,ABS(F466/D466))</f>
        <v>0</v>
      </c>
      <c r="H466" s="49">
        <v>0</v>
      </c>
      <c r="I466" s="49">
        <v>0</v>
      </c>
      <c r="J466" s="51" t="str">
        <f>IF(H466=0,"No plan at start",I466/H466)</f>
        <v>No plan at start</v>
      </c>
      <c r="K466" s="52">
        <f>H466-I466</f>
        <v>0</v>
      </c>
      <c r="L466" s="49">
        <v>0</v>
      </c>
      <c r="M466" s="49">
        <f>I466+L466</f>
        <v>0</v>
      </c>
      <c r="N466" s="49">
        <f>M466-H466</f>
        <v>0</v>
      </c>
      <c r="O466" s="50" t="str">
        <f>IF(H466=0,"No plan at start",M466/H466)</f>
        <v>No plan at start</v>
      </c>
    </row>
    <row r="467" spans="2:15" hidden="1" outlineLevel="2" x14ac:dyDescent="0.2">
      <c r="B467" s="49" t="s">
        <v>69</v>
      </c>
      <c r="C467" s="49" t="s">
        <v>57</v>
      </c>
      <c r="D467" s="49">
        <v>0</v>
      </c>
      <c r="E467" s="49">
        <v>0</v>
      </c>
      <c r="F467" s="49">
        <f>E467-D467</f>
        <v>0</v>
      </c>
      <c r="G467" s="50">
        <f>IF(D467=0,0,ABS(F467/D467))</f>
        <v>0</v>
      </c>
      <c r="H467" s="49">
        <v>0</v>
      </c>
      <c r="I467" s="49">
        <v>0</v>
      </c>
      <c r="J467" s="51" t="str">
        <f>IF(H467=0,"No plan at start",I467/H467)</f>
        <v>No plan at start</v>
      </c>
      <c r="K467" s="52">
        <f>H467-I467</f>
        <v>0</v>
      </c>
      <c r="L467" s="49">
        <v>0</v>
      </c>
      <c r="M467" s="49">
        <f>I467+L467</f>
        <v>0</v>
      </c>
      <c r="N467" s="49">
        <f>M467-H467</f>
        <v>0</v>
      </c>
      <c r="O467" s="50" t="str">
        <f>IF(H467=0,"No plan at start",M467/H467)</f>
        <v>No plan at start</v>
      </c>
    </row>
    <row r="468" spans="2:15" hidden="1" outlineLevel="2" x14ac:dyDescent="0.2">
      <c r="B468" s="49" t="s">
        <v>69</v>
      </c>
      <c r="C468" s="49" t="s">
        <v>58</v>
      </c>
      <c r="D468" s="49">
        <v>0</v>
      </c>
      <c r="E468" s="49">
        <v>0</v>
      </c>
      <c r="F468" s="49">
        <f>E468-D468</f>
        <v>0</v>
      </c>
      <c r="G468" s="50">
        <f>IF(D468=0,0,ABS(F468/D468))</f>
        <v>0</v>
      </c>
      <c r="H468" s="49">
        <v>0</v>
      </c>
      <c r="I468" s="49">
        <v>0</v>
      </c>
      <c r="J468" s="51" t="str">
        <f>IF(H468=0,"No plan at start",I468/H468)</f>
        <v>No plan at start</v>
      </c>
      <c r="K468" s="52">
        <f>H468-I468</f>
        <v>0</v>
      </c>
      <c r="L468" s="49">
        <v>0</v>
      </c>
      <c r="M468" s="49">
        <f>I468+L468</f>
        <v>0</v>
      </c>
      <c r="N468" s="49">
        <f>M468-H468</f>
        <v>0</v>
      </c>
      <c r="O468" s="50" t="str">
        <f>IF(H468=0,"No plan at start",M468/H468)</f>
        <v>No plan at start</v>
      </c>
    </row>
    <row r="469" spans="2:15" hidden="1" outlineLevel="2" x14ac:dyDescent="0.2">
      <c r="B469" s="49" t="s">
        <v>69</v>
      </c>
      <c r="C469" s="49" t="s">
        <v>59</v>
      </c>
      <c r="D469" s="49">
        <v>0</v>
      </c>
      <c r="E469" s="49">
        <v>0</v>
      </c>
      <c r="F469" s="49">
        <f>E469-D469</f>
        <v>0</v>
      </c>
      <c r="G469" s="50">
        <f>IF(D469=0,0,ABS(F469/D469))</f>
        <v>0</v>
      </c>
      <c r="H469" s="49">
        <v>0</v>
      </c>
      <c r="I469" s="49">
        <v>0</v>
      </c>
      <c r="J469" s="51" t="str">
        <f>IF(H469=0,"No plan at start",I469/H469)</f>
        <v>No plan at start</v>
      </c>
      <c r="K469" s="52">
        <f>H469-I469</f>
        <v>0</v>
      </c>
      <c r="L469" s="49">
        <v>0</v>
      </c>
      <c r="M469" s="49">
        <f>I469+L469</f>
        <v>0</v>
      </c>
      <c r="N469" s="49">
        <f>M469-H469</f>
        <v>0</v>
      </c>
      <c r="O469" s="50" t="str">
        <f>IF(H469=0,"No plan at start",M469/H469)</f>
        <v>No plan at start</v>
      </c>
    </row>
    <row r="470" spans="2:15" outlineLevel="1" collapsed="1" x14ac:dyDescent="0.2">
      <c r="B470" s="56" t="s">
        <v>108</v>
      </c>
      <c r="C470" s="49"/>
      <c r="D470" s="49">
        <f>SUBTOTAL(9,D462:D469)</f>
        <v>0</v>
      </c>
      <c r="E470" s="49">
        <f>SUBTOTAL(9,E462:E469)</f>
        <v>0</v>
      </c>
      <c r="F470" s="49">
        <f>SUBTOTAL(9,F462:F469)</f>
        <v>0</v>
      </c>
      <c r="G470" s="50">
        <f>IF(D470=0,0,ABS(F470/D470))</f>
        <v>0</v>
      </c>
      <c r="H470" s="49">
        <f>SUBTOTAL(9,H462:H469)</f>
        <v>0</v>
      </c>
      <c r="I470" s="49">
        <f>SUBTOTAL(9,I462:I469)</f>
        <v>0</v>
      </c>
      <c r="J470" s="51" t="str">
        <f>IF(H470=0,"No plan at start",I470/H470)</f>
        <v>No plan at start</v>
      </c>
      <c r="K470" s="52">
        <f>SUBTOTAL(9,K462:K469)</f>
        <v>0</v>
      </c>
      <c r="L470" s="49">
        <f>SUBTOTAL(9,L462:L469)</f>
        <v>0</v>
      </c>
      <c r="M470" s="49">
        <f>SUBTOTAL(9,M462:M469)</f>
        <v>0</v>
      </c>
      <c r="N470" s="49">
        <f>SUBTOTAL(9,N462:N469)</f>
        <v>0</v>
      </c>
      <c r="O470" s="50" t="str">
        <f>IF(H470=0,"No plan at start",M470/H470)</f>
        <v>No plan at start</v>
      </c>
    </row>
    <row r="471" spans="2:15" hidden="1" outlineLevel="2" x14ac:dyDescent="0.2">
      <c r="B471" s="49" t="s">
        <v>70</v>
      </c>
      <c r="C471" s="49" t="s">
        <v>52</v>
      </c>
      <c r="D471" s="49">
        <v>0</v>
      </c>
      <c r="E471" s="49">
        <v>0</v>
      </c>
      <c r="F471" s="49">
        <f>E471-D471</f>
        <v>0</v>
      </c>
      <c r="G471" s="50">
        <f>IF(D471=0,0,ABS(F471/D471))</f>
        <v>0</v>
      </c>
      <c r="H471" s="49">
        <v>0</v>
      </c>
      <c r="I471" s="49">
        <v>0</v>
      </c>
      <c r="J471" s="51" t="str">
        <f>IF(H471=0,"No plan at start",I471/H471)</f>
        <v>No plan at start</v>
      </c>
      <c r="K471" s="52">
        <f>H471-I471</f>
        <v>0</v>
      </c>
      <c r="L471" s="49">
        <v>0</v>
      </c>
      <c r="M471" s="49">
        <f>I471+L471</f>
        <v>0</v>
      </c>
      <c r="N471" s="49">
        <f>M471-H471</f>
        <v>0</v>
      </c>
      <c r="O471" s="50" t="str">
        <f>IF(H471=0,"No plan at start",M471/H471)</f>
        <v>No plan at start</v>
      </c>
    </row>
    <row r="472" spans="2:15" hidden="1" outlineLevel="2" x14ac:dyDescent="0.2">
      <c r="B472" s="49" t="s">
        <v>70</v>
      </c>
      <c r="C472" s="49" t="s">
        <v>53</v>
      </c>
      <c r="D472" s="49">
        <v>0</v>
      </c>
      <c r="E472" s="49">
        <v>0</v>
      </c>
      <c r="F472" s="49">
        <f>E472-D472</f>
        <v>0</v>
      </c>
      <c r="G472" s="50">
        <f>IF(D472=0,0,ABS(F472/D472))</f>
        <v>0</v>
      </c>
      <c r="H472" s="49">
        <v>0</v>
      </c>
      <c r="I472" s="49">
        <v>0</v>
      </c>
      <c r="J472" s="51" t="str">
        <f>IF(H472=0,"No plan at start",I472/H472)</f>
        <v>No plan at start</v>
      </c>
      <c r="K472" s="52">
        <f>H472-I472</f>
        <v>0</v>
      </c>
      <c r="L472" s="49">
        <v>0</v>
      </c>
      <c r="M472" s="49">
        <f>I472+L472</f>
        <v>0</v>
      </c>
      <c r="N472" s="49">
        <f>M472-H472</f>
        <v>0</v>
      </c>
      <c r="O472" s="50" t="str">
        <f>IF(H472=0,"No plan at start",M472/H472)</f>
        <v>No plan at start</v>
      </c>
    </row>
    <row r="473" spans="2:15" hidden="1" outlineLevel="2" x14ac:dyDescent="0.2">
      <c r="B473" s="49" t="s">
        <v>70</v>
      </c>
      <c r="C473" s="49" t="s">
        <v>54</v>
      </c>
      <c r="D473" s="49">
        <v>0</v>
      </c>
      <c r="E473" s="49">
        <v>0</v>
      </c>
      <c r="F473" s="49">
        <f>E473-D473</f>
        <v>0</v>
      </c>
      <c r="G473" s="50">
        <f>IF(D473=0,0,ABS(F473/D473))</f>
        <v>0</v>
      </c>
      <c r="H473" s="49">
        <v>0</v>
      </c>
      <c r="I473" s="49">
        <v>0</v>
      </c>
      <c r="J473" s="51" t="str">
        <f>IF(H473=0,"No plan at start",I473/H473)</f>
        <v>No plan at start</v>
      </c>
      <c r="K473" s="52">
        <f>H473-I473</f>
        <v>0</v>
      </c>
      <c r="L473" s="49">
        <v>0</v>
      </c>
      <c r="M473" s="49">
        <f>I473+L473</f>
        <v>0</v>
      </c>
      <c r="N473" s="49">
        <f>M473-H473</f>
        <v>0</v>
      </c>
      <c r="O473" s="50" t="str">
        <f>IF(H473=0,"No plan at start",M473/H473)</f>
        <v>No plan at start</v>
      </c>
    </row>
    <row r="474" spans="2:15" hidden="1" outlineLevel="2" x14ac:dyDescent="0.2">
      <c r="B474" s="49" t="s">
        <v>70</v>
      </c>
      <c r="C474" s="49" t="s">
        <v>55</v>
      </c>
      <c r="D474" s="49">
        <v>0</v>
      </c>
      <c r="E474" s="49">
        <v>0</v>
      </c>
      <c r="F474" s="49">
        <f>E474-D474</f>
        <v>0</v>
      </c>
      <c r="G474" s="50">
        <f>IF(D474=0,0,ABS(F474/D474))</f>
        <v>0</v>
      </c>
      <c r="H474" s="49">
        <v>0</v>
      </c>
      <c r="I474" s="49">
        <v>0</v>
      </c>
      <c r="J474" s="51" t="str">
        <f>IF(H474=0,"No plan at start",I474/H474)</f>
        <v>No plan at start</v>
      </c>
      <c r="K474" s="52">
        <f>H474-I474</f>
        <v>0</v>
      </c>
      <c r="L474" s="49">
        <v>0</v>
      </c>
      <c r="M474" s="49">
        <f>I474+L474</f>
        <v>0</v>
      </c>
      <c r="N474" s="49">
        <f>M474-H474</f>
        <v>0</v>
      </c>
      <c r="O474" s="50" t="str">
        <f>IF(H474=0,"No plan at start",M474/H474)</f>
        <v>No plan at start</v>
      </c>
    </row>
    <row r="475" spans="2:15" hidden="1" outlineLevel="2" x14ac:dyDescent="0.2">
      <c r="B475" s="49" t="s">
        <v>70</v>
      </c>
      <c r="C475" s="49" t="s">
        <v>56</v>
      </c>
      <c r="D475" s="49">
        <v>0</v>
      </c>
      <c r="E475" s="49">
        <v>0</v>
      </c>
      <c r="F475" s="49">
        <f>E475-D475</f>
        <v>0</v>
      </c>
      <c r="G475" s="50">
        <f>IF(D475=0,0,ABS(F475/D475))</f>
        <v>0</v>
      </c>
      <c r="H475" s="49">
        <v>0</v>
      </c>
      <c r="I475" s="49">
        <v>0</v>
      </c>
      <c r="J475" s="51" t="str">
        <f>IF(H475=0,"No plan at start",I475/H475)</f>
        <v>No plan at start</v>
      </c>
      <c r="K475" s="52">
        <f>H475-I475</f>
        <v>0</v>
      </c>
      <c r="L475" s="49">
        <v>0</v>
      </c>
      <c r="M475" s="49">
        <f>I475+L475</f>
        <v>0</v>
      </c>
      <c r="N475" s="49">
        <f>M475-H475</f>
        <v>0</v>
      </c>
      <c r="O475" s="50" t="str">
        <f>IF(H475=0,"No plan at start",M475/H475)</f>
        <v>No plan at start</v>
      </c>
    </row>
    <row r="476" spans="2:15" hidden="1" outlineLevel="2" x14ac:dyDescent="0.2">
      <c r="B476" s="49" t="s">
        <v>70</v>
      </c>
      <c r="C476" s="49" t="s">
        <v>57</v>
      </c>
      <c r="D476" s="49">
        <v>0</v>
      </c>
      <c r="E476" s="49">
        <v>0</v>
      </c>
      <c r="F476" s="49">
        <f>E476-D476</f>
        <v>0</v>
      </c>
      <c r="G476" s="50">
        <f>IF(D476=0,0,ABS(F476/D476))</f>
        <v>0</v>
      </c>
      <c r="H476" s="49">
        <v>0</v>
      </c>
      <c r="I476" s="49">
        <v>536.64</v>
      </c>
      <c r="J476" s="51" t="str">
        <f>IF(H476=0,"No plan at start",I476/H476)</f>
        <v>No plan at start</v>
      </c>
      <c r="K476" s="52">
        <f>H476-I476</f>
        <v>-536.64</v>
      </c>
      <c r="L476" s="49">
        <v>0</v>
      </c>
      <c r="M476" s="49">
        <f>I476+L476</f>
        <v>536.64</v>
      </c>
      <c r="N476" s="49">
        <f>M476-H476</f>
        <v>536.64</v>
      </c>
      <c r="O476" s="50" t="str">
        <f>IF(H476=0,"No plan at start",M476/H476)</f>
        <v>No plan at start</v>
      </c>
    </row>
    <row r="477" spans="2:15" hidden="1" outlineLevel="2" x14ac:dyDescent="0.2">
      <c r="B477" s="49" t="s">
        <v>70</v>
      </c>
      <c r="C477" s="49" t="s">
        <v>58</v>
      </c>
      <c r="D477" s="49">
        <v>0</v>
      </c>
      <c r="E477" s="49">
        <v>0</v>
      </c>
      <c r="F477" s="49">
        <f>E477-D477</f>
        <v>0</v>
      </c>
      <c r="G477" s="50">
        <f>IF(D477=0,0,ABS(F477/D477))</f>
        <v>0</v>
      </c>
      <c r="H477" s="49">
        <v>0</v>
      </c>
      <c r="I477" s="49">
        <v>0</v>
      </c>
      <c r="J477" s="51" t="str">
        <f>IF(H477=0,"No plan at start",I477/H477)</f>
        <v>No plan at start</v>
      </c>
      <c r="K477" s="52">
        <f>H477-I477</f>
        <v>0</v>
      </c>
      <c r="L477" s="49">
        <v>0</v>
      </c>
      <c r="M477" s="49">
        <f>I477+L477</f>
        <v>0</v>
      </c>
      <c r="N477" s="49">
        <f>M477-H477</f>
        <v>0</v>
      </c>
      <c r="O477" s="50" t="str">
        <f>IF(H477=0,"No plan at start",M477/H477)</f>
        <v>No plan at start</v>
      </c>
    </row>
    <row r="478" spans="2:15" hidden="1" outlineLevel="2" x14ac:dyDescent="0.2">
      <c r="B478" s="49" t="s">
        <v>70</v>
      </c>
      <c r="C478" s="49" t="s">
        <v>59</v>
      </c>
      <c r="D478" s="49">
        <v>0</v>
      </c>
      <c r="E478" s="49">
        <v>0</v>
      </c>
      <c r="F478" s="49">
        <f>E478-D478</f>
        <v>0</v>
      </c>
      <c r="G478" s="50">
        <f>IF(D478=0,0,ABS(F478/D478))</f>
        <v>0</v>
      </c>
      <c r="H478" s="49">
        <v>0</v>
      </c>
      <c r="I478" s="49">
        <v>0</v>
      </c>
      <c r="J478" s="51" t="str">
        <f>IF(H478=0,"No plan at start",I478/H478)</f>
        <v>No plan at start</v>
      </c>
      <c r="K478" s="52">
        <f>H478-I478</f>
        <v>0</v>
      </c>
      <c r="L478" s="49">
        <v>0</v>
      </c>
      <c r="M478" s="49">
        <f>I478+L478</f>
        <v>0</v>
      </c>
      <c r="N478" s="49">
        <f>M478-H478</f>
        <v>0</v>
      </c>
      <c r="O478" s="50" t="str">
        <f>IF(H478=0,"No plan at start",M478/H478)</f>
        <v>No plan at start</v>
      </c>
    </row>
    <row r="479" spans="2:15" outlineLevel="1" collapsed="1" x14ac:dyDescent="0.2">
      <c r="B479" s="56" t="s">
        <v>109</v>
      </c>
      <c r="C479" s="49"/>
      <c r="D479" s="49">
        <f>SUBTOTAL(9,D471:D478)</f>
        <v>0</v>
      </c>
      <c r="E479" s="49">
        <f>SUBTOTAL(9,E471:E478)</f>
        <v>0</v>
      </c>
      <c r="F479" s="49">
        <f>SUBTOTAL(9,F471:F478)</f>
        <v>0</v>
      </c>
      <c r="G479" s="50">
        <f>IF(D479=0,0,ABS(F479/D479))</f>
        <v>0</v>
      </c>
      <c r="H479" s="49">
        <f>SUBTOTAL(9,H471:H478)</f>
        <v>0</v>
      </c>
      <c r="I479" s="49">
        <f>SUBTOTAL(9,I471:I478)</f>
        <v>536.64</v>
      </c>
      <c r="J479" s="51" t="str">
        <f>IF(H479=0,"No plan at start",I479/H479)</f>
        <v>No plan at start</v>
      </c>
      <c r="K479" s="52">
        <f>SUBTOTAL(9,K471:K478)</f>
        <v>-536.64</v>
      </c>
      <c r="L479" s="49">
        <f>SUBTOTAL(9,L471:L478)</f>
        <v>0</v>
      </c>
      <c r="M479" s="49">
        <f>SUBTOTAL(9,M471:M478)</f>
        <v>536.64</v>
      </c>
      <c r="N479" s="49">
        <f>SUBTOTAL(9,N471:N478)</f>
        <v>536.64</v>
      </c>
      <c r="O479" s="50" t="str">
        <f>IF(H479=0,"No plan at start",M479/H479)</f>
        <v>No plan at start</v>
      </c>
    </row>
    <row r="480" spans="2:15" hidden="1" outlineLevel="2" x14ac:dyDescent="0.2">
      <c r="B480" s="49" t="s">
        <v>71</v>
      </c>
      <c r="C480" s="49" t="s">
        <v>52</v>
      </c>
      <c r="D480" s="49">
        <v>0</v>
      </c>
      <c r="E480" s="49">
        <v>0</v>
      </c>
      <c r="F480" s="49">
        <f>E480-D480</f>
        <v>0</v>
      </c>
      <c r="G480" s="50">
        <f>IF(D480=0,0,ABS(F480/D480))</f>
        <v>0</v>
      </c>
      <c r="H480" s="49">
        <v>0</v>
      </c>
      <c r="I480" s="49">
        <v>0</v>
      </c>
      <c r="J480" s="51" t="str">
        <f>IF(H480=0,"No plan at start",I480/H480)</f>
        <v>No plan at start</v>
      </c>
      <c r="K480" s="52">
        <f>H480-I480</f>
        <v>0</v>
      </c>
      <c r="L480" s="49">
        <v>0</v>
      </c>
      <c r="M480" s="49">
        <f>I480+L480</f>
        <v>0</v>
      </c>
      <c r="N480" s="49">
        <f>M480-H480</f>
        <v>0</v>
      </c>
      <c r="O480" s="50" t="str">
        <f>IF(H480=0,"No plan at start",M480/H480)</f>
        <v>No plan at start</v>
      </c>
    </row>
    <row r="481" spans="2:15" hidden="1" outlineLevel="2" x14ac:dyDescent="0.2">
      <c r="B481" s="49" t="s">
        <v>71</v>
      </c>
      <c r="C481" s="49" t="s">
        <v>53</v>
      </c>
      <c r="D481" s="49">
        <v>0</v>
      </c>
      <c r="E481" s="49">
        <v>0</v>
      </c>
      <c r="F481" s="49">
        <f>E481-D481</f>
        <v>0</v>
      </c>
      <c r="G481" s="50">
        <f>IF(D481=0,0,ABS(F481/D481))</f>
        <v>0</v>
      </c>
      <c r="H481" s="49">
        <v>0</v>
      </c>
      <c r="I481" s="49">
        <v>0</v>
      </c>
      <c r="J481" s="51" t="str">
        <f>IF(H481=0,"No plan at start",I481/H481)</f>
        <v>No plan at start</v>
      </c>
      <c r="K481" s="52">
        <f>H481-I481</f>
        <v>0</v>
      </c>
      <c r="L481" s="49">
        <v>0</v>
      </c>
      <c r="M481" s="49">
        <f>I481+L481</f>
        <v>0</v>
      </c>
      <c r="N481" s="49">
        <f>M481-H481</f>
        <v>0</v>
      </c>
      <c r="O481" s="50" t="str">
        <f>IF(H481=0,"No plan at start",M481/H481)</f>
        <v>No plan at start</v>
      </c>
    </row>
    <row r="482" spans="2:15" hidden="1" outlineLevel="2" x14ac:dyDescent="0.2">
      <c r="B482" s="49" t="s">
        <v>71</v>
      </c>
      <c r="C482" s="49" t="s">
        <v>54</v>
      </c>
      <c r="D482" s="49">
        <v>0</v>
      </c>
      <c r="E482" s="49">
        <v>0</v>
      </c>
      <c r="F482" s="49">
        <f>E482-D482</f>
        <v>0</v>
      </c>
      <c r="G482" s="50">
        <f>IF(D482=0,0,ABS(F482/D482))</f>
        <v>0</v>
      </c>
      <c r="H482" s="49">
        <v>0</v>
      </c>
      <c r="I482" s="49">
        <v>0</v>
      </c>
      <c r="J482" s="51" t="str">
        <f>IF(H482=0,"No plan at start",I482/H482)</f>
        <v>No plan at start</v>
      </c>
      <c r="K482" s="52">
        <f>H482-I482</f>
        <v>0</v>
      </c>
      <c r="L482" s="49">
        <v>0</v>
      </c>
      <c r="M482" s="49">
        <f>I482+L482</f>
        <v>0</v>
      </c>
      <c r="N482" s="49">
        <f>M482-H482</f>
        <v>0</v>
      </c>
      <c r="O482" s="50" t="str">
        <f>IF(H482=0,"No plan at start",M482/H482)</f>
        <v>No plan at start</v>
      </c>
    </row>
    <row r="483" spans="2:15" hidden="1" outlineLevel="2" x14ac:dyDescent="0.2">
      <c r="B483" s="49" t="s">
        <v>71</v>
      </c>
      <c r="C483" s="49" t="s">
        <v>55</v>
      </c>
      <c r="D483" s="49">
        <v>0</v>
      </c>
      <c r="E483" s="49">
        <v>0</v>
      </c>
      <c r="F483" s="49">
        <f>E483-D483</f>
        <v>0</v>
      </c>
      <c r="G483" s="50">
        <f>IF(D483=0,0,ABS(F483/D483))</f>
        <v>0</v>
      </c>
      <c r="H483" s="49">
        <v>0</v>
      </c>
      <c r="I483" s="49">
        <v>0</v>
      </c>
      <c r="J483" s="51" t="str">
        <f>IF(H483=0,"No plan at start",I483/H483)</f>
        <v>No plan at start</v>
      </c>
      <c r="K483" s="52">
        <f>H483-I483</f>
        <v>0</v>
      </c>
      <c r="L483" s="49">
        <v>0</v>
      </c>
      <c r="M483" s="49">
        <f>I483+L483</f>
        <v>0</v>
      </c>
      <c r="N483" s="49">
        <f>M483-H483</f>
        <v>0</v>
      </c>
      <c r="O483" s="50" t="str">
        <f>IF(H483=0,"No plan at start",M483/H483)</f>
        <v>No plan at start</v>
      </c>
    </row>
    <row r="484" spans="2:15" hidden="1" outlineLevel="2" x14ac:dyDescent="0.2">
      <c r="B484" s="49" t="s">
        <v>71</v>
      </c>
      <c r="C484" s="49" t="s">
        <v>56</v>
      </c>
      <c r="D484" s="49">
        <v>0</v>
      </c>
      <c r="E484" s="49">
        <v>0</v>
      </c>
      <c r="F484" s="49">
        <f>E484-D484</f>
        <v>0</v>
      </c>
      <c r="G484" s="50">
        <f>IF(D484=0,0,ABS(F484/D484))</f>
        <v>0</v>
      </c>
      <c r="H484" s="49">
        <v>0</v>
      </c>
      <c r="I484" s="49">
        <v>0</v>
      </c>
      <c r="J484" s="51" t="str">
        <f>IF(H484=0,"No plan at start",I484/H484)</f>
        <v>No plan at start</v>
      </c>
      <c r="K484" s="52">
        <f>H484-I484</f>
        <v>0</v>
      </c>
      <c r="L484" s="49">
        <v>0</v>
      </c>
      <c r="M484" s="49">
        <f>I484+L484</f>
        <v>0</v>
      </c>
      <c r="N484" s="49">
        <f>M484-H484</f>
        <v>0</v>
      </c>
      <c r="O484" s="50" t="str">
        <f>IF(H484=0,"No plan at start",M484/H484)</f>
        <v>No plan at start</v>
      </c>
    </row>
    <row r="485" spans="2:15" hidden="1" outlineLevel="2" x14ac:dyDescent="0.2">
      <c r="B485" s="49" t="s">
        <v>71</v>
      </c>
      <c r="C485" s="49" t="s">
        <v>57</v>
      </c>
      <c r="D485" s="49">
        <v>0</v>
      </c>
      <c r="E485" s="49">
        <v>0</v>
      </c>
      <c r="F485" s="49">
        <f>E485-D485</f>
        <v>0</v>
      </c>
      <c r="G485" s="50">
        <f>IF(D485=0,0,ABS(F485/D485))</f>
        <v>0</v>
      </c>
      <c r="H485" s="49">
        <v>0</v>
      </c>
      <c r="I485" s="49">
        <v>0</v>
      </c>
      <c r="J485" s="51" t="str">
        <f>IF(H485=0,"No plan at start",I485/H485)</f>
        <v>No plan at start</v>
      </c>
      <c r="K485" s="52">
        <f>H485-I485</f>
        <v>0</v>
      </c>
      <c r="L485" s="49">
        <v>0</v>
      </c>
      <c r="M485" s="49">
        <f>I485+L485</f>
        <v>0</v>
      </c>
      <c r="N485" s="49">
        <f>M485-H485</f>
        <v>0</v>
      </c>
      <c r="O485" s="50" t="str">
        <f>IF(H485=0,"No plan at start",M485/H485)</f>
        <v>No plan at start</v>
      </c>
    </row>
    <row r="486" spans="2:15" hidden="1" outlineLevel="2" x14ac:dyDescent="0.2">
      <c r="B486" s="49" t="s">
        <v>71</v>
      </c>
      <c r="C486" s="49" t="s">
        <v>58</v>
      </c>
      <c r="D486" s="49">
        <v>0</v>
      </c>
      <c r="E486" s="49">
        <v>0</v>
      </c>
      <c r="F486" s="49">
        <f>E486-D486</f>
        <v>0</v>
      </c>
      <c r="G486" s="50">
        <f>IF(D486=0,0,ABS(F486/D486))</f>
        <v>0</v>
      </c>
      <c r="H486" s="49">
        <v>0</v>
      </c>
      <c r="I486" s="49">
        <v>0</v>
      </c>
      <c r="J486" s="51" t="str">
        <f>IF(H486=0,"No plan at start",I486/H486)</f>
        <v>No plan at start</v>
      </c>
      <c r="K486" s="52">
        <f>H486-I486</f>
        <v>0</v>
      </c>
      <c r="L486" s="49">
        <v>0</v>
      </c>
      <c r="M486" s="49">
        <f>I486+L486</f>
        <v>0</v>
      </c>
      <c r="N486" s="49">
        <f>M486-H486</f>
        <v>0</v>
      </c>
      <c r="O486" s="50" t="str">
        <f>IF(H486=0,"No plan at start",M486/H486)</f>
        <v>No plan at start</v>
      </c>
    </row>
    <row r="487" spans="2:15" hidden="1" outlineLevel="2" x14ac:dyDescent="0.2">
      <c r="B487" s="49" t="s">
        <v>71</v>
      </c>
      <c r="C487" s="49" t="s">
        <v>59</v>
      </c>
      <c r="D487" s="49">
        <v>0</v>
      </c>
      <c r="E487" s="49">
        <v>0</v>
      </c>
      <c r="F487" s="49">
        <f>E487-D487</f>
        <v>0</v>
      </c>
      <c r="G487" s="50">
        <f>IF(D487=0,0,ABS(F487/D487))</f>
        <v>0</v>
      </c>
      <c r="H487" s="49">
        <v>0</v>
      </c>
      <c r="I487" s="49">
        <v>0</v>
      </c>
      <c r="J487" s="51" t="str">
        <f>IF(H487=0,"No plan at start",I487/H487)</f>
        <v>No plan at start</v>
      </c>
      <c r="K487" s="52">
        <f>H487-I487</f>
        <v>0</v>
      </c>
      <c r="L487" s="49">
        <v>0</v>
      </c>
      <c r="M487" s="49">
        <f>I487+L487</f>
        <v>0</v>
      </c>
      <c r="N487" s="49">
        <f>M487-H487</f>
        <v>0</v>
      </c>
      <c r="O487" s="50" t="str">
        <f>IF(H487=0,"No plan at start",M487/H487)</f>
        <v>No plan at start</v>
      </c>
    </row>
    <row r="488" spans="2:15" outlineLevel="1" collapsed="1" x14ac:dyDescent="0.2">
      <c r="B488" s="56" t="s">
        <v>110</v>
      </c>
      <c r="C488" s="49"/>
      <c r="D488" s="49">
        <f>SUBTOTAL(9,D480:D487)</f>
        <v>0</v>
      </c>
      <c r="E488" s="49">
        <f>SUBTOTAL(9,E480:E487)</f>
        <v>0</v>
      </c>
      <c r="F488" s="49">
        <f>SUBTOTAL(9,F480:F487)</f>
        <v>0</v>
      </c>
      <c r="G488" s="50">
        <f>IF(D488=0,0,ABS(F488/D488))</f>
        <v>0</v>
      </c>
      <c r="H488" s="49">
        <f>SUBTOTAL(9,H480:H487)</f>
        <v>0</v>
      </c>
      <c r="I488" s="49">
        <f>SUBTOTAL(9,I480:I487)</f>
        <v>0</v>
      </c>
      <c r="J488" s="51" t="str">
        <f>IF(H488=0,"No plan at start",I488/H488)</f>
        <v>No plan at start</v>
      </c>
      <c r="K488" s="52">
        <f>SUBTOTAL(9,K480:K487)</f>
        <v>0</v>
      </c>
      <c r="L488" s="49">
        <f>SUBTOTAL(9,L480:L487)</f>
        <v>0</v>
      </c>
      <c r="M488" s="49">
        <f>SUBTOTAL(9,M480:M487)</f>
        <v>0</v>
      </c>
      <c r="N488" s="49">
        <f>SUBTOTAL(9,N480:N487)</f>
        <v>0</v>
      </c>
      <c r="O488" s="50" t="str">
        <f>IF(H488=0,"No plan at start",M488/H488)</f>
        <v>No plan at start</v>
      </c>
    </row>
    <row r="489" spans="2:15" hidden="1" outlineLevel="2" x14ac:dyDescent="0.2">
      <c r="B489" s="49" t="s">
        <v>72</v>
      </c>
      <c r="C489" s="49" t="s">
        <v>52</v>
      </c>
      <c r="D489" s="49">
        <v>0</v>
      </c>
      <c r="E489" s="49">
        <v>0</v>
      </c>
      <c r="F489" s="49">
        <f>E489-D489</f>
        <v>0</v>
      </c>
      <c r="G489" s="50">
        <f>IF(D489=0,0,ABS(F489/D489))</f>
        <v>0</v>
      </c>
      <c r="H489" s="49">
        <v>44659.199999999997</v>
      </c>
      <c r="I489" s="49">
        <v>33316.400000000067</v>
      </c>
      <c r="J489" s="51">
        <f>IF(H489=0,"No plan at start",I489/H489)</f>
        <v>0.74601425910003016</v>
      </c>
      <c r="K489" s="52">
        <f>H489-I489</f>
        <v>11342.79999999993</v>
      </c>
      <c r="L489" s="49">
        <v>0</v>
      </c>
      <c r="M489" s="49">
        <f>I489+L489</f>
        <v>33316.400000000067</v>
      </c>
      <c r="N489" s="49">
        <f>M489-H489</f>
        <v>-11342.79999999993</v>
      </c>
      <c r="O489" s="50">
        <f>IF(H489=0,"No plan at start",M489/H489)</f>
        <v>0.74601425910003016</v>
      </c>
    </row>
    <row r="490" spans="2:15" hidden="1" outlineLevel="2" x14ac:dyDescent="0.2">
      <c r="B490" s="49" t="s">
        <v>72</v>
      </c>
      <c r="C490" s="49" t="s">
        <v>53</v>
      </c>
      <c r="D490" s="49">
        <v>0</v>
      </c>
      <c r="E490" s="49">
        <v>0</v>
      </c>
      <c r="F490" s="49">
        <f>E490-D490</f>
        <v>0</v>
      </c>
      <c r="G490" s="50">
        <f>IF(D490=0,0,ABS(F490/D490))</f>
        <v>0</v>
      </c>
      <c r="H490" s="49">
        <v>0</v>
      </c>
      <c r="I490" s="49">
        <v>0</v>
      </c>
      <c r="J490" s="51" t="str">
        <f>IF(H490=0,"No plan at start",I490/H490)</f>
        <v>No plan at start</v>
      </c>
      <c r="K490" s="52">
        <f>H490-I490</f>
        <v>0</v>
      </c>
      <c r="L490" s="49">
        <v>0</v>
      </c>
      <c r="M490" s="49">
        <f>I490+L490</f>
        <v>0</v>
      </c>
      <c r="N490" s="49">
        <f>M490-H490</f>
        <v>0</v>
      </c>
      <c r="O490" s="50" t="str">
        <f>IF(H490=0,"No plan at start",M490/H490)</f>
        <v>No plan at start</v>
      </c>
    </row>
    <row r="491" spans="2:15" hidden="1" outlineLevel="2" x14ac:dyDescent="0.2">
      <c r="B491" s="49" t="s">
        <v>72</v>
      </c>
      <c r="C491" s="49" t="s">
        <v>54</v>
      </c>
      <c r="D491" s="49">
        <v>0</v>
      </c>
      <c r="E491" s="49">
        <v>0</v>
      </c>
      <c r="F491" s="49">
        <f>E491-D491</f>
        <v>0</v>
      </c>
      <c r="G491" s="50">
        <f>IF(D491=0,0,ABS(F491/D491))</f>
        <v>0</v>
      </c>
      <c r="H491" s="49">
        <v>0</v>
      </c>
      <c r="I491" s="49">
        <v>0</v>
      </c>
      <c r="J491" s="51" t="str">
        <f>IF(H491=0,"No plan at start",I491/H491)</f>
        <v>No plan at start</v>
      </c>
      <c r="K491" s="52">
        <f>H491-I491</f>
        <v>0</v>
      </c>
      <c r="L491" s="49">
        <v>0</v>
      </c>
      <c r="M491" s="49">
        <f>I491+L491</f>
        <v>0</v>
      </c>
      <c r="N491" s="49">
        <f>M491-H491</f>
        <v>0</v>
      </c>
      <c r="O491" s="50" t="str">
        <f>IF(H491=0,"No plan at start",M491/H491)</f>
        <v>No plan at start</v>
      </c>
    </row>
    <row r="492" spans="2:15" hidden="1" outlineLevel="2" x14ac:dyDescent="0.2">
      <c r="B492" s="49" t="s">
        <v>72</v>
      </c>
      <c r="C492" s="49" t="s">
        <v>55</v>
      </c>
      <c r="D492" s="49">
        <v>0</v>
      </c>
      <c r="E492" s="49">
        <v>0</v>
      </c>
      <c r="F492" s="49">
        <f>E492-D492</f>
        <v>0</v>
      </c>
      <c r="G492" s="50">
        <f>IF(D492=0,0,ABS(F492/D492))</f>
        <v>0</v>
      </c>
      <c r="H492" s="49">
        <v>0</v>
      </c>
      <c r="I492" s="49">
        <v>0</v>
      </c>
      <c r="J492" s="51" t="str">
        <f>IF(H492=0,"No plan at start",I492/H492)</f>
        <v>No plan at start</v>
      </c>
      <c r="K492" s="52">
        <f>H492-I492</f>
        <v>0</v>
      </c>
      <c r="L492" s="49">
        <v>0</v>
      </c>
      <c r="M492" s="49">
        <f>I492+L492</f>
        <v>0</v>
      </c>
      <c r="N492" s="49">
        <f>M492-H492</f>
        <v>0</v>
      </c>
      <c r="O492" s="50" t="str">
        <f>IF(H492=0,"No plan at start",M492/H492)</f>
        <v>No plan at start</v>
      </c>
    </row>
    <row r="493" spans="2:15" hidden="1" outlineLevel="2" x14ac:dyDescent="0.2">
      <c r="B493" s="49" t="s">
        <v>72</v>
      </c>
      <c r="C493" s="49" t="s">
        <v>56</v>
      </c>
      <c r="D493" s="49">
        <v>0</v>
      </c>
      <c r="E493" s="49">
        <v>0</v>
      </c>
      <c r="F493" s="49">
        <f>E493-D493</f>
        <v>0</v>
      </c>
      <c r="G493" s="50">
        <f>IF(D493=0,0,ABS(F493/D493))</f>
        <v>0</v>
      </c>
      <c r="H493" s="49">
        <v>0</v>
      </c>
      <c r="I493" s="49">
        <v>12992.979999999994</v>
      </c>
      <c r="J493" s="51" t="str">
        <f>IF(H493=0,"No plan at start",I493/H493)</f>
        <v>No plan at start</v>
      </c>
      <c r="K493" s="52">
        <f>H493-I493</f>
        <v>-12992.979999999994</v>
      </c>
      <c r="L493" s="49">
        <v>0</v>
      </c>
      <c r="M493" s="49">
        <f>I493+L493</f>
        <v>12992.979999999994</v>
      </c>
      <c r="N493" s="49">
        <f>M493-H493</f>
        <v>12992.979999999994</v>
      </c>
      <c r="O493" s="50" t="str">
        <f>IF(H493=0,"No plan at start",M493/H493)</f>
        <v>No plan at start</v>
      </c>
    </row>
    <row r="494" spans="2:15" hidden="1" outlineLevel="2" x14ac:dyDescent="0.2">
      <c r="B494" s="49" t="s">
        <v>72</v>
      </c>
      <c r="C494" s="49" t="s">
        <v>57</v>
      </c>
      <c r="D494" s="49">
        <v>0</v>
      </c>
      <c r="E494" s="49">
        <v>0</v>
      </c>
      <c r="F494" s="49">
        <f>E494-D494</f>
        <v>0</v>
      </c>
      <c r="G494" s="50">
        <f>IF(D494=0,0,ABS(F494/D494))</f>
        <v>0</v>
      </c>
      <c r="H494" s="49">
        <v>0</v>
      </c>
      <c r="I494" s="49">
        <v>53932.320000000014</v>
      </c>
      <c r="J494" s="51" t="str">
        <f>IF(H494=0,"No plan at start",I494/H494)</f>
        <v>No plan at start</v>
      </c>
      <c r="K494" s="52">
        <f>H494-I494</f>
        <v>-53932.320000000014</v>
      </c>
      <c r="L494" s="49">
        <v>0</v>
      </c>
      <c r="M494" s="49">
        <f>I494+L494</f>
        <v>53932.320000000014</v>
      </c>
      <c r="N494" s="49">
        <f>M494-H494</f>
        <v>53932.320000000014</v>
      </c>
      <c r="O494" s="50" t="str">
        <f>IF(H494=0,"No plan at start",M494/H494)</f>
        <v>No plan at start</v>
      </c>
    </row>
    <row r="495" spans="2:15" hidden="1" outlineLevel="2" x14ac:dyDescent="0.2">
      <c r="B495" s="49" t="s">
        <v>72</v>
      </c>
      <c r="C495" s="49" t="s">
        <v>58</v>
      </c>
      <c r="D495" s="49">
        <v>0</v>
      </c>
      <c r="E495" s="49">
        <v>0</v>
      </c>
      <c r="F495" s="49">
        <f>E495-D495</f>
        <v>0</v>
      </c>
      <c r="G495" s="50">
        <f>IF(D495=0,0,ABS(F495/D495))</f>
        <v>0</v>
      </c>
      <c r="H495" s="49">
        <v>0</v>
      </c>
      <c r="I495" s="49">
        <v>0</v>
      </c>
      <c r="J495" s="51" t="str">
        <f>IF(H495=0,"No plan at start",I495/H495)</f>
        <v>No plan at start</v>
      </c>
      <c r="K495" s="52">
        <f>H495-I495</f>
        <v>0</v>
      </c>
      <c r="L495" s="49">
        <v>0</v>
      </c>
      <c r="M495" s="49">
        <f>I495+L495</f>
        <v>0</v>
      </c>
      <c r="N495" s="49">
        <f>M495-H495</f>
        <v>0</v>
      </c>
      <c r="O495" s="50" t="str">
        <f>IF(H495=0,"No plan at start",M495/H495)</f>
        <v>No plan at start</v>
      </c>
    </row>
    <row r="496" spans="2:15" hidden="1" outlineLevel="2" x14ac:dyDescent="0.2">
      <c r="B496" s="49" t="s">
        <v>72</v>
      </c>
      <c r="C496" s="49" t="s">
        <v>59</v>
      </c>
      <c r="D496" s="49">
        <v>0</v>
      </c>
      <c r="E496" s="49">
        <v>0</v>
      </c>
      <c r="F496" s="49">
        <f>E496-D496</f>
        <v>0</v>
      </c>
      <c r="G496" s="50">
        <f>IF(D496=0,0,ABS(F496/D496))</f>
        <v>0</v>
      </c>
      <c r="H496" s="49">
        <v>0</v>
      </c>
      <c r="I496" s="49">
        <v>0</v>
      </c>
      <c r="J496" s="51" t="str">
        <f>IF(H496=0,"No plan at start",I496/H496)</f>
        <v>No plan at start</v>
      </c>
      <c r="K496" s="52">
        <f>H496-I496</f>
        <v>0</v>
      </c>
      <c r="L496" s="49">
        <v>0</v>
      </c>
      <c r="M496" s="49">
        <f>I496+L496</f>
        <v>0</v>
      </c>
      <c r="N496" s="49">
        <f>M496-H496</f>
        <v>0</v>
      </c>
      <c r="O496" s="50" t="str">
        <f>IF(H496=0,"No plan at start",M496/H496)</f>
        <v>No plan at start</v>
      </c>
    </row>
    <row r="497" spans="2:15" outlineLevel="1" collapsed="1" x14ac:dyDescent="0.2">
      <c r="B497" s="56" t="s">
        <v>111</v>
      </c>
      <c r="C497" s="49"/>
      <c r="D497" s="49">
        <f>SUBTOTAL(9,D489:D496)</f>
        <v>0</v>
      </c>
      <c r="E497" s="49">
        <f>SUBTOTAL(9,E489:E496)</f>
        <v>0</v>
      </c>
      <c r="F497" s="49">
        <f>SUBTOTAL(9,F489:F496)</f>
        <v>0</v>
      </c>
      <c r="G497" s="50">
        <f>IF(D497=0,0,ABS(F497/D497))</f>
        <v>0</v>
      </c>
      <c r="H497" s="49">
        <f>SUBTOTAL(9,H489:H496)</f>
        <v>44659.199999999997</v>
      </c>
      <c r="I497" s="49">
        <f>SUBTOTAL(9,I489:I496)</f>
        <v>100241.70000000007</v>
      </c>
      <c r="J497" s="51">
        <f>IF(H497=0,"No plan at start",I497/H497)</f>
        <v>2.24459237962167</v>
      </c>
      <c r="K497" s="52">
        <f>SUBTOTAL(9,K489:K496)</f>
        <v>-55582.50000000008</v>
      </c>
      <c r="L497" s="49">
        <f>SUBTOTAL(9,L489:L496)</f>
        <v>0</v>
      </c>
      <c r="M497" s="49">
        <f>SUBTOTAL(9,M489:M496)</f>
        <v>100241.70000000007</v>
      </c>
      <c r="N497" s="49">
        <f>SUBTOTAL(9,N489:N496)</f>
        <v>55582.50000000008</v>
      </c>
      <c r="O497" s="50">
        <f>IF(H497=0,"No plan at start",M497/H497)</f>
        <v>2.24459237962167</v>
      </c>
    </row>
    <row r="498" spans="2:15" hidden="1" outlineLevel="2" x14ac:dyDescent="0.2">
      <c r="B498" s="49" t="s">
        <v>73</v>
      </c>
      <c r="C498" s="49" t="s">
        <v>52</v>
      </c>
      <c r="D498" s="49">
        <v>0</v>
      </c>
      <c r="E498" s="49">
        <v>0</v>
      </c>
      <c r="F498" s="49">
        <f>E498-D498</f>
        <v>0</v>
      </c>
      <c r="G498" s="50">
        <f>IF(D498=0,0,ABS(F498/D498))</f>
        <v>0</v>
      </c>
      <c r="H498" s="49">
        <v>0</v>
      </c>
      <c r="I498" s="49">
        <v>0</v>
      </c>
      <c r="J498" s="51" t="str">
        <f>IF(H498=0,"No plan at start",I498/H498)</f>
        <v>No plan at start</v>
      </c>
      <c r="K498" s="52">
        <f>H498-I498</f>
        <v>0</v>
      </c>
      <c r="L498" s="49">
        <v>0</v>
      </c>
      <c r="M498" s="49">
        <f>I498+L498</f>
        <v>0</v>
      </c>
      <c r="N498" s="49">
        <f>M498-H498</f>
        <v>0</v>
      </c>
      <c r="O498" s="50" t="str">
        <f>IF(H498=0,"No plan at start",M498/H498)</f>
        <v>No plan at start</v>
      </c>
    </row>
    <row r="499" spans="2:15" hidden="1" outlineLevel="2" x14ac:dyDescent="0.2">
      <c r="B499" s="49" t="s">
        <v>73</v>
      </c>
      <c r="C499" s="49" t="s">
        <v>53</v>
      </c>
      <c r="D499" s="49">
        <v>0</v>
      </c>
      <c r="E499" s="49">
        <v>0</v>
      </c>
      <c r="F499" s="49">
        <f>E499-D499</f>
        <v>0</v>
      </c>
      <c r="G499" s="50">
        <f>IF(D499=0,0,ABS(F499/D499))</f>
        <v>0</v>
      </c>
      <c r="H499" s="49">
        <v>0</v>
      </c>
      <c r="I499" s="49">
        <v>0</v>
      </c>
      <c r="J499" s="51" t="str">
        <f>IF(H499=0,"No plan at start",I499/H499)</f>
        <v>No plan at start</v>
      </c>
      <c r="K499" s="52">
        <f>H499-I499</f>
        <v>0</v>
      </c>
      <c r="L499" s="49">
        <v>0</v>
      </c>
      <c r="M499" s="49">
        <f>I499+L499</f>
        <v>0</v>
      </c>
      <c r="N499" s="49">
        <f>M499-H499</f>
        <v>0</v>
      </c>
      <c r="O499" s="50" t="str">
        <f>IF(H499=0,"No plan at start",M499/H499)</f>
        <v>No plan at start</v>
      </c>
    </row>
    <row r="500" spans="2:15" hidden="1" outlineLevel="2" x14ac:dyDescent="0.2">
      <c r="B500" s="49" t="s">
        <v>73</v>
      </c>
      <c r="C500" s="49" t="s">
        <v>54</v>
      </c>
      <c r="D500" s="49">
        <v>0</v>
      </c>
      <c r="E500" s="49">
        <v>0</v>
      </c>
      <c r="F500" s="49">
        <f>E500-D500</f>
        <v>0</v>
      </c>
      <c r="G500" s="50">
        <f>IF(D500=0,0,ABS(F500/D500))</f>
        <v>0</v>
      </c>
      <c r="H500" s="49">
        <v>0</v>
      </c>
      <c r="I500" s="49">
        <v>0</v>
      </c>
      <c r="J500" s="51" t="str">
        <f>IF(H500=0,"No plan at start",I500/H500)</f>
        <v>No plan at start</v>
      </c>
      <c r="K500" s="52">
        <f>H500-I500</f>
        <v>0</v>
      </c>
      <c r="L500" s="49">
        <v>0</v>
      </c>
      <c r="M500" s="49">
        <f>I500+L500</f>
        <v>0</v>
      </c>
      <c r="N500" s="49">
        <f>M500-H500</f>
        <v>0</v>
      </c>
      <c r="O500" s="50" t="str">
        <f>IF(H500=0,"No plan at start",M500/H500)</f>
        <v>No plan at start</v>
      </c>
    </row>
    <row r="501" spans="2:15" hidden="1" outlineLevel="2" x14ac:dyDescent="0.2">
      <c r="B501" s="49" t="s">
        <v>73</v>
      </c>
      <c r="C501" s="49" t="s">
        <v>55</v>
      </c>
      <c r="D501" s="49">
        <v>0</v>
      </c>
      <c r="E501" s="49">
        <v>0</v>
      </c>
      <c r="F501" s="49">
        <f>E501-D501</f>
        <v>0</v>
      </c>
      <c r="G501" s="50">
        <f>IF(D501=0,0,ABS(F501/D501))</f>
        <v>0</v>
      </c>
      <c r="H501" s="49">
        <v>0</v>
      </c>
      <c r="I501" s="49">
        <v>0</v>
      </c>
      <c r="J501" s="51" t="str">
        <f>IF(H501=0,"No plan at start",I501/H501)</f>
        <v>No plan at start</v>
      </c>
      <c r="K501" s="52">
        <f>H501-I501</f>
        <v>0</v>
      </c>
      <c r="L501" s="49">
        <v>0</v>
      </c>
      <c r="M501" s="49">
        <f>I501+L501</f>
        <v>0</v>
      </c>
      <c r="N501" s="49">
        <f>M501-H501</f>
        <v>0</v>
      </c>
      <c r="O501" s="50" t="str">
        <f>IF(H501=0,"No plan at start",M501/H501)</f>
        <v>No plan at start</v>
      </c>
    </row>
    <row r="502" spans="2:15" hidden="1" outlineLevel="2" x14ac:dyDescent="0.2">
      <c r="B502" s="49" t="s">
        <v>73</v>
      </c>
      <c r="C502" s="49" t="s">
        <v>56</v>
      </c>
      <c r="D502" s="49">
        <v>0</v>
      </c>
      <c r="E502" s="49">
        <v>0</v>
      </c>
      <c r="F502" s="49">
        <f>E502-D502</f>
        <v>0</v>
      </c>
      <c r="G502" s="50">
        <f>IF(D502=0,0,ABS(F502/D502))</f>
        <v>0</v>
      </c>
      <c r="H502" s="49">
        <v>0</v>
      </c>
      <c r="I502" s="49">
        <v>0</v>
      </c>
      <c r="J502" s="51" t="str">
        <f>IF(H502=0,"No plan at start",I502/H502)</f>
        <v>No plan at start</v>
      </c>
      <c r="K502" s="52">
        <f>H502-I502</f>
        <v>0</v>
      </c>
      <c r="L502" s="49">
        <v>0</v>
      </c>
      <c r="M502" s="49">
        <f>I502+L502</f>
        <v>0</v>
      </c>
      <c r="N502" s="49">
        <f>M502-H502</f>
        <v>0</v>
      </c>
      <c r="O502" s="50" t="str">
        <f>IF(H502=0,"No plan at start",M502/H502)</f>
        <v>No plan at start</v>
      </c>
    </row>
    <row r="503" spans="2:15" hidden="1" outlineLevel="2" x14ac:dyDescent="0.2">
      <c r="B503" s="49" t="s">
        <v>73</v>
      </c>
      <c r="C503" s="49" t="s">
        <v>57</v>
      </c>
      <c r="D503" s="49">
        <v>0</v>
      </c>
      <c r="E503" s="49">
        <v>0</v>
      </c>
      <c r="F503" s="49">
        <f>E503-D503</f>
        <v>0</v>
      </c>
      <c r="G503" s="50">
        <f>IF(D503=0,0,ABS(F503/D503))</f>
        <v>0</v>
      </c>
      <c r="H503" s="49">
        <v>0</v>
      </c>
      <c r="I503" s="49">
        <v>0</v>
      </c>
      <c r="J503" s="51" t="str">
        <f>IF(H503=0,"No plan at start",I503/H503)</f>
        <v>No plan at start</v>
      </c>
      <c r="K503" s="52">
        <f>H503-I503</f>
        <v>0</v>
      </c>
      <c r="L503" s="49">
        <v>0</v>
      </c>
      <c r="M503" s="49">
        <f>I503+L503</f>
        <v>0</v>
      </c>
      <c r="N503" s="49">
        <f>M503-H503</f>
        <v>0</v>
      </c>
      <c r="O503" s="50" t="str">
        <f>IF(H503=0,"No plan at start",M503/H503)</f>
        <v>No plan at start</v>
      </c>
    </row>
    <row r="504" spans="2:15" hidden="1" outlineLevel="2" x14ac:dyDescent="0.2">
      <c r="B504" s="49" t="s">
        <v>73</v>
      </c>
      <c r="C504" s="49" t="s">
        <v>58</v>
      </c>
      <c r="D504" s="49">
        <v>0</v>
      </c>
      <c r="E504" s="49">
        <v>0</v>
      </c>
      <c r="F504" s="49">
        <f>E504-D504</f>
        <v>0</v>
      </c>
      <c r="G504" s="50">
        <f>IF(D504=0,0,ABS(F504/D504))</f>
        <v>0</v>
      </c>
      <c r="H504" s="49">
        <v>0</v>
      </c>
      <c r="I504" s="49">
        <v>0</v>
      </c>
      <c r="J504" s="51" t="str">
        <f>IF(H504=0,"No plan at start",I504/H504)</f>
        <v>No plan at start</v>
      </c>
      <c r="K504" s="52">
        <f>H504-I504</f>
        <v>0</v>
      </c>
      <c r="L504" s="49">
        <v>0</v>
      </c>
      <c r="M504" s="49">
        <f>I504+L504</f>
        <v>0</v>
      </c>
      <c r="N504" s="49">
        <f>M504-H504</f>
        <v>0</v>
      </c>
      <c r="O504" s="50" t="str">
        <f>IF(H504=0,"No plan at start",M504/H504)</f>
        <v>No plan at start</v>
      </c>
    </row>
    <row r="505" spans="2:15" hidden="1" outlineLevel="2" x14ac:dyDescent="0.2">
      <c r="B505" s="49" t="s">
        <v>73</v>
      </c>
      <c r="C505" s="49" t="s">
        <v>59</v>
      </c>
      <c r="D505" s="49">
        <v>0</v>
      </c>
      <c r="E505" s="49">
        <v>0</v>
      </c>
      <c r="F505" s="49">
        <f>E505-D505</f>
        <v>0</v>
      </c>
      <c r="G505" s="50">
        <f>IF(D505=0,0,ABS(F505/D505))</f>
        <v>0</v>
      </c>
      <c r="H505" s="49">
        <v>0</v>
      </c>
      <c r="I505" s="49">
        <v>0</v>
      </c>
      <c r="J505" s="51" t="str">
        <f>IF(H505=0,"No plan at start",I505/H505)</f>
        <v>No plan at start</v>
      </c>
      <c r="K505" s="52">
        <f>H505-I505</f>
        <v>0</v>
      </c>
      <c r="L505" s="49">
        <v>0</v>
      </c>
      <c r="M505" s="49">
        <f>I505+L505</f>
        <v>0</v>
      </c>
      <c r="N505" s="49">
        <f>M505-H505</f>
        <v>0</v>
      </c>
      <c r="O505" s="50" t="str">
        <f>IF(H505=0,"No plan at start",M505/H505)</f>
        <v>No plan at start</v>
      </c>
    </row>
    <row r="506" spans="2:15" outlineLevel="1" collapsed="1" x14ac:dyDescent="0.2">
      <c r="B506" s="56" t="s">
        <v>112</v>
      </c>
      <c r="C506" s="49"/>
      <c r="D506" s="49">
        <f>SUBTOTAL(9,D498:D505)</f>
        <v>0</v>
      </c>
      <c r="E506" s="49">
        <f>SUBTOTAL(9,E498:E505)</f>
        <v>0</v>
      </c>
      <c r="F506" s="49">
        <f>SUBTOTAL(9,F498:F505)</f>
        <v>0</v>
      </c>
      <c r="G506" s="50">
        <f>IF(D506=0,0,ABS(F506/D506))</f>
        <v>0</v>
      </c>
      <c r="H506" s="49">
        <f>SUBTOTAL(9,H498:H505)</f>
        <v>0</v>
      </c>
      <c r="I506" s="49">
        <f>SUBTOTAL(9,I498:I505)</f>
        <v>0</v>
      </c>
      <c r="J506" s="51" t="str">
        <f>IF(H506=0,"No plan at start",I506/H506)</f>
        <v>No plan at start</v>
      </c>
      <c r="K506" s="52">
        <f>SUBTOTAL(9,K498:K505)</f>
        <v>0</v>
      </c>
      <c r="L506" s="49">
        <f>SUBTOTAL(9,L498:L505)</f>
        <v>0</v>
      </c>
      <c r="M506" s="49">
        <f>SUBTOTAL(9,M498:M505)</f>
        <v>0</v>
      </c>
      <c r="N506" s="49">
        <f>SUBTOTAL(9,N498:N505)</f>
        <v>0</v>
      </c>
      <c r="O506" s="50" t="str">
        <f>IF(H506=0,"No plan at start",M506/H506)</f>
        <v>No plan at start</v>
      </c>
    </row>
    <row r="507" spans="2:15" hidden="1" outlineLevel="2" x14ac:dyDescent="0.2">
      <c r="B507" s="49" t="s">
        <v>74</v>
      </c>
      <c r="C507" s="49" t="s">
        <v>52</v>
      </c>
      <c r="D507" s="49">
        <v>0</v>
      </c>
      <c r="E507" s="49">
        <v>0</v>
      </c>
      <c r="F507" s="49">
        <f>E507-D507</f>
        <v>0</v>
      </c>
      <c r="G507" s="50">
        <f>IF(D507=0,0,ABS(F507/D507))</f>
        <v>0</v>
      </c>
      <c r="H507" s="49">
        <v>0</v>
      </c>
      <c r="I507" s="49">
        <v>0</v>
      </c>
      <c r="J507" s="51" t="str">
        <f>IF(H507=0,"No plan at start",I507/H507)</f>
        <v>No plan at start</v>
      </c>
      <c r="K507" s="52">
        <f>H507-I507</f>
        <v>0</v>
      </c>
      <c r="L507" s="49">
        <v>0</v>
      </c>
      <c r="M507" s="49">
        <f>I507+L507</f>
        <v>0</v>
      </c>
      <c r="N507" s="49">
        <f>M507-H507</f>
        <v>0</v>
      </c>
      <c r="O507" s="50" t="str">
        <f>IF(H507=0,"No plan at start",M507/H507)</f>
        <v>No plan at start</v>
      </c>
    </row>
    <row r="508" spans="2:15" hidden="1" outlineLevel="2" x14ac:dyDescent="0.2">
      <c r="B508" s="49" t="s">
        <v>74</v>
      </c>
      <c r="C508" s="49" t="s">
        <v>53</v>
      </c>
      <c r="D508" s="49">
        <v>0</v>
      </c>
      <c r="E508" s="49">
        <v>0</v>
      </c>
      <c r="F508" s="49">
        <f>E508-D508</f>
        <v>0</v>
      </c>
      <c r="G508" s="50">
        <f>IF(D508=0,0,ABS(F508/D508))</f>
        <v>0</v>
      </c>
      <c r="H508" s="49">
        <v>0</v>
      </c>
      <c r="I508" s="49">
        <v>0</v>
      </c>
      <c r="J508" s="51" t="str">
        <f>IF(H508=0,"No plan at start",I508/H508)</f>
        <v>No plan at start</v>
      </c>
      <c r="K508" s="52">
        <f>H508-I508</f>
        <v>0</v>
      </c>
      <c r="L508" s="49">
        <v>0</v>
      </c>
      <c r="M508" s="49">
        <f>I508+L508</f>
        <v>0</v>
      </c>
      <c r="N508" s="49">
        <f>M508-H508</f>
        <v>0</v>
      </c>
      <c r="O508" s="50" t="str">
        <f>IF(H508=0,"No plan at start",M508/H508)</f>
        <v>No plan at start</v>
      </c>
    </row>
    <row r="509" spans="2:15" hidden="1" outlineLevel="2" x14ac:dyDescent="0.2">
      <c r="B509" s="49" t="s">
        <v>74</v>
      </c>
      <c r="C509" s="49" t="s">
        <v>54</v>
      </c>
      <c r="D509" s="49">
        <v>0</v>
      </c>
      <c r="E509" s="49">
        <v>0</v>
      </c>
      <c r="F509" s="49">
        <f>E509-D509</f>
        <v>0</v>
      </c>
      <c r="G509" s="50">
        <f>IF(D509=0,0,ABS(F509/D509))</f>
        <v>0</v>
      </c>
      <c r="H509" s="49">
        <v>0</v>
      </c>
      <c r="I509" s="49">
        <v>0</v>
      </c>
      <c r="J509" s="51" t="str">
        <f>IF(H509=0,"No plan at start",I509/H509)</f>
        <v>No plan at start</v>
      </c>
      <c r="K509" s="52">
        <f>H509-I509</f>
        <v>0</v>
      </c>
      <c r="L509" s="49">
        <v>0</v>
      </c>
      <c r="M509" s="49">
        <f>I509+L509</f>
        <v>0</v>
      </c>
      <c r="N509" s="49">
        <f>M509-H509</f>
        <v>0</v>
      </c>
      <c r="O509" s="50" t="str">
        <f>IF(H509=0,"No plan at start",M509/H509)</f>
        <v>No plan at start</v>
      </c>
    </row>
    <row r="510" spans="2:15" hidden="1" outlineLevel="2" x14ac:dyDescent="0.2">
      <c r="B510" s="49" t="s">
        <v>74</v>
      </c>
      <c r="C510" s="49" t="s">
        <v>55</v>
      </c>
      <c r="D510" s="49">
        <v>0</v>
      </c>
      <c r="E510" s="49">
        <v>0</v>
      </c>
      <c r="F510" s="49">
        <f>E510-D510</f>
        <v>0</v>
      </c>
      <c r="G510" s="50">
        <f>IF(D510=0,0,ABS(F510/D510))</f>
        <v>0</v>
      </c>
      <c r="H510" s="49">
        <v>0</v>
      </c>
      <c r="I510" s="49">
        <v>0</v>
      </c>
      <c r="J510" s="51" t="str">
        <f>IF(H510=0,"No plan at start",I510/H510)</f>
        <v>No plan at start</v>
      </c>
      <c r="K510" s="52">
        <f>H510-I510</f>
        <v>0</v>
      </c>
      <c r="L510" s="49">
        <v>0</v>
      </c>
      <c r="M510" s="49">
        <f>I510+L510</f>
        <v>0</v>
      </c>
      <c r="N510" s="49">
        <f>M510-H510</f>
        <v>0</v>
      </c>
      <c r="O510" s="50" t="str">
        <f>IF(H510=0,"No plan at start",M510/H510)</f>
        <v>No plan at start</v>
      </c>
    </row>
    <row r="511" spans="2:15" hidden="1" outlineLevel="2" x14ac:dyDescent="0.2">
      <c r="B511" s="49" t="s">
        <v>74</v>
      </c>
      <c r="C511" s="49" t="s">
        <v>56</v>
      </c>
      <c r="D511" s="49">
        <v>0</v>
      </c>
      <c r="E511" s="49">
        <v>0</v>
      </c>
      <c r="F511" s="49">
        <f>E511-D511</f>
        <v>0</v>
      </c>
      <c r="G511" s="50">
        <f>IF(D511=0,0,ABS(F511/D511))</f>
        <v>0</v>
      </c>
      <c r="H511" s="49">
        <v>0</v>
      </c>
      <c r="I511" s="49">
        <v>0</v>
      </c>
      <c r="J511" s="51" t="str">
        <f>IF(H511=0,"No plan at start",I511/H511)</f>
        <v>No plan at start</v>
      </c>
      <c r="K511" s="52">
        <f>H511-I511</f>
        <v>0</v>
      </c>
      <c r="L511" s="49">
        <v>0</v>
      </c>
      <c r="M511" s="49">
        <f>I511+L511</f>
        <v>0</v>
      </c>
      <c r="N511" s="49">
        <f>M511-H511</f>
        <v>0</v>
      </c>
      <c r="O511" s="50" t="str">
        <f>IF(H511=0,"No plan at start",M511/H511)</f>
        <v>No plan at start</v>
      </c>
    </row>
    <row r="512" spans="2:15" hidden="1" outlineLevel="2" x14ac:dyDescent="0.2">
      <c r="B512" s="49" t="s">
        <v>74</v>
      </c>
      <c r="C512" s="49" t="s">
        <v>57</v>
      </c>
      <c r="D512" s="49">
        <v>0</v>
      </c>
      <c r="E512" s="49">
        <v>0</v>
      </c>
      <c r="F512" s="49">
        <f>E512-D512</f>
        <v>0</v>
      </c>
      <c r="G512" s="50">
        <f>IF(D512=0,0,ABS(F512/D512))</f>
        <v>0</v>
      </c>
      <c r="H512" s="49">
        <v>0</v>
      </c>
      <c r="I512" s="49">
        <v>0</v>
      </c>
      <c r="J512" s="51" t="str">
        <f>IF(H512=0,"No plan at start",I512/H512)</f>
        <v>No plan at start</v>
      </c>
      <c r="K512" s="52">
        <f>H512-I512</f>
        <v>0</v>
      </c>
      <c r="L512" s="49">
        <v>0</v>
      </c>
      <c r="M512" s="49">
        <f>I512+L512</f>
        <v>0</v>
      </c>
      <c r="N512" s="49">
        <f>M512-H512</f>
        <v>0</v>
      </c>
      <c r="O512" s="50" t="str">
        <f>IF(H512=0,"No plan at start",M512/H512)</f>
        <v>No plan at start</v>
      </c>
    </row>
    <row r="513" spans="2:15" hidden="1" outlineLevel="2" x14ac:dyDescent="0.2">
      <c r="B513" s="49" t="s">
        <v>74</v>
      </c>
      <c r="C513" s="49" t="s">
        <v>58</v>
      </c>
      <c r="D513" s="49">
        <v>0</v>
      </c>
      <c r="E513" s="49">
        <v>0</v>
      </c>
      <c r="F513" s="49">
        <f>E513-D513</f>
        <v>0</v>
      </c>
      <c r="G513" s="50">
        <f>IF(D513=0,0,ABS(F513/D513))</f>
        <v>0</v>
      </c>
      <c r="H513" s="49">
        <v>0</v>
      </c>
      <c r="I513" s="49">
        <v>0</v>
      </c>
      <c r="J513" s="51" t="str">
        <f>IF(H513=0,"No plan at start",I513/H513)</f>
        <v>No plan at start</v>
      </c>
      <c r="K513" s="52">
        <f>H513-I513</f>
        <v>0</v>
      </c>
      <c r="L513" s="49">
        <v>0</v>
      </c>
      <c r="M513" s="49">
        <f>I513+L513</f>
        <v>0</v>
      </c>
      <c r="N513" s="49">
        <f>M513-H513</f>
        <v>0</v>
      </c>
      <c r="O513" s="50" t="str">
        <f>IF(H513=0,"No plan at start",M513/H513)</f>
        <v>No plan at start</v>
      </c>
    </row>
    <row r="514" spans="2:15" hidden="1" outlineLevel="2" x14ac:dyDescent="0.2">
      <c r="B514" s="49" t="s">
        <v>74</v>
      </c>
      <c r="C514" s="49" t="s">
        <v>59</v>
      </c>
      <c r="D514" s="49">
        <v>0</v>
      </c>
      <c r="E514" s="49">
        <v>0</v>
      </c>
      <c r="F514" s="49">
        <f>E514-D514</f>
        <v>0</v>
      </c>
      <c r="G514" s="50">
        <f>IF(D514=0,0,ABS(F514/D514))</f>
        <v>0</v>
      </c>
      <c r="H514" s="49">
        <v>0</v>
      </c>
      <c r="I514" s="49">
        <v>0</v>
      </c>
      <c r="J514" s="51" t="str">
        <f>IF(H514=0,"No plan at start",I514/H514)</f>
        <v>No plan at start</v>
      </c>
      <c r="K514" s="52">
        <f>H514-I514</f>
        <v>0</v>
      </c>
      <c r="L514" s="49">
        <v>0</v>
      </c>
      <c r="M514" s="49">
        <f>I514+L514</f>
        <v>0</v>
      </c>
      <c r="N514" s="49">
        <f>M514-H514</f>
        <v>0</v>
      </c>
      <c r="O514" s="50" t="str">
        <f>IF(H514=0,"No plan at start",M514/H514)</f>
        <v>No plan at start</v>
      </c>
    </row>
    <row r="515" spans="2:15" outlineLevel="1" collapsed="1" x14ac:dyDescent="0.2">
      <c r="B515" s="56" t="s">
        <v>113</v>
      </c>
      <c r="C515" s="49"/>
      <c r="D515" s="49">
        <f>SUBTOTAL(9,D507:D514)</f>
        <v>0</v>
      </c>
      <c r="E515" s="49">
        <f>SUBTOTAL(9,E507:E514)</f>
        <v>0</v>
      </c>
      <c r="F515" s="49">
        <f>SUBTOTAL(9,F507:F514)</f>
        <v>0</v>
      </c>
      <c r="G515" s="50">
        <f>IF(D515=0,0,ABS(F515/D515))</f>
        <v>0</v>
      </c>
      <c r="H515" s="49">
        <f>SUBTOTAL(9,H507:H514)</f>
        <v>0</v>
      </c>
      <c r="I515" s="49">
        <f>SUBTOTAL(9,I507:I514)</f>
        <v>0</v>
      </c>
      <c r="J515" s="51" t="str">
        <f>IF(H515=0,"No plan at start",I515/H515)</f>
        <v>No plan at start</v>
      </c>
      <c r="K515" s="52">
        <f>SUBTOTAL(9,K507:K514)</f>
        <v>0</v>
      </c>
      <c r="L515" s="49">
        <f>SUBTOTAL(9,L507:L514)</f>
        <v>0</v>
      </c>
      <c r="M515" s="49">
        <f>SUBTOTAL(9,M507:M514)</f>
        <v>0</v>
      </c>
      <c r="N515" s="49">
        <f>SUBTOTAL(9,N507:N514)</f>
        <v>0</v>
      </c>
      <c r="O515" s="50" t="str">
        <f>IF(H515=0,"No plan at start",M515/H515)</f>
        <v>No plan at start</v>
      </c>
    </row>
    <row r="516" spans="2:15" hidden="1" outlineLevel="2" x14ac:dyDescent="0.2">
      <c r="B516" s="49" t="s">
        <v>75</v>
      </c>
      <c r="C516" s="49" t="s">
        <v>52</v>
      </c>
      <c r="D516" s="49">
        <v>0</v>
      </c>
      <c r="E516" s="49">
        <v>0</v>
      </c>
      <c r="F516" s="49">
        <f>E516-D516</f>
        <v>0</v>
      </c>
      <c r="G516" s="50">
        <f>IF(D516=0,0,ABS(F516/D516))</f>
        <v>0</v>
      </c>
      <c r="H516" s="49">
        <v>0</v>
      </c>
      <c r="I516" s="49">
        <v>10788.700000000004</v>
      </c>
      <c r="J516" s="51" t="str">
        <f>IF(H516=0,"No plan at start",I516/H516)</f>
        <v>No plan at start</v>
      </c>
      <c r="K516" s="52">
        <f>H516-I516</f>
        <v>-10788.700000000004</v>
      </c>
      <c r="L516" s="49">
        <v>0</v>
      </c>
      <c r="M516" s="49">
        <f>I516+L516</f>
        <v>10788.700000000004</v>
      </c>
      <c r="N516" s="49">
        <f>M516-H516</f>
        <v>10788.700000000004</v>
      </c>
      <c r="O516" s="50" t="str">
        <f>IF(H516=0,"No plan at start",M516/H516)</f>
        <v>No plan at start</v>
      </c>
    </row>
    <row r="517" spans="2:15" hidden="1" outlineLevel="2" x14ac:dyDescent="0.2">
      <c r="B517" s="49" t="s">
        <v>75</v>
      </c>
      <c r="C517" s="49" t="s">
        <v>53</v>
      </c>
      <c r="D517" s="49">
        <v>0</v>
      </c>
      <c r="E517" s="49">
        <v>0</v>
      </c>
      <c r="F517" s="49">
        <f>E517-D517</f>
        <v>0</v>
      </c>
      <c r="G517" s="50">
        <f>IF(D517=0,0,ABS(F517/D517))</f>
        <v>0</v>
      </c>
      <c r="H517" s="49">
        <v>0</v>
      </c>
      <c r="I517" s="49">
        <v>125.22320000000001</v>
      </c>
      <c r="J517" s="51" t="str">
        <f>IF(H517=0,"No plan at start",I517/H517)</f>
        <v>No plan at start</v>
      </c>
      <c r="K517" s="52">
        <f>H517-I517</f>
        <v>-125.22320000000001</v>
      </c>
      <c r="L517" s="49">
        <v>0</v>
      </c>
      <c r="M517" s="49">
        <f>I517+L517</f>
        <v>125.22320000000001</v>
      </c>
      <c r="N517" s="49">
        <f>M517-H517</f>
        <v>125.22320000000001</v>
      </c>
      <c r="O517" s="50" t="str">
        <f>IF(H517=0,"No plan at start",M517/H517)</f>
        <v>No plan at start</v>
      </c>
    </row>
    <row r="518" spans="2:15" hidden="1" outlineLevel="2" x14ac:dyDescent="0.2">
      <c r="B518" s="49" t="s">
        <v>75</v>
      </c>
      <c r="C518" s="49" t="s">
        <v>54</v>
      </c>
      <c r="D518" s="49">
        <v>0</v>
      </c>
      <c r="E518" s="49">
        <v>0</v>
      </c>
      <c r="F518" s="49">
        <f>E518-D518</f>
        <v>0</v>
      </c>
      <c r="G518" s="50">
        <f>IF(D518=0,0,ABS(F518/D518))</f>
        <v>0</v>
      </c>
      <c r="H518" s="49">
        <v>0</v>
      </c>
      <c r="I518" s="49">
        <v>7363.1999999999989</v>
      </c>
      <c r="J518" s="51" t="str">
        <f>IF(H518=0,"No plan at start",I518/H518)</f>
        <v>No plan at start</v>
      </c>
      <c r="K518" s="52">
        <f>H518-I518</f>
        <v>-7363.1999999999989</v>
      </c>
      <c r="L518" s="49">
        <v>0</v>
      </c>
      <c r="M518" s="49">
        <f>I518+L518</f>
        <v>7363.1999999999989</v>
      </c>
      <c r="N518" s="49">
        <f>M518-H518</f>
        <v>7363.1999999999989</v>
      </c>
      <c r="O518" s="50" t="str">
        <f>IF(H518=0,"No plan at start",M518/H518)</f>
        <v>No plan at start</v>
      </c>
    </row>
    <row r="519" spans="2:15" hidden="1" outlineLevel="2" x14ac:dyDescent="0.2">
      <c r="B519" s="49" t="s">
        <v>75</v>
      </c>
      <c r="C519" s="49" t="s">
        <v>55</v>
      </c>
      <c r="D519" s="49">
        <v>0</v>
      </c>
      <c r="E519" s="49">
        <v>0</v>
      </c>
      <c r="F519" s="49">
        <f>E519-D519</f>
        <v>0</v>
      </c>
      <c r="G519" s="50">
        <f>IF(D519=0,0,ABS(F519/D519))</f>
        <v>0</v>
      </c>
      <c r="H519" s="49">
        <v>0</v>
      </c>
      <c r="I519" s="49">
        <v>0</v>
      </c>
      <c r="J519" s="51" t="str">
        <f>IF(H519=0,"No plan at start",I519/H519)</f>
        <v>No plan at start</v>
      </c>
      <c r="K519" s="52">
        <f>H519-I519</f>
        <v>0</v>
      </c>
      <c r="L519" s="49">
        <v>0</v>
      </c>
      <c r="M519" s="49">
        <f>I519+L519</f>
        <v>0</v>
      </c>
      <c r="N519" s="49">
        <f>M519-H519</f>
        <v>0</v>
      </c>
      <c r="O519" s="50" t="str">
        <f>IF(H519=0,"No plan at start",M519/H519)</f>
        <v>No plan at start</v>
      </c>
    </row>
    <row r="520" spans="2:15" hidden="1" outlineLevel="2" x14ac:dyDescent="0.2">
      <c r="B520" s="49" t="s">
        <v>75</v>
      </c>
      <c r="C520" s="49" t="s">
        <v>56</v>
      </c>
      <c r="D520" s="49">
        <v>0</v>
      </c>
      <c r="E520" s="49">
        <v>0</v>
      </c>
      <c r="F520" s="49">
        <f>E520-D520</f>
        <v>0</v>
      </c>
      <c r="G520" s="50">
        <f>IF(D520=0,0,ABS(F520/D520))</f>
        <v>0</v>
      </c>
      <c r="H520" s="49">
        <v>0</v>
      </c>
      <c r="I520" s="49">
        <v>61.36</v>
      </c>
      <c r="J520" s="51" t="str">
        <f>IF(H520=0,"No plan at start",I520/H520)</f>
        <v>No plan at start</v>
      </c>
      <c r="K520" s="52">
        <f>H520-I520</f>
        <v>-61.36</v>
      </c>
      <c r="L520" s="49">
        <v>0</v>
      </c>
      <c r="M520" s="49">
        <f>I520+L520</f>
        <v>61.36</v>
      </c>
      <c r="N520" s="49">
        <f>M520-H520</f>
        <v>61.36</v>
      </c>
      <c r="O520" s="50" t="str">
        <f>IF(H520=0,"No plan at start",M520/H520)</f>
        <v>No plan at start</v>
      </c>
    </row>
    <row r="521" spans="2:15" hidden="1" outlineLevel="2" x14ac:dyDescent="0.2">
      <c r="B521" s="49" t="s">
        <v>75</v>
      </c>
      <c r="C521" s="49" t="s">
        <v>57</v>
      </c>
      <c r="D521" s="49">
        <v>0</v>
      </c>
      <c r="E521" s="49">
        <v>0</v>
      </c>
      <c r="F521" s="49">
        <f>E521-D521</f>
        <v>0</v>
      </c>
      <c r="G521" s="50">
        <f>IF(D521=0,0,ABS(F521/D521))</f>
        <v>0</v>
      </c>
      <c r="H521" s="49">
        <v>0</v>
      </c>
      <c r="I521" s="49">
        <v>43758.520000000011</v>
      </c>
      <c r="J521" s="51" t="str">
        <f>IF(H521=0,"No plan at start",I521/H521)</f>
        <v>No plan at start</v>
      </c>
      <c r="K521" s="52">
        <f>H521-I521</f>
        <v>-43758.520000000011</v>
      </c>
      <c r="L521" s="49">
        <v>0</v>
      </c>
      <c r="M521" s="49">
        <f>I521+L521</f>
        <v>43758.520000000011</v>
      </c>
      <c r="N521" s="49">
        <f>M521-H521</f>
        <v>43758.520000000011</v>
      </c>
      <c r="O521" s="50" t="str">
        <f>IF(H521=0,"No plan at start",M521/H521)</f>
        <v>No plan at start</v>
      </c>
    </row>
    <row r="522" spans="2:15" hidden="1" outlineLevel="2" x14ac:dyDescent="0.2">
      <c r="B522" s="49" t="s">
        <v>75</v>
      </c>
      <c r="C522" s="49" t="s">
        <v>58</v>
      </c>
      <c r="D522" s="49">
        <v>0</v>
      </c>
      <c r="E522" s="49">
        <v>0</v>
      </c>
      <c r="F522" s="49">
        <f>E522-D522</f>
        <v>0</v>
      </c>
      <c r="G522" s="50">
        <f>IF(D522=0,0,ABS(F522/D522))</f>
        <v>0</v>
      </c>
      <c r="H522" s="49">
        <v>0</v>
      </c>
      <c r="I522" s="49">
        <v>693.16000000000008</v>
      </c>
      <c r="J522" s="51" t="str">
        <f>IF(H522=0,"No plan at start",I522/H522)</f>
        <v>No plan at start</v>
      </c>
      <c r="K522" s="52">
        <f>H522-I522</f>
        <v>-693.16000000000008</v>
      </c>
      <c r="L522" s="49">
        <v>0</v>
      </c>
      <c r="M522" s="49">
        <f>I522+L522</f>
        <v>693.16000000000008</v>
      </c>
      <c r="N522" s="49">
        <f>M522-H522</f>
        <v>693.16000000000008</v>
      </c>
      <c r="O522" s="50" t="str">
        <f>IF(H522=0,"No plan at start",M522/H522)</f>
        <v>No plan at start</v>
      </c>
    </row>
    <row r="523" spans="2:15" hidden="1" outlineLevel="2" x14ac:dyDescent="0.2">
      <c r="B523" s="49" t="s">
        <v>75</v>
      </c>
      <c r="C523" s="49" t="s">
        <v>59</v>
      </c>
      <c r="D523" s="49">
        <v>0</v>
      </c>
      <c r="E523" s="49">
        <v>0</v>
      </c>
      <c r="F523" s="49">
        <f>E523-D523</f>
        <v>0</v>
      </c>
      <c r="G523" s="50">
        <f>IF(D523=0,0,ABS(F523/D523))</f>
        <v>0</v>
      </c>
      <c r="H523" s="49">
        <v>0</v>
      </c>
      <c r="I523" s="49">
        <v>0</v>
      </c>
      <c r="J523" s="51" t="str">
        <f>IF(H523=0,"No plan at start",I523/H523)</f>
        <v>No plan at start</v>
      </c>
      <c r="K523" s="52">
        <f>H523-I523</f>
        <v>0</v>
      </c>
      <c r="L523" s="49">
        <v>0</v>
      </c>
      <c r="M523" s="49">
        <f>I523+L523</f>
        <v>0</v>
      </c>
      <c r="N523" s="49">
        <f>M523-H523</f>
        <v>0</v>
      </c>
      <c r="O523" s="50" t="str">
        <f>IF(H523=0,"No plan at start",M523/H523)</f>
        <v>No plan at start</v>
      </c>
    </row>
    <row r="524" spans="2:15" outlineLevel="1" collapsed="1" x14ac:dyDescent="0.2">
      <c r="B524" s="56" t="s">
        <v>114</v>
      </c>
      <c r="C524" s="49"/>
      <c r="D524" s="49">
        <f>SUBTOTAL(9,D516:D523)</f>
        <v>0</v>
      </c>
      <c r="E524" s="49">
        <f>SUBTOTAL(9,E516:E523)</f>
        <v>0</v>
      </c>
      <c r="F524" s="49">
        <f>SUBTOTAL(9,F516:F523)</f>
        <v>0</v>
      </c>
      <c r="G524" s="50">
        <f>IF(D524=0,0,ABS(F524/D524))</f>
        <v>0</v>
      </c>
      <c r="H524" s="49">
        <f>SUBTOTAL(9,H516:H523)</f>
        <v>0</v>
      </c>
      <c r="I524" s="49">
        <f>SUBTOTAL(9,I516:I523)</f>
        <v>62790.163200000017</v>
      </c>
      <c r="J524" s="51" t="str">
        <f>IF(H524=0,"No plan at start",I524/H524)</f>
        <v>No plan at start</v>
      </c>
      <c r="K524" s="52">
        <f>SUBTOTAL(9,K516:K523)</f>
        <v>-62790.163200000017</v>
      </c>
      <c r="L524" s="49">
        <f>SUBTOTAL(9,L516:L523)</f>
        <v>0</v>
      </c>
      <c r="M524" s="49">
        <f>SUBTOTAL(9,M516:M523)</f>
        <v>62790.163200000017</v>
      </c>
      <c r="N524" s="49">
        <f>SUBTOTAL(9,N516:N523)</f>
        <v>62790.163200000017</v>
      </c>
      <c r="O524" s="50" t="str">
        <f>IF(H524=0,"No plan at start",M524/H524)</f>
        <v>No plan at start</v>
      </c>
    </row>
    <row r="525" spans="2:15" hidden="1" outlineLevel="2" x14ac:dyDescent="0.2">
      <c r="B525" s="49" t="s">
        <v>76</v>
      </c>
      <c r="C525" s="49" t="s">
        <v>52</v>
      </c>
      <c r="D525" s="49">
        <v>0</v>
      </c>
      <c r="E525" s="49">
        <v>0</v>
      </c>
      <c r="F525" s="49">
        <f>E525-D525</f>
        <v>0</v>
      </c>
      <c r="G525" s="50">
        <f>IF(D525=0,0,ABS(F525/D525))</f>
        <v>0</v>
      </c>
      <c r="H525" s="49">
        <v>0</v>
      </c>
      <c r="I525" s="49">
        <v>0</v>
      </c>
      <c r="J525" s="51" t="str">
        <f>IF(H525=0,"No plan at start",I525/H525)</f>
        <v>No plan at start</v>
      </c>
      <c r="K525" s="52">
        <f>H525-I525</f>
        <v>0</v>
      </c>
      <c r="L525" s="49">
        <v>0</v>
      </c>
      <c r="M525" s="49">
        <f>I525+L525</f>
        <v>0</v>
      </c>
      <c r="N525" s="49">
        <f>M525-H525</f>
        <v>0</v>
      </c>
      <c r="O525" s="50" t="str">
        <f>IF(H525=0,"No plan at start",M525/H525)</f>
        <v>No plan at start</v>
      </c>
    </row>
    <row r="526" spans="2:15" hidden="1" outlineLevel="2" x14ac:dyDescent="0.2">
      <c r="B526" s="49" t="s">
        <v>76</v>
      </c>
      <c r="C526" s="49" t="s">
        <v>53</v>
      </c>
      <c r="D526" s="49">
        <v>0</v>
      </c>
      <c r="E526" s="49">
        <v>0</v>
      </c>
      <c r="F526" s="49">
        <f>E526-D526</f>
        <v>0</v>
      </c>
      <c r="G526" s="50">
        <f>IF(D526=0,0,ABS(F526/D526))</f>
        <v>0</v>
      </c>
      <c r="H526" s="49">
        <v>0</v>
      </c>
      <c r="I526" s="49">
        <v>0</v>
      </c>
      <c r="J526" s="51" t="str">
        <f>IF(H526=0,"No plan at start",I526/H526)</f>
        <v>No plan at start</v>
      </c>
      <c r="K526" s="52">
        <f>H526-I526</f>
        <v>0</v>
      </c>
      <c r="L526" s="49">
        <v>0</v>
      </c>
      <c r="M526" s="49">
        <f>I526+L526</f>
        <v>0</v>
      </c>
      <c r="N526" s="49">
        <f>M526-H526</f>
        <v>0</v>
      </c>
      <c r="O526" s="50" t="str">
        <f>IF(H526=0,"No plan at start",M526/H526)</f>
        <v>No plan at start</v>
      </c>
    </row>
    <row r="527" spans="2:15" hidden="1" outlineLevel="2" x14ac:dyDescent="0.2">
      <c r="B527" s="49" t="s">
        <v>76</v>
      </c>
      <c r="C527" s="49" t="s">
        <v>54</v>
      </c>
      <c r="D527" s="49">
        <v>0</v>
      </c>
      <c r="E527" s="49">
        <v>0</v>
      </c>
      <c r="F527" s="49">
        <f>E527-D527</f>
        <v>0</v>
      </c>
      <c r="G527" s="50">
        <f>IF(D527=0,0,ABS(F527/D527))</f>
        <v>0</v>
      </c>
      <c r="H527" s="49">
        <v>0</v>
      </c>
      <c r="I527" s="49">
        <v>0</v>
      </c>
      <c r="J527" s="51" t="str">
        <f>IF(H527=0,"No plan at start",I527/H527)</f>
        <v>No plan at start</v>
      </c>
      <c r="K527" s="52">
        <f>H527-I527</f>
        <v>0</v>
      </c>
      <c r="L527" s="49">
        <v>0</v>
      </c>
      <c r="M527" s="49">
        <f>I527+L527</f>
        <v>0</v>
      </c>
      <c r="N527" s="49">
        <f>M527-H527</f>
        <v>0</v>
      </c>
      <c r="O527" s="50" t="str">
        <f>IF(H527=0,"No plan at start",M527/H527)</f>
        <v>No plan at start</v>
      </c>
    </row>
    <row r="528" spans="2:15" hidden="1" outlineLevel="2" x14ac:dyDescent="0.2">
      <c r="B528" s="49" t="s">
        <v>76</v>
      </c>
      <c r="C528" s="49" t="s">
        <v>55</v>
      </c>
      <c r="D528" s="49">
        <v>0</v>
      </c>
      <c r="E528" s="49">
        <v>0</v>
      </c>
      <c r="F528" s="49">
        <f>E528-D528</f>
        <v>0</v>
      </c>
      <c r="G528" s="50">
        <f>IF(D528=0,0,ABS(F528/D528))</f>
        <v>0</v>
      </c>
      <c r="H528" s="49">
        <v>0</v>
      </c>
      <c r="I528" s="49">
        <v>0</v>
      </c>
      <c r="J528" s="51" t="str">
        <f>IF(H528=0,"No plan at start",I528/H528)</f>
        <v>No plan at start</v>
      </c>
      <c r="K528" s="52">
        <f>H528-I528</f>
        <v>0</v>
      </c>
      <c r="L528" s="49">
        <v>0</v>
      </c>
      <c r="M528" s="49">
        <f>I528+L528</f>
        <v>0</v>
      </c>
      <c r="N528" s="49">
        <f>M528-H528</f>
        <v>0</v>
      </c>
      <c r="O528" s="50" t="str">
        <f>IF(H528=0,"No plan at start",M528/H528)</f>
        <v>No plan at start</v>
      </c>
    </row>
    <row r="529" spans="2:15" hidden="1" outlineLevel="2" x14ac:dyDescent="0.2">
      <c r="B529" s="49" t="s">
        <v>76</v>
      </c>
      <c r="C529" s="49" t="s">
        <v>56</v>
      </c>
      <c r="D529" s="49">
        <v>0</v>
      </c>
      <c r="E529" s="49">
        <v>0</v>
      </c>
      <c r="F529" s="49">
        <f>E529-D529</f>
        <v>0</v>
      </c>
      <c r="G529" s="50">
        <f>IF(D529=0,0,ABS(F529/D529))</f>
        <v>0</v>
      </c>
      <c r="H529" s="49">
        <v>0</v>
      </c>
      <c r="I529" s="49">
        <v>0</v>
      </c>
      <c r="J529" s="51" t="str">
        <f>IF(H529=0,"No plan at start",I529/H529)</f>
        <v>No plan at start</v>
      </c>
      <c r="K529" s="52">
        <f>H529-I529</f>
        <v>0</v>
      </c>
      <c r="L529" s="49">
        <v>0</v>
      </c>
      <c r="M529" s="49">
        <f>I529+L529</f>
        <v>0</v>
      </c>
      <c r="N529" s="49">
        <f>M529-H529</f>
        <v>0</v>
      </c>
      <c r="O529" s="50" t="str">
        <f>IF(H529=0,"No plan at start",M529/H529)</f>
        <v>No plan at start</v>
      </c>
    </row>
    <row r="530" spans="2:15" hidden="1" outlineLevel="2" x14ac:dyDescent="0.2">
      <c r="B530" s="49" t="s">
        <v>76</v>
      </c>
      <c r="C530" s="49" t="s">
        <v>57</v>
      </c>
      <c r="D530" s="49">
        <v>0</v>
      </c>
      <c r="E530" s="49">
        <v>0</v>
      </c>
      <c r="F530" s="49">
        <f>E530-D530</f>
        <v>0</v>
      </c>
      <c r="G530" s="50">
        <f>IF(D530=0,0,ABS(F530/D530))</f>
        <v>0</v>
      </c>
      <c r="H530" s="49">
        <v>0</v>
      </c>
      <c r="I530" s="49">
        <v>0</v>
      </c>
      <c r="J530" s="51" t="str">
        <f>IF(H530=0,"No plan at start",I530/H530)</f>
        <v>No plan at start</v>
      </c>
      <c r="K530" s="52">
        <f>H530-I530</f>
        <v>0</v>
      </c>
      <c r="L530" s="49">
        <v>0</v>
      </c>
      <c r="M530" s="49">
        <f>I530+L530</f>
        <v>0</v>
      </c>
      <c r="N530" s="49">
        <f>M530-H530</f>
        <v>0</v>
      </c>
      <c r="O530" s="50" t="str">
        <f>IF(H530=0,"No plan at start",M530/H530)</f>
        <v>No plan at start</v>
      </c>
    </row>
    <row r="531" spans="2:15" hidden="1" outlineLevel="2" x14ac:dyDescent="0.2">
      <c r="B531" s="49" t="s">
        <v>76</v>
      </c>
      <c r="C531" s="49" t="s">
        <v>58</v>
      </c>
      <c r="D531" s="49">
        <v>0</v>
      </c>
      <c r="E531" s="49">
        <v>0</v>
      </c>
      <c r="F531" s="49">
        <f>E531-D531</f>
        <v>0</v>
      </c>
      <c r="G531" s="50">
        <f>IF(D531=0,0,ABS(F531/D531))</f>
        <v>0</v>
      </c>
      <c r="H531" s="49">
        <v>0</v>
      </c>
      <c r="I531" s="49">
        <v>0</v>
      </c>
      <c r="J531" s="51" t="str">
        <f>IF(H531=0,"No plan at start",I531/H531)</f>
        <v>No plan at start</v>
      </c>
      <c r="K531" s="52">
        <f>H531-I531</f>
        <v>0</v>
      </c>
      <c r="L531" s="49">
        <v>0</v>
      </c>
      <c r="M531" s="49">
        <f>I531+L531</f>
        <v>0</v>
      </c>
      <c r="N531" s="49">
        <f>M531-H531</f>
        <v>0</v>
      </c>
      <c r="O531" s="50" t="str">
        <f>IF(H531=0,"No plan at start",M531/H531)</f>
        <v>No plan at start</v>
      </c>
    </row>
    <row r="532" spans="2:15" hidden="1" outlineLevel="2" x14ac:dyDescent="0.2">
      <c r="B532" s="49" t="s">
        <v>76</v>
      </c>
      <c r="C532" s="49" t="s">
        <v>59</v>
      </c>
      <c r="D532" s="49">
        <v>0</v>
      </c>
      <c r="E532" s="49">
        <v>0</v>
      </c>
      <c r="F532" s="49">
        <f>E532-D532</f>
        <v>0</v>
      </c>
      <c r="G532" s="50">
        <f>IF(D532=0,0,ABS(F532/D532))</f>
        <v>0</v>
      </c>
      <c r="H532" s="49">
        <v>0</v>
      </c>
      <c r="I532" s="49">
        <v>0</v>
      </c>
      <c r="J532" s="51" t="str">
        <f>IF(H532=0,"No plan at start",I532/H532)</f>
        <v>No plan at start</v>
      </c>
      <c r="K532" s="52">
        <f>H532-I532</f>
        <v>0</v>
      </c>
      <c r="L532" s="49">
        <v>0</v>
      </c>
      <c r="M532" s="49">
        <f>I532+L532</f>
        <v>0</v>
      </c>
      <c r="N532" s="49">
        <f>M532-H532</f>
        <v>0</v>
      </c>
      <c r="O532" s="50" t="str">
        <f>IF(H532=0,"No plan at start",M532/H532)</f>
        <v>No plan at start</v>
      </c>
    </row>
    <row r="533" spans="2:15" outlineLevel="1" collapsed="1" x14ac:dyDescent="0.2">
      <c r="B533" s="56" t="s">
        <v>115</v>
      </c>
      <c r="C533" s="49"/>
      <c r="D533" s="49">
        <f>SUBTOTAL(9,D525:D532)</f>
        <v>0</v>
      </c>
      <c r="E533" s="49">
        <f>SUBTOTAL(9,E525:E532)</f>
        <v>0</v>
      </c>
      <c r="F533" s="49">
        <f>SUBTOTAL(9,F525:F532)</f>
        <v>0</v>
      </c>
      <c r="G533" s="50">
        <f>IF(D533=0,0,ABS(F533/D533))</f>
        <v>0</v>
      </c>
      <c r="H533" s="49">
        <f>SUBTOTAL(9,H525:H532)</f>
        <v>0</v>
      </c>
      <c r="I533" s="49">
        <f>SUBTOTAL(9,I525:I532)</f>
        <v>0</v>
      </c>
      <c r="J533" s="51" t="str">
        <f>IF(H533=0,"No plan at start",I533/H533)</f>
        <v>No plan at start</v>
      </c>
      <c r="K533" s="52">
        <f>SUBTOTAL(9,K525:K532)</f>
        <v>0</v>
      </c>
      <c r="L533" s="49">
        <f>SUBTOTAL(9,L525:L532)</f>
        <v>0</v>
      </c>
      <c r="M533" s="49">
        <f>SUBTOTAL(9,M525:M532)</f>
        <v>0</v>
      </c>
      <c r="N533" s="49">
        <f>SUBTOTAL(9,N525:N532)</f>
        <v>0</v>
      </c>
      <c r="O533" s="50" t="str">
        <f>IF(H533=0,"No plan at start",M533/H533)</f>
        <v>No plan at start</v>
      </c>
    </row>
    <row r="534" spans="2:15" hidden="1" outlineLevel="2" x14ac:dyDescent="0.2">
      <c r="B534" s="49" t="s">
        <v>77</v>
      </c>
      <c r="C534" s="49" t="s">
        <v>52</v>
      </c>
      <c r="D534" s="49">
        <v>0</v>
      </c>
      <c r="E534" s="49">
        <v>22.36</v>
      </c>
      <c r="F534" s="49">
        <f>E534-D534</f>
        <v>22.36</v>
      </c>
      <c r="G534" s="50">
        <f>IF(D534=0,0,ABS(F534/D534))</f>
        <v>0</v>
      </c>
      <c r="H534" s="49">
        <v>117500.45840000002</v>
      </c>
      <c r="I534" s="49">
        <v>43479.020000000033</v>
      </c>
      <c r="J534" s="51">
        <f>IF(H534=0,"No plan at start",I534/H534)</f>
        <v>0.37003276916577565</v>
      </c>
      <c r="K534" s="52">
        <f>H534-I534</f>
        <v>74021.438399999985</v>
      </c>
      <c r="L534" s="49">
        <v>0</v>
      </c>
      <c r="M534" s="49">
        <f>I534+L534</f>
        <v>43479.020000000033</v>
      </c>
      <c r="N534" s="49">
        <f>M534-H534</f>
        <v>-74021.438399999985</v>
      </c>
      <c r="O534" s="50">
        <f>IF(H534=0,"No plan at start",M534/H534)</f>
        <v>0.37003276916577565</v>
      </c>
    </row>
    <row r="535" spans="2:15" hidden="1" outlineLevel="2" x14ac:dyDescent="0.2">
      <c r="B535" s="49" t="s">
        <v>77</v>
      </c>
      <c r="C535" s="49" t="s">
        <v>53</v>
      </c>
      <c r="D535" s="49">
        <v>0</v>
      </c>
      <c r="E535" s="49">
        <v>0</v>
      </c>
      <c r="F535" s="49">
        <f>E535-D535</f>
        <v>0</v>
      </c>
      <c r="G535" s="50">
        <f>IF(D535=0,0,ABS(F535/D535))</f>
        <v>0</v>
      </c>
      <c r="H535" s="49">
        <v>0</v>
      </c>
      <c r="I535" s="49">
        <v>0</v>
      </c>
      <c r="J535" s="51" t="str">
        <f>IF(H535=0,"No plan at start",I535/H535)</f>
        <v>No plan at start</v>
      </c>
      <c r="K535" s="52">
        <f>H535-I535</f>
        <v>0</v>
      </c>
      <c r="L535" s="49">
        <v>0</v>
      </c>
      <c r="M535" s="49">
        <f>I535+L535</f>
        <v>0</v>
      </c>
      <c r="N535" s="49">
        <f>M535-H535</f>
        <v>0</v>
      </c>
      <c r="O535" s="50" t="str">
        <f>IF(H535=0,"No plan at start",M535/H535)</f>
        <v>No plan at start</v>
      </c>
    </row>
    <row r="536" spans="2:15" hidden="1" outlineLevel="2" x14ac:dyDescent="0.2">
      <c r="B536" s="49" t="s">
        <v>77</v>
      </c>
      <c r="C536" s="49" t="s">
        <v>54</v>
      </c>
      <c r="D536" s="49">
        <v>0</v>
      </c>
      <c r="E536" s="49">
        <v>0</v>
      </c>
      <c r="F536" s="49">
        <f>E536-D536</f>
        <v>0</v>
      </c>
      <c r="G536" s="50">
        <f>IF(D536=0,0,ABS(F536/D536))</f>
        <v>0</v>
      </c>
      <c r="H536" s="49">
        <v>0</v>
      </c>
      <c r="I536" s="49">
        <v>0</v>
      </c>
      <c r="J536" s="51" t="str">
        <f>IF(H536=0,"No plan at start",I536/H536)</f>
        <v>No plan at start</v>
      </c>
      <c r="K536" s="52">
        <f>H536-I536</f>
        <v>0</v>
      </c>
      <c r="L536" s="49">
        <v>0</v>
      </c>
      <c r="M536" s="49">
        <f>I536+L536</f>
        <v>0</v>
      </c>
      <c r="N536" s="49">
        <f>M536-H536</f>
        <v>0</v>
      </c>
      <c r="O536" s="50" t="str">
        <f>IF(H536=0,"No plan at start",M536/H536)</f>
        <v>No plan at start</v>
      </c>
    </row>
    <row r="537" spans="2:15" hidden="1" outlineLevel="2" x14ac:dyDescent="0.2">
      <c r="B537" s="49" t="s">
        <v>77</v>
      </c>
      <c r="C537" s="49" t="s">
        <v>55</v>
      </c>
      <c r="D537" s="49">
        <v>0</v>
      </c>
      <c r="E537" s="49">
        <v>0</v>
      </c>
      <c r="F537" s="49">
        <f>E537-D537</f>
        <v>0</v>
      </c>
      <c r="G537" s="50">
        <f>IF(D537=0,0,ABS(F537/D537))</f>
        <v>0</v>
      </c>
      <c r="H537" s="49">
        <v>0</v>
      </c>
      <c r="I537" s="49">
        <v>0</v>
      </c>
      <c r="J537" s="51" t="str">
        <f>IF(H537=0,"No plan at start",I537/H537)</f>
        <v>No plan at start</v>
      </c>
      <c r="K537" s="52">
        <f>H537-I537</f>
        <v>0</v>
      </c>
      <c r="L537" s="49">
        <v>0</v>
      </c>
      <c r="M537" s="49">
        <f>I537+L537</f>
        <v>0</v>
      </c>
      <c r="N537" s="49">
        <f>M537-H537</f>
        <v>0</v>
      </c>
      <c r="O537" s="50" t="str">
        <f>IF(H537=0,"No plan at start",M537/H537)</f>
        <v>No plan at start</v>
      </c>
    </row>
    <row r="538" spans="2:15" hidden="1" outlineLevel="2" x14ac:dyDescent="0.2">
      <c r="B538" s="49" t="s">
        <v>77</v>
      </c>
      <c r="C538" s="49" t="s">
        <v>56</v>
      </c>
      <c r="D538" s="49">
        <v>0</v>
      </c>
      <c r="E538" s="49">
        <v>0</v>
      </c>
      <c r="F538" s="49">
        <f>E538-D538</f>
        <v>0</v>
      </c>
      <c r="G538" s="50">
        <f>IF(D538=0,0,ABS(F538/D538))</f>
        <v>0</v>
      </c>
      <c r="H538" s="49">
        <v>0</v>
      </c>
      <c r="I538" s="49">
        <v>0</v>
      </c>
      <c r="J538" s="51" t="str">
        <f>IF(H538=0,"No plan at start",I538/H538)</f>
        <v>No plan at start</v>
      </c>
      <c r="K538" s="52">
        <f>H538-I538</f>
        <v>0</v>
      </c>
      <c r="L538" s="49">
        <v>0</v>
      </c>
      <c r="M538" s="49">
        <f>I538+L538</f>
        <v>0</v>
      </c>
      <c r="N538" s="49">
        <f>M538-H538</f>
        <v>0</v>
      </c>
      <c r="O538" s="50" t="str">
        <f>IF(H538=0,"No plan at start",M538/H538)</f>
        <v>No plan at start</v>
      </c>
    </row>
    <row r="539" spans="2:15" hidden="1" outlineLevel="2" x14ac:dyDescent="0.2">
      <c r="B539" s="49" t="s">
        <v>77</v>
      </c>
      <c r="C539" s="49" t="s">
        <v>57</v>
      </c>
      <c r="D539" s="49">
        <v>0</v>
      </c>
      <c r="E539" s="49">
        <v>0</v>
      </c>
      <c r="F539" s="49">
        <f>E539-D539</f>
        <v>0</v>
      </c>
      <c r="G539" s="50">
        <f>IF(D539=0,0,ABS(F539/D539))</f>
        <v>0</v>
      </c>
      <c r="H539" s="49">
        <v>0</v>
      </c>
      <c r="I539" s="49">
        <v>0</v>
      </c>
      <c r="J539" s="51" t="str">
        <f>IF(H539=0,"No plan at start",I539/H539)</f>
        <v>No plan at start</v>
      </c>
      <c r="K539" s="52">
        <f>H539-I539</f>
        <v>0</v>
      </c>
      <c r="L539" s="49">
        <v>0</v>
      </c>
      <c r="M539" s="49">
        <f>I539+L539</f>
        <v>0</v>
      </c>
      <c r="N539" s="49">
        <f>M539-H539</f>
        <v>0</v>
      </c>
      <c r="O539" s="50" t="str">
        <f>IF(H539=0,"No plan at start",M539/H539)</f>
        <v>No plan at start</v>
      </c>
    </row>
    <row r="540" spans="2:15" hidden="1" outlineLevel="2" x14ac:dyDescent="0.2">
      <c r="B540" s="49" t="s">
        <v>77</v>
      </c>
      <c r="C540" s="49" t="s">
        <v>58</v>
      </c>
      <c r="D540" s="49">
        <v>0</v>
      </c>
      <c r="E540" s="49">
        <v>0</v>
      </c>
      <c r="F540" s="49">
        <f>E540-D540</f>
        <v>0</v>
      </c>
      <c r="G540" s="50">
        <f>IF(D540=0,0,ABS(F540/D540))</f>
        <v>0</v>
      </c>
      <c r="H540" s="49">
        <v>0</v>
      </c>
      <c r="I540" s="49">
        <v>268.32</v>
      </c>
      <c r="J540" s="51" t="str">
        <f>IF(H540=0,"No plan at start",I540/H540)</f>
        <v>No plan at start</v>
      </c>
      <c r="K540" s="52">
        <f>H540-I540</f>
        <v>-268.32</v>
      </c>
      <c r="L540" s="49">
        <v>0</v>
      </c>
      <c r="M540" s="49">
        <f>I540+L540</f>
        <v>268.32</v>
      </c>
      <c r="N540" s="49">
        <f>M540-H540</f>
        <v>268.32</v>
      </c>
      <c r="O540" s="50" t="str">
        <f>IF(H540=0,"No plan at start",M540/H540)</f>
        <v>No plan at start</v>
      </c>
    </row>
    <row r="541" spans="2:15" hidden="1" outlineLevel="2" x14ac:dyDescent="0.2">
      <c r="B541" s="49" t="s">
        <v>77</v>
      </c>
      <c r="C541" s="49" t="s">
        <v>59</v>
      </c>
      <c r="D541" s="49">
        <v>0</v>
      </c>
      <c r="E541" s="49">
        <v>0</v>
      </c>
      <c r="F541" s="49">
        <f>E541-D541</f>
        <v>0</v>
      </c>
      <c r="G541" s="50">
        <f>IF(D541=0,0,ABS(F541/D541))</f>
        <v>0</v>
      </c>
      <c r="H541" s="49">
        <v>0</v>
      </c>
      <c r="I541" s="49">
        <v>0</v>
      </c>
      <c r="J541" s="51" t="str">
        <f>IF(H541=0,"No plan at start",I541/H541)</f>
        <v>No plan at start</v>
      </c>
      <c r="K541" s="52">
        <f>H541-I541</f>
        <v>0</v>
      </c>
      <c r="L541" s="49">
        <v>0</v>
      </c>
      <c r="M541" s="49">
        <f>I541+L541</f>
        <v>0</v>
      </c>
      <c r="N541" s="49">
        <f>M541-H541</f>
        <v>0</v>
      </c>
      <c r="O541" s="50" t="str">
        <f>IF(H541=0,"No plan at start",M541/H541)</f>
        <v>No plan at start</v>
      </c>
    </row>
    <row r="542" spans="2:15" outlineLevel="1" collapsed="1" x14ac:dyDescent="0.2">
      <c r="B542" s="56" t="s">
        <v>116</v>
      </c>
      <c r="C542" s="49"/>
      <c r="D542" s="49">
        <f>SUBTOTAL(9,D534:D541)</f>
        <v>0</v>
      </c>
      <c r="E542" s="49">
        <f>SUBTOTAL(9,E534:E541)</f>
        <v>22.36</v>
      </c>
      <c r="F542" s="49">
        <f>SUBTOTAL(9,F534:F541)</f>
        <v>22.36</v>
      </c>
      <c r="G542" s="50">
        <f>IF(D542=0,0,ABS(F542/D542))</f>
        <v>0</v>
      </c>
      <c r="H542" s="49">
        <f>SUBTOTAL(9,H534:H541)</f>
        <v>117500.45840000002</v>
      </c>
      <c r="I542" s="49">
        <f>SUBTOTAL(9,I534:I541)</f>
        <v>43747.340000000033</v>
      </c>
      <c r="J542" s="51">
        <f>IF(H542=0,"No plan at start",I542/H542)</f>
        <v>0.37231633472503989</v>
      </c>
      <c r="K542" s="52">
        <f>SUBTOTAL(9,K534:K541)</f>
        <v>73753.118399999978</v>
      </c>
      <c r="L542" s="49">
        <f>SUBTOTAL(9,L534:L541)</f>
        <v>0</v>
      </c>
      <c r="M542" s="49">
        <f>SUBTOTAL(9,M534:M541)</f>
        <v>43747.340000000033</v>
      </c>
      <c r="N542" s="49">
        <f>SUBTOTAL(9,N534:N541)</f>
        <v>-73753.118399999978</v>
      </c>
      <c r="O542" s="50">
        <f>IF(H542=0,"No plan at start",M542/H542)</f>
        <v>0.37231633472503989</v>
      </c>
    </row>
    <row r="543" spans="2:15" hidden="1" outlineLevel="2" x14ac:dyDescent="0.2">
      <c r="B543" s="49" t="s">
        <v>78</v>
      </c>
      <c r="C543" s="49" t="s">
        <v>52</v>
      </c>
      <c r="D543" s="49">
        <v>0</v>
      </c>
      <c r="E543" s="49">
        <v>0</v>
      </c>
      <c r="F543" s="49">
        <f>E543-D543</f>
        <v>0</v>
      </c>
      <c r="G543" s="50">
        <f>IF(D543=0,0,ABS(F543/D543))</f>
        <v>0</v>
      </c>
      <c r="H543" s="49">
        <v>3864.0000000000005</v>
      </c>
      <c r="I543" s="49">
        <v>7088.1200000000008</v>
      </c>
      <c r="J543" s="51">
        <f>IF(H543=0,"No plan at start",I543/H543)</f>
        <v>1.8343995859213251</v>
      </c>
      <c r="K543" s="52">
        <f>H543-I543</f>
        <v>-3224.1200000000003</v>
      </c>
      <c r="L543" s="49">
        <v>0</v>
      </c>
      <c r="M543" s="49">
        <f>I543+L543</f>
        <v>7088.1200000000008</v>
      </c>
      <c r="N543" s="49">
        <f>M543-H543</f>
        <v>3224.1200000000003</v>
      </c>
      <c r="O543" s="50">
        <f>IF(H543=0,"No plan at start",M543/H543)</f>
        <v>1.8343995859213251</v>
      </c>
    </row>
    <row r="544" spans="2:15" hidden="1" outlineLevel="2" x14ac:dyDescent="0.2">
      <c r="B544" s="49" t="s">
        <v>78</v>
      </c>
      <c r="C544" s="49" t="s">
        <v>53</v>
      </c>
      <c r="D544" s="49">
        <v>0</v>
      </c>
      <c r="E544" s="49">
        <v>0</v>
      </c>
      <c r="F544" s="49">
        <f>E544-D544</f>
        <v>0</v>
      </c>
      <c r="G544" s="50">
        <f>IF(D544=0,0,ABS(F544/D544))</f>
        <v>0</v>
      </c>
      <c r="H544" s="49">
        <v>0</v>
      </c>
      <c r="I544" s="49">
        <v>0</v>
      </c>
      <c r="J544" s="51" t="str">
        <f>IF(H544=0,"No plan at start",I544/H544)</f>
        <v>No plan at start</v>
      </c>
      <c r="K544" s="52">
        <f>H544-I544</f>
        <v>0</v>
      </c>
      <c r="L544" s="49">
        <v>0</v>
      </c>
      <c r="M544" s="49">
        <f>I544+L544</f>
        <v>0</v>
      </c>
      <c r="N544" s="49">
        <f>M544-H544</f>
        <v>0</v>
      </c>
      <c r="O544" s="50" t="str">
        <f>IF(H544=0,"No plan at start",M544/H544)</f>
        <v>No plan at start</v>
      </c>
    </row>
    <row r="545" spans="2:15" hidden="1" outlineLevel="2" x14ac:dyDescent="0.2">
      <c r="B545" s="49" t="s">
        <v>78</v>
      </c>
      <c r="C545" s="49" t="s">
        <v>54</v>
      </c>
      <c r="D545" s="49">
        <v>0</v>
      </c>
      <c r="E545" s="49">
        <v>0</v>
      </c>
      <c r="F545" s="49">
        <f>E545-D545</f>
        <v>0</v>
      </c>
      <c r="G545" s="50">
        <f>IF(D545=0,0,ABS(F545/D545))</f>
        <v>0</v>
      </c>
      <c r="H545" s="49">
        <v>0</v>
      </c>
      <c r="I545" s="49">
        <v>0</v>
      </c>
      <c r="J545" s="51" t="str">
        <f>IF(H545=0,"No plan at start",I545/H545)</f>
        <v>No plan at start</v>
      </c>
      <c r="K545" s="52">
        <f>H545-I545</f>
        <v>0</v>
      </c>
      <c r="L545" s="49">
        <v>0</v>
      </c>
      <c r="M545" s="49">
        <f>I545+L545</f>
        <v>0</v>
      </c>
      <c r="N545" s="49">
        <f>M545-H545</f>
        <v>0</v>
      </c>
      <c r="O545" s="50" t="str">
        <f>IF(H545=0,"No plan at start",M545/H545)</f>
        <v>No plan at start</v>
      </c>
    </row>
    <row r="546" spans="2:15" hidden="1" outlineLevel="2" x14ac:dyDescent="0.2">
      <c r="B546" s="49" t="s">
        <v>78</v>
      </c>
      <c r="C546" s="49" t="s">
        <v>55</v>
      </c>
      <c r="D546" s="49">
        <v>0</v>
      </c>
      <c r="E546" s="49">
        <v>0</v>
      </c>
      <c r="F546" s="49">
        <f>E546-D546</f>
        <v>0</v>
      </c>
      <c r="G546" s="50">
        <f>IF(D546=0,0,ABS(F546/D546))</f>
        <v>0</v>
      </c>
      <c r="H546" s="49">
        <v>0</v>
      </c>
      <c r="I546" s="49">
        <v>0</v>
      </c>
      <c r="J546" s="51" t="str">
        <f>IF(H546=0,"No plan at start",I546/H546)</f>
        <v>No plan at start</v>
      </c>
      <c r="K546" s="52">
        <f>H546-I546</f>
        <v>0</v>
      </c>
      <c r="L546" s="49">
        <v>0</v>
      </c>
      <c r="M546" s="49">
        <f>I546+L546</f>
        <v>0</v>
      </c>
      <c r="N546" s="49">
        <f>M546-H546</f>
        <v>0</v>
      </c>
      <c r="O546" s="50" t="str">
        <f>IF(H546=0,"No plan at start",M546/H546)</f>
        <v>No plan at start</v>
      </c>
    </row>
    <row r="547" spans="2:15" hidden="1" outlineLevel="2" x14ac:dyDescent="0.2">
      <c r="B547" s="49" t="s">
        <v>78</v>
      </c>
      <c r="C547" s="49" t="s">
        <v>56</v>
      </c>
      <c r="D547" s="49">
        <v>0</v>
      </c>
      <c r="E547" s="49">
        <v>0</v>
      </c>
      <c r="F547" s="49">
        <f>E547-D547</f>
        <v>0</v>
      </c>
      <c r="G547" s="50">
        <f>IF(D547=0,0,ABS(F547/D547))</f>
        <v>0</v>
      </c>
      <c r="H547" s="49">
        <v>0</v>
      </c>
      <c r="I547" s="49">
        <v>0</v>
      </c>
      <c r="J547" s="51" t="str">
        <f>IF(H547=0,"No plan at start",I547/H547)</f>
        <v>No plan at start</v>
      </c>
      <c r="K547" s="52">
        <f>H547-I547</f>
        <v>0</v>
      </c>
      <c r="L547" s="49">
        <v>0</v>
      </c>
      <c r="M547" s="49">
        <f>I547+L547</f>
        <v>0</v>
      </c>
      <c r="N547" s="49">
        <f>M547-H547</f>
        <v>0</v>
      </c>
      <c r="O547" s="50" t="str">
        <f>IF(H547=0,"No plan at start",M547/H547)</f>
        <v>No plan at start</v>
      </c>
    </row>
    <row r="548" spans="2:15" hidden="1" outlineLevel="2" x14ac:dyDescent="0.2">
      <c r="B548" s="49" t="s">
        <v>78</v>
      </c>
      <c r="C548" s="49" t="s">
        <v>57</v>
      </c>
      <c r="D548" s="49">
        <v>0</v>
      </c>
      <c r="E548" s="49">
        <v>0</v>
      </c>
      <c r="F548" s="49">
        <f>E548-D548</f>
        <v>0</v>
      </c>
      <c r="G548" s="50">
        <f>IF(D548=0,0,ABS(F548/D548))</f>
        <v>0</v>
      </c>
      <c r="H548" s="49">
        <v>0</v>
      </c>
      <c r="I548" s="49">
        <v>0</v>
      </c>
      <c r="J548" s="51" t="str">
        <f>IF(H548=0,"No plan at start",I548/H548)</f>
        <v>No plan at start</v>
      </c>
      <c r="K548" s="52">
        <f>H548-I548</f>
        <v>0</v>
      </c>
      <c r="L548" s="49">
        <v>0</v>
      </c>
      <c r="M548" s="49">
        <f>I548+L548</f>
        <v>0</v>
      </c>
      <c r="N548" s="49">
        <f>M548-H548</f>
        <v>0</v>
      </c>
      <c r="O548" s="50" t="str">
        <f>IF(H548=0,"No plan at start",M548/H548)</f>
        <v>No plan at start</v>
      </c>
    </row>
    <row r="549" spans="2:15" hidden="1" outlineLevel="2" x14ac:dyDescent="0.2">
      <c r="B549" s="49" t="s">
        <v>78</v>
      </c>
      <c r="C549" s="49" t="s">
        <v>58</v>
      </c>
      <c r="D549" s="49">
        <v>0</v>
      </c>
      <c r="E549" s="49">
        <v>0</v>
      </c>
      <c r="F549" s="49">
        <f>E549-D549</f>
        <v>0</v>
      </c>
      <c r="G549" s="50">
        <f>IF(D549=0,0,ABS(F549/D549))</f>
        <v>0</v>
      </c>
      <c r="H549" s="49">
        <v>35380.800000000003</v>
      </c>
      <c r="I549" s="49">
        <v>80943.199999999881</v>
      </c>
      <c r="J549" s="51">
        <f>IF(H549=0,"No plan at start",I549/H549)</f>
        <v>2.2877718988830065</v>
      </c>
      <c r="K549" s="52">
        <f>H549-I549</f>
        <v>-45562.399999999878</v>
      </c>
      <c r="L549" s="49">
        <v>0</v>
      </c>
      <c r="M549" s="49">
        <f>I549+L549</f>
        <v>80943.199999999881</v>
      </c>
      <c r="N549" s="49">
        <f>M549-H549</f>
        <v>45562.399999999878</v>
      </c>
      <c r="O549" s="50">
        <f>IF(H549=0,"No plan at start",M549/H549)</f>
        <v>2.2877718988830065</v>
      </c>
    </row>
    <row r="550" spans="2:15" hidden="1" outlineLevel="2" x14ac:dyDescent="0.2">
      <c r="B550" s="49" t="s">
        <v>78</v>
      </c>
      <c r="C550" s="49" t="s">
        <v>59</v>
      </c>
      <c r="D550" s="49">
        <v>0</v>
      </c>
      <c r="E550" s="49">
        <v>0</v>
      </c>
      <c r="F550" s="49">
        <f>E550-D550</f>
        <v>0</v>
      </c>
      <c r="G550" s="50">
        <f>IF(D550=0,0,ABS(F550/D550))</f>
        <v>0</v>
      </c>
      <c r="H550" s="49">
        <v>0</v>
      </c>
      <c r="I550" s="49">
        <v>0</v>
      </c>
      <c r="J550" s="51" t="str">
        <f>IF(H550=0,"No plan at start",I550/H550)</f>
        <v>No plan at start</v>
      </c>
      <c r="K550" s="52">
        <f>H550-I550</f>
        <v>0</v>
      </c>
      <c r="L550" s="49">
        <v>0</v>
      </c>
      <c r="M550" s="49">
        <f>I550+L550</f>
        <v>0</v>
      </c>
      <c r="N550" s="49">
        <f>M550-H550</f>
        <v>0</v>
      </c>
      <c r="O550" s="50" t="str">
        <f>IF(H550=0,"No plan at start",M550/H550)</f>
        <v>No plan at start</v>
      </c>
    </row>
    <row r="551" spans="2:15" outlineLevel="1" collapsed="1" x14ac:dyDescent="0.2">
      <c r="B551" s="56" t="s">
        <v>117</v>
      </c>
      <c r="C551" s="49"/>
      <c r="D551" s="49">
        <f>SUBTOTAL(9,D543:D550)</f>
        <v>0</v>
      </c>
      <c r="E551" s="49">
        <f>SUBTOTAL(9,E543:E550)</f>
        <v>0</v>
      </c>
      <c r="F551" s="49">
        <f>SUBTOTAL(9,F543:F550)</f>
        <v>0</v>
      </c>
      <c r="G551" s="50">
        <f>IF(D551=0,0,ABS(F551/D551))</f>
        <v>0</v>
      </c>
      <c r="H551" s="49">
        <f>SUBTOTAL(9,H543:H550)</f>
        <v>39244.800000000003</v>
      </c>
      <c r="I551" s="49">
        <f>SUBTOTAL(9,I543:I550)</f>
        <v>88031.319999999876</v>
      </c>
      <c r="J551" s="51">
        <f>IF(H551=0,"No plan at start",I551/H551)</f>
        <v>2.2431333577951698</v>
      </c>
      <c r="K551" s="52">
        <f>SUBTOTAL(9,K543:K550)</f>
        <v>-48786.51999999988</v>
      </c>
      <c r="L551" s="49">
        <f>SUBTOTAL(9,L543:L550)</f>
        <v>0</v>
      </c>
      <c r="M551" s="49">
        <f>SUBTOTAL(9,M543:M550)</f>
        <v>88031.319999999876</v>
      </c>
      <c r="N551" s="49">
        <f>SUBTOTAL(9,N543:N550)</f>
        <v>48786.51999999988</v>
      </c>
      <c r="O551" s="50">
        <f>IF(H551=0,"No plan at start",M551/H551)</f>
        <v>2.2431333577951698</v>
      </c>
    </row>
    <row r="552" spans="2:15" hidden="1" outlineLevel="2" x14ac:dyDescent="0.2">
      <c r="B552" s="49" t="s">
        <v>79</v>
      </c>
      <c r="C552" s="49" t="s">
        <v>52</v>
      </c>
      <c r="D552" s="49">
        <v>0</v>
      </c>
      <c r="E552" s="49">
        <v>0</v>
      </c>
      <c r="F552" s="49">
        <f>E552-D552</f>
        <v>0</v>
      </c>
      <c r="G552" s="50">
        <f>IF(D552=0,0,ABS(F552/D552))</f>
        <v>0</v>
      </c>
      <c r="H552" s="49">
        <v>2066.9584</v>
      </c>
      <c r="I552" s="49">
        <v>939.12</v>
      </c>
      <c r="J552" s="51">
        <f>IF(H552=0,"No plan at start",I552/H552)</f>
        <v>0.45434876676763308</v>
      </c>
      <c r="K552" s="52">
        <f>H552-I552</f>
        <v>1127.8384000000001</v>
      </c>
      <c r="L552" s="49">
        <v>0</v>
      </c>
      <c r="M552" s="49">
        <f>I552+L552</f>
        <v>939.12</v>
      </c>
      <c r="N552" s="49">
        <f>M552-H552</f>
        <v>-1127.8384000000001</v>
      </c>
      <c r="O552" s="50">
        <f>IF(H552=0,"No plan at start",M552/H552)</f>
        <v>0.45434876676763308</v>
      </c>
    </row>
    <row r="553" spans="2:15" hidden="1" outlineLevel="2" x14ac:dyDescent="0.2">
      <c r="B553" s="49" t="s">
        <v>79</v>
      </c>
      <c r="C553" s="49" t="s">
        <v>53</v>
      </c>
      <c r="D553" s="49">
        <v>0</v>
      </c>
      <c r="E553" s="49">
        <v>0</v>
      </c>
      <c r="F553" s="49">
        <f>E553-D553</f>
        <v>0</v>
      </c>
      <c r="G553" s="50">
        <f>IF(D553=0,0,ABS(F553/D553))</f>
        <v>0</v>
      </c>
      <c r="H553" s="49">
        <v>0</v>
      </c>
      <c r="I553" s="49">
        <v>0</v>
      </c>
      <c r="J553" s="51" t="str">
        <f>IF(H553=0,"No plan at start",I553/H553)</f>
        <v>No plan at start</v>
      </c>
      <c r="K553" s="52">
        <f>H553-I553</f>
        <v>0</v>
      </c>
      <c r="L553" s="49">
        <v>0</v>
      </c>
      <c r="M553" s="49">
        <f>I553+L553</f>
        <v>0</v>
      </c>
      <c r="N553" s="49">
        <f>M553-H553</f>
        <v>0</v>
      </c>
      <c r="O553" s="50" t="str">
        <f>IF(H553=0,"No plan at start",M553/H553)</f>
        <v>No plan at start</v>
      </c>
    </row>
    <row r="554" spans="2:15" hidden="1" outlineLevel="2" x14ac:dyDescent="0.2">
      <c r="B554" s="49" t="s">
        <v>79</v>
      </c>
      <c r="C554" s="49" t="s">
        <v>54</v>
      </c>
      <c r="D554" s="49">
        <v>0</v>
      </c>
      <c r="E554" s="49">
        <v>0</v>
      </c>
      <c r="F554" s="49">
        <f>E554-D554</f>
        <v>0</v>
      </c>
      <c r="G554" s="50">
        <f>IF(D554=0,0,ABS(F554/D554))</f>
        <v>0</v>
      </c>
      <c r="H554" s="49">
        <v>0</v>
      </c>
      <c r="I554" s="49">
        <v>0</v>
      </c>
      <c r="J554" s="51" t="str">
        <f>IF(H554=0,"No plan at start",I554/H554)</f>
        <v>No plan at start</v>
      </c>
      <c r="K554" s="52">
        <f>H554-I554</f>
        <v>0</v>
      </c>
      <c r="L554" s="49">
        <v>0</v>
      </c>
      <c r="M554" s="49">
        <f>I554+L554</f>
        <v>0</v>
      </c>
      <c r="N554" s="49">
        <f>M554-H554</f>
        <v>0</v>
      </c>
      <c r="O554" s="50" t="str">
        <f>IF(H554=0,"No plan at start",M554/H554)</f>
        <v>No plan at start</v>
      </c>
    </row>
    <row r="555" spans="2:15" hidden="1" outlineLevel="2" x14ac:dyDescent="0.2">
      <c r="B555" s="49" t="s">
        <v>79</v>
      </c>
      <c r="C555" s="49" t="s">
        <v>55</v>
      </c>
      <c r="D555" s="49">
        <v>0</v>
      </c>
      <c r="E555" s="49">
        <v>0</v>
      </c>
      <c r="F555" s="49">
        <f>E555-D555</f>
        <v>0</v>
      </c>
      <c r="G555" s="50">
        <f>IF(D555=0,0,ABS(F555/D555))</f>
        <v>0</v>
      </c>
      <c r="H555" s="49">
        <v>0</v>
      </c>
      <c r="I555" s="49">
        <v>0</v>
      </c>
      <c r="J555" s="51" t="str">
        <f>IF(H555=0,"No plan at start",I555/H555)</f>
        <v>No plan at start</v>
      </c>
      <c r="K555" s="52">
        <f>H555-I555</f>
        <v>0</v>
      </c>
      <c r="L555" s="49">
        <v>0</v>
      </c>
      <c r="M555" s="49">
        <f>I555+L555</f>
        <v>0</v>
      </c>
      <c r="N555" s="49">
        <f>M555-H555</f>
        <v>0</v>
      </c>
      <c r="O555" s="50" t="str">
        <f>IF(H555=0,"No plan at start",M555/H555)</f>
        <v>No plan at start</v>
      </c>
    </row>
    <row r="556" spans="2:15" hidden="1" outlineLevel="2" x14ac:dyDescent="0.2">
      <c r="B556" s="49" t="s">
        <v>79</v>
      </c>
      <c r="C556" s="49" t="s">
        <v>56</v>
      </c>
      <c r="D556" s="49">
        <v>0</v>
      </c>
      <c r="E556" s="49">
        <v>0</v>
      </c>
      <c r="F556" s="49">
        <f>E556-D556</f>
        <v>0</v>
      </c>
      <c r="G556" s="50">
        <f>IF(D556=0,0,ABS(F556/D556))</f>
        <v>0</v>
      </c>
      <c r="H556" s="49">
        <v>0</v>
      </c>
      <c r="I556" s="49">
        <v>0</v>
      </c>
      <c r="J556" s="51" t="str">
        <f>IF(H556=0,"No plan at start",I556/H556)</f>
        <v>No plan at start</v>
      </c>
      <c r="K556" s="52">
        <f>H556-I556</f>
        <v>0</v>
      </c>
      <c r="L556" s="49">
        <v>0</v>
      </c>
      <c r="M556" s="49">
        <f>I556+L556</f>
        <v>0</v>
      </c>
      <c r="N556" s="49">
        <f>M556-H556</f>
        <v>0</v>
      </c>
      <c r="O556" s="50" t="str">
        <f>IF(H556=0,"No plan at start",M556/H556)</f>
        <v>No plan at start</v>
      </c>
    </row>
    <row r="557" spans="2:15" hidden="1" outlineLevel="2" x14ac:dyDescent="0.2">
      <c r="B557" s="49" t="s">
        <v>79</v>
      </c>
      <c r="C557" s="49" t="s">
        <v>57</v>
      </c>
      <c r="D557" s="49">
        <v>0</v>
      </c>
      <c r="E557" s="49">
        <v>0</v>
      </c>
      <c r="F557" s="49">
        <f>E557-D557</f>
        <v>0</v>
      </c>
      <c r="G557" s="50">
        <f>IF(D557=0,0,ABS(F557/D557))</f>
        <v>0</v>
      </c>
      <c r="H557" s="49">
        <v>0</v>
      </c>
      <c r="I557" s="49">
        <v>0</v>
      </c>
      <c r="J557" s="51" t="str">
        <f>IF(H557=0,"No plan at start",I557/H557)</f>
        <v>No plan at start</v>
      </c>
      <c r="K557" s="52">
        <f>H557-I557</f>
        <v>0</v>
      </c>
      <c r="L557" s="49">
        <v>0</v>
      </c>
      <c r="M557" s="49">
        <f>I557+L557</f>
        <v>0</v>
      </c>
      <c r="N557" s="49">
        <f>M557-H557</f>
        <v>0</v>
      </c>
      <c r="O557" s="50" t="str">
        <f>IF(H557=0,"No plan at start",M557/H557)</f>
        <v>No plan at start</v>
      </c>
    </row>
    <row r="558" spans="2:15" hidden="1" outlineLevel="2" x14ac:dyDescent="0.2">
      <c r="B558" s="49" t="s">
        <v>79</v>
      </c>
      <c r="C558" s="49" t="s">
        <v>58</v>
      </c>
      <c r="D558" s="49">
        <v>0</v>
      </c>
      <c r="E558" s="49">
        <v>0</v>
      </c>
      <c r="F558" s="49">
        <f>E558-D558</f>
        <v>0</v>
      </c>
      <c r="G558" s="50">
        <f>IF(D558=0,0,ABS(F558/D558))</f>
        <v>0</v>
      </c>
      <c r="H558" s="49">
        <v>0</v>
      </c>
      <c r="I558" s="49">
        <v>0</v>
      </c>
      <c r="J558" s="51" t="str">
        <f>IF(H558=0,"No plan at start",I558/H558)</f>
        <v>No plan at start</v>
      </c>
      <c r="K558" s="52">
        <f>H558-I558</f>
        <v>0</v>
      </c>
      <c r="L558" s="49">
        <v>0</v>
      </c>
      <c r="M558" s="49">
        <f>I558+L558</f>
        <v>0</v>
      </c>
      <c r="N558" s="49">
        <f>M558-H558</f>
        <v>0</v>
      </c>
      <c r="O558" s="50" t="str">
        <f>IF(H558=0,"No plan at start",M558/H558)</f>
        <v>No plan at start</v>
      </c>
    </row>
    <row r="559" spans="2:15" hidden="1" outlineLevel="2" x14ac:dyDescent="0.2">
      <c r="B559" s="49" t="s">
        <v>79</v>
      </c>
      <c r="C559" s="49" t="s">
        <v>59</v>
      </c>
      <c r="D559" s="49">
        <v>0</v>
      </c>
      <c r="E559" s="49">
        <v>0</v>
      </c>
      <c r="F559" s="49">
        <f>E559-D559</f>
        <v>0</v>
      </c>
      <c r="G559" s="50">
        <f>IF(D559=0,0,ABS(F559/D559))</f>
        <v>0</v>
      </c>
      <c r="H559" s="49">
        <v>0</v>
      </c>
      <c r="I559" s="49">
        <v>0</v>
      </c>
      <c r="J559" s="51" t="str">
        <f>IF(H559=0,"No plan at start",I559/H559)</f>
        <v>No plan at start</v>
      </c>
      <c r="K559" s="52">
        <f>H559-I559</f>
        <v>0</v>
      </c>
      <c r="L559" s="49">
        <v>0</v>
      </c>
      <c r="M559" s="49">
        <f>I559+L559</f>
        <v>0</v>
      </c>
      <c r="N559" s="49">
        <f>M559-H559</f>
        <v>0</v>
      </c>
      <c r="O559" s="50" t="str">
        <f>IF(H559=0,"No plan at start",M559/H559)</f>
        <v>No plan at start</v>
      </c>
    </row>
    <row r="560" spans="2:15" outlineLevel="1" collapsed="1" x14ac:dyDescent="0.2">
      <c r="B560" s="56" t="s">
        <v>118</v>
      </c>
      <c r="C560" s="49"/>
      <c r="D560" s="49">
        <f>SUBTOTAL(9,D552:D559)</f>
        <v>0</v>
      </c>
      <c r="E560" s="49">
        <f>SUBTOTAL(9,E552:E559)</f>
        <v>0</v>
      </c>
      <c r="F560" s="49">
        <f>SUBTOTAL(9,F552:F559)</f>
        <v>0</v>
      </c>
      <c r="G560" s="50">
        <f>IF(D560=0,0,ABS(F560/D560))</f>
        <v>0</v>
      </c>
      <c r="H560" s="49">
        <f>SUBTOTAL(9,H552:H559)</f>
        <v>2066.9584</v>
      </c>
      <c r="I560" s="49">
        <f>SUBTOTAL(9,I552:I559)</f>
        <v>939.12</v>
      </c>
      <c r="J560" s="51">
        <f>IF(H560=0,"No plan at start",I560/H560)</f>
        <v>0.45434876676763308</v>
      </c>
      <c r="K560" s="52">
        <f>SUBTOTAL(9,K552:K559)</f>
        <v>1127.8384000000001</v>
      </c>
      <c r="L560" s="49">
        <f>SUBTOTAL(9,L552:L559)</f>
        <v>0</v>
      </c>
      <c r="M560" s="49">
        <f>SUBTOTAL(9,M552:M559)</f>
        <v>939.12</v>
      </c>
      <c r="N560" s="49">
        <f>SUBTOTAL(9,N552:N559)</f>
        <v>-1127.8384000000001</v>
      </c>
      <c r="O560" s="50">
        <f>IF(H560=0,"No plan at start",M560/H560)</f>
        <v>0.45434876676763308</v>
      </c>
    </row>
    <row r="561" spans="2:15" hidden="1" outlineLevel="2" x14ac:dyDescent="0.2">
      <c r="B561" s="49" t="s">
        <v>80</v>
      </c>
      <c r="C561" s="49" t="s">
        <v>52</v>
      </c>
      <c r="D561" s="49">
        <v>894.4</v>
      </c>
      <c r="E561" s="49">
        <v>1721.7199999999998</v>
      </c>
      <c r="F561" s="49">
        <f>E561-D561</f>
        <v>827.31999999999982</v>
      </c>
      <c r="G561" s="50">
        <f>IF(D561=0,0,ABS(F561/D561))</f>
        <v>0.92499999999999982</v>
      </c>
      <c r="H561" s="49">
        <v>34166.080000000002</v>
      </c>
      <c r="I561" s="49">
        <v>60304.919999999925</v>
      </c>
      <c r="J561" s="51">
        <f>IF(H561=0,"No plan at start",I561/H561)</f>
        <v>1.7650523560209401</v>
      </c>
      <c r="K561" s="52">
        <f>H561-I561</f>
        <v>-26138.839999999924</v>
      </c>
      <c r="L561" s="49">
        <v>1788.8</v>
      </c>
      <c r="M561" s="49">
        <f>I561+L561</f>
        <v>62093.719999999928</v>
      </c>
      <c r="N561" s="49">
        <f>M561-H561</f>
        <v>27927.639999999927</v>
      </c>
      <c r="O561" s="50">
        <f>IF(H561=0,"No plan at start",M561/H561)</f>
        <v>1.8174083769633487</v>
      </c>
    </row>
    <row r="562" spans="2:15" hidden="1" outlineLevel="2" x14ac:dyDescent="0.2">
      <c r="B562" s="49" t="s">
        <v>80</v>
      </c>
      <c r="C562" s="49" t="s">
        <v>53</v>
      </c>
      <c r="D562" s="49">
        <v>0</v>
      </c>
      <c r="E562" s="49">
        <v>0</v>
      </c>
      <c r="F562" s="49">
        <f>E562-D562</f>
        <v>0</v>
      </c>
      <c r="G562" s="50">
        <f>IF(D562=0,0,ABS(F562/D562))</f>
        <v>0</v>
      </c>
      <c r="H562" s="49">
        <v>0</v>
      </c>
      <c r="I562" s="49">
        <v>0</v>
      </c>
      <c r="J562" s="51" t="str">
        <f>IF(H562=0,"No plan at start",I562/H562)</f>
        <v>No plan at start</v>
      </c>
      <c r="K562" s="52">
        <f>H562-I562</f>
        <v>0</v>
      </c>
      <c r="L562" s="49">
        <v>0</v>
      </c>
      <c r="M562" s="49">
        <f>I562+L562</f>
        <v>0</v>
      </c>
      <c r="N562" s="49">
        <f>M562-H562</f>
        <v>0</v>
      </c>
      <c r="O562" s="50" t="str">
        <f>IF(H562=0,"No plan at start",M562/H562)</f>
        <v>No plan at start</v>
      </c>
    </row>
    <row r="563" spans="2:15" hidden="1" outlineLevel="2" x14ac:dyDescent="0.2">
      <c r="B563" s="49" t="s">
        <v>80</v>
      </c>
      <c r="C563" s="49" t="s">
        <v>54</v>
      </c>
      <c r="D563" s="49">
        <v>0</v>
      </c>
      <c r="E563" s="49">
        <v>0</v>
      </c>
      <c r="F563" s="49">
        <f>E563-D563</f>
        <v>0</v>
      </c>
      <c r="G563" s="50">
        <f>IF(D563=0,0,ABS(F563/D563))</f>
        <v>0</v>
      </c>
      <c r="H563" s="49">
        <v>0</v>
      </c>
      <c r="I563" s="49">
        <v>0</v>
      </c>
      <c r="J563" s="51" t="str">
        <f>IF(H563=0,"No plan at start",I563/H563)</f>
        <v>No plan at start</v>
      </c>
      <c r="K563" s="52">
        <f>H563-I563</f>
        <v>0</v>
      </c>
      <c r="L563" s="49">
        <v>0</v>
      </c>
      <c r="M563" s="49">
        <f>I563+L563</f>
        <v>0</v>
      </c>
      <c r="N563" s="49">
        <f>M563-H563</f>
        <v>0</v>
      </c>
      <c r="O563" s="50" t="str">
        <f>IF(H563=0,"No plan at start",M563/H563)</f>
        <v>No plan at start</v>
      </c>
    </row>
    <row r="564" spans="2:15" hidden="1" outlineLevel="2" x14ac:dyDescent="0.2">
      <c r="B564" s="49" t="s">
        <v>80</v>
      </c>
      <c r="C564" s="49" t="s">
        <v>55</v>
      </c>
      <c r="D564" s="49">
        <v>0</v>
      </c>
      <c r="E564" s="49">
        <v>0</v>
      </c>
      <c r="F564" s="49">
        <f>E564-D564</f>
        <v>0</v>
      </c>
      <c r="G564" s="50">
        <f>IF(D564=0,0,ABS(F564/D564))</f>
        <v>0</v>
      </c>
      <c r="H564" s="49">
        <v>0</v>
      </c>
      <c r="I564" s="49">
        <v>0</v>
      </c>
      <c r="J564" s="51" t="str">
        <f>IF(H564=0,"No plan at start",I564/H564)</f>
        <v>No plan at start</v>
      </c>
      <c r="K564" s="52">
        <f>H564-I564</f>
        <v>0</v>
      </c>
      <c r="L564" s="49">
        <v>0</v>
      </c>
      <c r="M564" s="49">
        <f>I564+L564</f>
        <v>0</v>
      </c>
      <c r="N564" s="49">
        <f>M564-H564</f>
        <v>0</v>
      </c>
      <c r="O564" s="50" t="str">
        <f>IF(H564=0,"No plan at start",M564/H564)</f>
        <v>No plan at start</v>
      </c>
    </row>
    <row r="565" spans="2:15" hidden="1" outlineLevel="2" x14ac:dyDescent="0.2">
      <c r="B565" s="49" t="s">
        <v>80</v>
      </c>
      <c r="C565" s="49" t="s">
        <v>56</v>
      </c>
      <c r="D565" s="49">
        <v>0</v>
      </c>
      <c r="E565" s="49">
        <v>0</v>
      </c>
      <c r="F565" s="49">
        <f>E565-D565</f>
        <v>0</v>
      </c>
      <c r="G565" s="50">
        <f>IF(D565=0,0,ABS(F565/D565))</f>
        <v>0</v>
      </c>
      <c r="H565" s="49">
        <v>0</v>
      </c>
      <c r="I565" s="49">
        <v>0</v>
      </c>
      <c r="J565" s="51" t="str">
        <f>IF(H565=0,"No plan at start",I565/H565)</f>
        <v>No plan at start</v>
      </c>
      <c r="K565" s="52">
        <f>H565-I565</f>
        <v>0</v>
      </c>
      <c r="L565" s="49">
        <v>0</v>
      </c>
      <c r="M565" s="49">
        <f>I565+L565</f>
        <v>0</v>
      </c>
      <c r="N565" s="49">
        <f>M565-H565</f>
        <v>0</v>
      </c>
      <c r="O565" s="50" t="str">
        <f>IF(H565=0,"No plan at start",M565/H565)</f>
        <v>No plan at start</v>
      </c>
    </row>
    <row r="566" spans="2:15" hidden="1" outlineLevel="2" x14ac:dyDescent="0.2">
      <c r="B566" s="49" t="s">
        <v>80</v>
      </c>
      <c r="C566" s="49" t="s">
        <v>57</v>
      </c>
      <c r="D566" s="49">
        <v>0</v>
      </c>
      <c r="E566" s="49">
        <v>0</v>
      </c>
      <c r="F566" s="49">
        <f>E566-D566</f>
        <v>0</v>
      </c>
      <c r="G566" s="50">
        <f>IF(D566=0,0,ABS(F566/D566))</f>
        <v>0</v>
      </c>
      <c r="H566" s="49">
        <v>0</v>
      </c>
      <c r="I566" s="49">
        <v>0</v>
      </c>
      <c r="J566" s="51" t="str">
        <f>IF(H566=0,"No plan at start",I566/H566)</f>
        <v>No plan at start</v>
      </c>
      <c r="K566" s="52">
        <f>H566-I566</f>
        <v>0</v>
      </c>
      <c r="L566" s="49">
        <v>0</v>
      </c>
      <c r="M566" s="49">
        <f>I566+L566</f>
        <v>0</v>
      </c>
      <c r="N566" s="49">
        <f>M566-H566</f>
        <v>0</v>
      </c>
      <c r="O566" s="50" t="str">
        <f>IF(H566=0,"No plan at start",M566/H566)</f>
        <v>No plan at start</v>
      </c>
    </row>
    <row r="567" spans="2:15" hidden="1" outlineLevel="2" x14ac:dyDescent="0.2">
      <c r="B567" s="49" t="s">
        <v>80</v>
      </c>
      <c r="C567" s="49" t="s">
        <v>58</v>
      </c>
      <c r="D567" s="49">
        <v>0</v>
      </c>
      <c r="E567" s="49">
        <v>0</v>
      </c>
      <c r="F567" s="49">
        <f>E567-D567</f>
        <v>0</v>
      </c>
      <c r="G567" s="50">
        <f>IF(D567=0,0,ABS(F567/D567))</f>
        <v>0</v>
      </c>
      <c r="H567" s="49">
        <v>0</v>
      </c>
      <c r="I567" s="49">
        <v>0</v>
      </c>
      <c r="J567" s="51" t="str">
        <f>IF(H567=0,"No plan at start",I567/H567)</f>
        <v>No plan at start</v>
      </c>
      <c r="K567" s="52">
        <f>H567-I567</f>
        <v>0</v>
      </c>
      <c r="L567" s="49">
        <v>0</v>
      </c>
      <c r="M567" s="49">
        <f>I567+L567</f>
        <v>0</v>
      </c>
      <c r="N567" s="49">
        <f>M567-H567</f>
        <v>0</v>
      </c>
      <c r="O567" s="50" t="str">
        <f>IF(H567=0,"No plan at start",M567/H567)</f>
        <v>No plan at start</v>
      </c>
    </row>
    <row r="568" spans="2:15" hidden="1" outlineLevel="2" x14ac:dyDescent="0.2">
      <c r="B568" s="49" t="s">
        <v>80</v>
      </c>
      <c r="C568" s="49" t="s">
        <v>59</v>
      </c>
      <c r="D568" s="49">
        <v>0</v>
      </c>
      <c r="E568" s="49">
        <v>0</v>
      </c>
      <c r="F568" s="49">
        <f>E568-D568</f>
        <v>0</v>
      </c>
      <c r="G568" s="50">
        <f>IF(D568=0,0,ABS(F568/D568))</f>
        <v>0</v>
      </c>
      <c r="H568" s="49">
        <v>0</v>
      </c>
      <c r="I568" s="49">
        <v>0</v>
      </c>
      <c r="J568" s="51" t="str">
        <f>IF(H568=0,"No plan at start",I568/H568)</f>
        <v>No plan at start</v>
      </c>
      <c r="K568" s="52">
        <f>H568-I568</f>
        <v>0</v>
      </c>
      <c r="L568" s="49">
        <v>0</v>
      </c>
      <c r="M568" s="49">
        <f>I568+L568</f>
        <v>0</v>
      </c>
      <c r="N568" s="49">
        <f>M568-H568</f>
        <v>0</v>
      </c>
      <c r="O568" s="50" t="str">
        <f>IF(H568=0,"No plan at start",M568/H568)</f>
        <v>No plan at start</v>
      </c>
    </row>
    <row r="569" spans="2:15" outlineLevel="1" collapsed="1" x14ac:dyDescent="0.2">
      <c r="B569" s="56" t="s">
        <v>119</v>
      </c>
      <c r="C569" s="49"/>
      <c r="D569" s="49">
        <f>SUBTOTAL(9,D561:D568)</f>
        <v>894.4</v>
      </c>
      <c r="E569" s="49">
        <f>SUBTOTAL(9,E561:E568)</f>
        <v>1721.7199999999998</v>
      </c>
      <c r="F569" s="49">
        <f>SUBTOTAL(9,F561:F568)</f>
        <v>827.31999999999982</v>
      </c>
      <c r="G569" s="50">
        <f>IF(D569=0,0,ABS(F569/D569))</f>
        <v>0.92499999999999982</v>
      </c>
      <c r="H569" s="49">
        <f>SUBTOTAL(9,H561:H568)</f>
        <v>34166.080000000002</v>
      </c>
      <c r="I569" s="49">
        <f>SUBTOTAL(9,I561:I568)</f>
        <v>60304.919999999925</v>
      </c>
      <c r="J569" s="51">
        <f>IF(H569=0,"No plan at start",I569/H569)</f>
        <v>1.7650523560209401</v>
      </c>
      <c r="K569" s="52">
        <f>SUBTOTAL(9,K561:K568)</f>
        <v>-26138.839999999924</v>
      </c>
      <c r="L569" s="49">
        <f>SUBTOTAL(9,L561:L568)</f>
        <v>1788.8</v>
      </c>
      <c r="M569" s="49">
        <f>SUBTOTAL(9,M561:M568)</f>
        <v>62093.719999999928</v>
      </c>
      <c r="N569" s="49">
        <f>SUBTOTAL(9,N561:N568)</f>
        <v>27927.639999999927</v>
      </c>
      <c r="O569" s="50">
        <f>IF(H569=0,"No plan at start",M569/H569)</f>
        <v>1.8174083769633487</v>
      </c>
    </row>
    <row r="570" spans="2:15" hidden="1" outlineLevel="2" x14ac:dyDescent="0.2">
      <c r="B570" s="49" t="s">
        <v>81</v>
      </c>
      <c r="C570" s="49" t="s">
        <v>52</v>
      </c>
      <c r="D570" s="49">
        <v>0</v>
      </c>
      <c r="E570" s="49">
        <v>0</v>
      </c>
      <c r="F570" s="49">
        <f>E570-D570</f>
        <v>0</v>
      </c>
      <c r="G570" s="50">
        <f>IF(D570=0,0,ABS(F570/D570))</f>
        <v>0</v>
      </c>
      <c r="H570" s="49">
        <v>0</v>
      </c>
      <c r="I570" s="49">
        <v>0</v>
      </c>
      <c r="J570" s="51" t="str">
        <f>IF(H570=0,"No plan at start",I570/H570)</f>
        <v>No plan at start</v>
      </c>
      <c r="K570" s="52">
        <f>H570-I570</f>
        <v>0</v>
      </c>
      <c r="L570" s="49">
        <v>0</v>
      </c>
      <c r="M570" s="49">
        <f>I570+L570</f>
        <v>0</v>
      </c>
      <c r="N570" s="49">
        <f>M570-H570</f>
        <v>0</v>
      </c>
      <c r="O570" s="50" t="str">
        <f>IF(H570=0,"No plan at start",M570/H570)</f>
        <v>No plan at start</v>
      </c>
    </row>
    <row r="571" spans="2:15" hidden="1" outlineLevel="2" x14ac:dyDescent="0.2">
      <c r="B571" s="49" t="s">
        <v>81</v>
      </c>
      <c r="C571" s="49" t="s">
        <v>53</v>
      </c>
      <c r="D571" s="49">
        <v>0</v>
      </c>
      <c r="E571" s="49">
        <v>0</v>
      </c>
      <c r="F571" s="49">
        <f>E571-D571</f>
        <v>0</v>
      </c>
      <c r="G571" s="50">
        <f>IF(D571=0,0,ABS(F571/D571))</f>
        <v>0</v>
      </c>
      <c r="H571" s="49">
        <v>0</v>
      </c>
      <c r="I571" s="49">
        <v>0</v>
      </c>
      <c r="J571" s="51" t="str">
        <f>IF(H571=0,"No plan at start",I571/H571)</f>
        <v>No plan at start</v>
      </c>
      <c r="K571" s="52">
        <f>H571-I571</f>
        <v>0</v>
      </c>
      <c r="L571" s="49">
        <v>0</v>
      </c>
      <c r="M571" s="49">
        <f>I571+L571</f>
        <v>0</v>
      </c>
      <c r="N571" s="49">
        <f>M571-H571</f>
        <v>0</v>
      </c>
      <c r="O571" s="50" t="str">
        <f>IF(H571=0,"No plan at start",M571/H571)</f>
        <v>No plan at start</v>
      </c>
    </row>
    <row r="572" spans="2:15" hidden="1" outlineLevel="2" x14ac:dyDescent="0.2">
      <c r="B572" s="49" t="s">
        <v>81</v>
      </c>
      <c r="C572" s="49" t="s">
        <v>54</v>
      </c>
      <c r="D572" s="49">
        <v>0</v>
      </c>
      <c r="E572" s="49">
        <v>0</v>
      </c>
      <c r="F572" s="49">
        <f>E572-D572</f>
        <v>0</v>
      </c>
      <c r="G572" s="50">
        <f>IF(D572=0,0,ABS(F572/D572))</f>
        <v>0</v>
      </c>
      <c r="H572" s="49">
        <v>0</v>
      </c>
      <c r="I572" s="49">
        <v>0</v>
      </c>
      <c r="J572" s="51" t="str">
        <f>IF(H572=0,"No plan at start",I572/H572)</f>
        <v>No plan at start</v>
      </c>
      <c r="K572" s="52">
        <f>H572-I572</f>
        <v>0</v>
      </c>
      <c r="L572" s="49">
        <v>0</v>
      </c>
      <c r="M572" s="49">
        <f>I572+L572</f>
        <v>0</v>
      </c>
      <c r="N572" s="49">
        <f>M572-H572</f>
        <v>0</v>
      </c>
      <c r="O572" s="50" t="str">
        <f>IF(H572=0,"No plan at start",M572/H572)</f>
        <v>No plan at start</v>
      </c>
    </row>
    <row r="573" spans="2:15" hidden="1" outlineLevel="2" x14ac:dyDescent="0.2">
      <c r="B573" s="49" t="s">
        <v>81</v>
      </c>
      <c r="C573" s="49" t="s">
        <v>55</v>
      </c>
      <c r="D573" s="49">
        <v>0</v>
      </c>
      <c r="E573" s="49">
        <v>0</v>
      </c>
      <c r="F573" s="49">
        <f>E573-D573</f>
        <v>0</v>
      </c>
      <c r="G573" s="50">
        <f>IF(D573=0,0,ABS(F573/D573))</f>
        <v>0</v>
      </c>
      <c r="H573" s="49">
        <v>0</v>
      </c>
      <c r="I573" s="49">
        <v>0</v>
      </c>
      <c r="J573" s="51" t="str">
        <f>IF(H573=0,"No plan at start",I573/H573)</f>
        <v>No plan at start</v>
      </c>
      <c r="K573" s="52">
        <f>H573-I573</f>
        <v>0</v>
      </c>
      <c r="L573" s="49">
        <v>0</v>
      </c>
      <c r="M573" s="49">
        <f>I573+L573</f>
        <v>0</v>
      </c>
      <c r="N573" s="49">
        <f>M573-H573</f>
        <v>0</v>
      </c>
      <c r="O573" s="50" t="str">
        <f>IF(H573=0,"No plan at start",M573/H573)</f>
        <v>No plan at start</v>
      </c>
    </row>
    <row r="574" spans="2:15" hidden="1" outlineLevel="2" x14ac:dyDescent="0.2">
      <c r="B574" s="49" t="s">
        <v>81</v>
      </c>
      <c r="C574" s="49" t="s">
        <v>56</v>
      </c>
      <c r="D574" s="49">
        <v>0</v>
      </c>
      <c r="E574" s="49">
        <v>0</v>
      </c>
      <c r="F574" s="49">
        <f>E574-D574</f>
        <v>0</v>
      </c>
      <c r="G574" s="50">
        <f>IF(D574=0,0,ABS(F574/D574))</f>
        <v>0</v>
      </c>
      <c r="H574" s="49">
        <v>0</v>
      </c>
      <c r="I574" s="49">
        <v>0</v>
      </c>
      <c r="J574" s="51" t="str">
        <f>IF(H574=0,"No plan at start",I574/H574)</f>
        <v>No plan at start</v>
      </c>
      <c r="K574" s="52">
        <f>H574-I574</f>
        <v>0</v>
      </c>
      <c r="L574" s="49">
        <v>0</v>
      </c>
      <c r="M574" s="49">
        <f>I574+L574</f>
        <v>0</v>
      </c>
      <c r="N574" s="49">
        <f>M574-H574</f>
        <v>0</v>
      </c>
      <c r="O574" s="50" t="str">
        <f>IF(H574=0,"No plan at start",M574/H574)</f>
        <v>No plan at start</v>
      </c>
    </row>
    <row r="575" spans="2:15" hidden="1" outlineLevel="2" x14ac:dyDescent="0.2">
      <c r="B575" s="49" t="s">
        <v>81</v>
      </c>
      <c r="C575" s="49" t="s">
        <v>57</v>
      </c>
      <c r="D575" s="49">
        <v>0</v>
      </c>
      <c r="E575" s="49">
        <v>0</v>
      </c>
      <c r="F575" s="49">
        <f>E575-D575</f>
        <v>0</v>
      </c>
      <c r="G575" s="50">
        <f>IF(D575=0,0,ABS(F575/D575))</f>
        <v>0</v>
      </c>
      <c r="H575" s="49">
        <v>0</v>
      </c>
      <c r="I575" s="49">
        <v>0</v>
      </c>
      <c r="J575" s="51" t="str">
        <f>IF(H575=0,"No plan at start",I575/H575)</f>
        <v>No plan at start</v>
      </c>
      <c r="K575" s="52">
        <f>H575-I575</f>
        <v>0</v>
      </c>
      <c r="L575" s="49">
        <v>0</v>
      </c>
      <c r="M575" s="49">
        <f>I575+L575</f>
        <v>0</v>
      </c>
      <c r="N575" s="49">
        <f>M575-H575</f>
        <v>0</v>
      </c>
      <c r="O575" s="50" t="str">
        <f>IF(H575=0,"No plan at start",M575/H575)</f>
        <v>No plan at start</v>
      </c>
    </row>
    <row r="576" spans="2:15" hidden="1" outlineLevel="2" x14ac:dyDescent="0.2">
      <c r="B576" s="49" t="s">
        <v>81</v>
      </c>
      <c r="C576" s="49" t="s">
        <v>58</v>
      </c>
      <c r="D576" s="49">
        <v>0</v>
      </c>
      <c r="E576" s="49">
        <v>0</v>
      </c>
      <c r="F576" s="49">
        <f>E576-D576</f>
        <v>0</v>
      </c>
      <c r="G576" s="50">
        <f>IF(D576=0,0,ABS(F576/D576))</f>
        <v>0</v>
      </c>
      <c r="H576" s="49">
        <v>0</v>
      </c>
      <c r="I576" s="49">
        <v>0</v>
      </c>
      <c r="J576" s="51" t="str">
        <f>IF(H576=0,"No plan at start",I576/H576)</f>
        <v>No plan at start</v>
      </c>
      <c r="K576" s="52">
        <f>H576-I576</f>
        <v>0</v>
      </c>
      <c r="L576" s="49">
        <v>0</v>
      </c>
      <c r="M576" s="49">
        <f>I576+L576</f>
        <v>0</v>
      </c>
      <c r="N576" s="49">
        <f>M576-H576</f>
        <v>0</v>
      </c>
      <c r="O576" s="50" t="str">
        <f>IF(H576=0,"No plan at start",M576/H576)</f>
        <v>No plan at start</v>
      </c>
    </row>
    <row r="577" spans="2:15" hidden="1" outlineLevel="2" x14ac:dyDescent="0.2">
      <c r="B577" s="49" t="s">
        <v>81</v>
      </c>
      <c r="C577" s="49" t="s">
        <v>59</v>
      </c>
      <c r="D577" s="49">
        <v>0</v>
      </c>
      <c r="E577" s="49">
        <v>0</v>
      </c>
      <c r="F577" s="49">
        <f>E577-D577</f>
        <v>0</v>
      </c>
      <c r="G577" s="50">
        <f>IF(D577=0,0,ABS(F577/D577))</f>
        <v>0</v>
      </c>
      <c r="H577" s="49">
        <v>0</v>
      </c>
      <c r="I577" s="49">
        <v>0</v>
      </c>
      <c r="J577" s="51" t="str">
        <f>IF(H577=0,"No plan at start",I577/H577)</f>
        <v>No plan at start</v>
      </c>
      <c r="K577" s="52">
        <f>H577-I577</f>
        <v>0</v>
      </c>
      <c r="L577" s="49">
        <v>0</v>
      </c>
      <c r="M577" s="49">
        <f>I577+L577</f>
        <v>0</v>
      </c>
      <c r="N577" s="49">
        <f>M577-H577</f>
        <v>0</v>
      </c>
      <c r="O577" s="50" t="str">
        <f>IF(H577=0,"No plan at start",M577/H577)</f>
        <v>No plan at start</v>
      </c>
    </row>
    <row r="578" spans="2:15" outlineLevel="1" collapsed="1" x14ac:dyDescent="0.2">
      <c r="B578" s="56" t="s">
        <v>120</v>
      </c>
      <c r="C578" s="49"/>
      <c r="D578" s="49">
        <f>SUBTOTAL(9,D570:D577)</f>
        <v>0</v>
      </c>
      <c r="E578" s="49">
        <f>SUBTOTAL(9,E570:E577)</f>
        <v>0</v>
      </c>
      <c r="F578" s="49">
        <f>SUBTOTAL(9,F570:F577)</f>
        <v>0</v>
      </c>
      <c r="G578" s="50">
        <f>IF(D578=0,0,ABS(F578/D578))</f>
        <v>0</v>
      </c>
      <c r="H578" s="49">
        <f>SUBTOTAL(9,H570:H577)</f>
        <v>0</v>
      </c>
      <c r="I578" s="49">
        <f>SUBTOTAL(9,I570:I577)</f>
        <v>0</v>
      </c>
      <c r="J578" s="51" t="str">
        <f>IF(H578=0,"No plan at start",I578/H578)</f>
        <v>No plan at start</v>
      </c>
      <c r="K578" s="52">
        <f>SUBTOTAL(9,K570:K577)</f>
        <v>0</v>
      </c>
      <c r="L578" s="49">
        <f>SUBTOTAL(9,L570:L577)</f>
        <v>0</v>
      </c>
      <c r="M578" s="49">
        <f>SUBTOTAL(9,M570:M577)</f>
        <v>0</v>
      </c>
      <c r="N578" s="49">
        <f>SUBTOTAL(9,N570:N577)</f>
        <v>0</v>
      </c>
      <c r="O578" s="50" t="str">
        <f>IF(H578=0,"No plan at start",M578/H578)</f>
        <v>No plan at start</v>
      </c>
    </row>
    <row r="579" spans="2:15" hidden="1" outlineLevel="2" x14ac:dyDescent="0.2">
      <c r="B579" s="49" t="s">
        <v>82</v>
      </c>
      <c r="C579" s="49" t="s">
        <v>52</v>
      </c>
      <c r="D579" s="49">
        <v>0</v>
      </c>
      <c r="E579" s="49">
        <v>0</v>
      </c>
      <c r="F579" s="49">
        <f>E579-D579</f>
        <v>0</v>
      </c>
      <c r="G579" s="50">
        <f>IF(D579=0,0,ABS(F579/D579))</f>
        <v>0</v>
      </c>
      <c r="H579" s="49">
        <v>0</v>
      </c>
      <c r="I579" s="49">
        <v>0</v>
      </c>
      <c r="J579" s="51" t="str">
        <f>IF(H579=0,"No plan at start",I579/H579)</f>
        <v>No plan at start</v>
      </c>
      <c r="K579" s="52">
        <f>H579-I579</f>
        <v>0</v>
      </c>
      <c r="L579" s="49">
        <v>0</v>
      </c>
      <c r="M579" s="49">
        <f>I579+L579</f>
        <v>0</v>
      </c>
      <c r="N579" s="49">
        <f>M579-H579</f>
        <v>0</v>
      </c>
      <c r="O579" s="50" t="str">
        <f>IF(H579=0,"No plan at start",M579/H579)</f>
        <v>No plan at start</v>
      </c>
    </row>
    <row r="580" spans="2:15" hidden="1" outlineLevel="2" x14ac:dyDescent="0.2">
      <c r="B580" s="49" t="s">
        <v>82</v>
      </c>
      <c r="C580" s="49" t="s">
        <v>53</v>
      </c>
      <c r="D580" s="49">
        <v>0</v>
      </c>
      <c r="E580" s="49">
        <v>0</v>
      </c>
      <c r="F580" s="49">
        <f>E580-D580</f>
        <v>0</v>
      </c>
      <c r="G580" s="50">
        <f>IF(D580=0,0,ABS(F580/D580))</f>
        <v>0</v>
      </c>
      <c r="H580" s="49">
        <v>0</v>
      </c>
      <c r="I580" s="49">
        <v>0</v>
      </c>
      <c r="J580" s="51" t="str">
        <f>IF(H580=0,"No plan at start",I580/H580)</f>
        <v>No plan at start</v>
      </c>
      <c r="K580" s="52">
        <f>H580-I580</f>
        <v>0</v>
      </c>
      <c r="L580" s="49">
        <v>0</v>
      </c>
      <c r="M580" s="49">
        <f>I580+L580</f>
        <v>0</v>
      </c>
      <c r="N580" s="49">
        <f>M580-H580</f>
        <v>0</v>
      </c>
      <c r="O580" s="50" t="str">
        <f>IF(H580=0,"No plan at start",M580/H580)</f>
        <v>No plan at start</v>
      </c>
    </row>
    <row r="581" spans="2:15" hidden="1" outlineLevel="2" x14ac:dyDescent="0.2">
      <c r="B581" s="49" t="s">
        <v>82</v>
      </c>
      <c r="C581" s="49" t="s">
        <v>54</v>
      </c>
      <c r="D581" s="49">
        <v>0</v>
      </c>
      <c r="E581" s="49">
        <v>0</v>
      </c>
      <c r="F581" s="49">
        <f>E581-D581</f>
        <v>0</v>
      </c>
      <c r="G581" s="50">
        <f>IF(D581=0,0,ABS(F581/D581))</f>
        <v>0</v>
      </c>
      <c r="H581" s="49">
        <v>0</v>
      </c>
      <c r="I581" s="49">
        <v>0</v>
      </c>
      <c r="J581" s="51" t="str">
        <f>IF(H581=0,"No plan at start",I581/H581)</f>
        <v>No plan at start</v>
      </c>
      <c r="K581" s="52">
        <f>H581-I581</f>
        <v>0</v>
      </c>
      <c r="L581" s="49">
        <v>0</v>
      </c>
      <c r="M581" s="49">
        <f>I581+L581</f>
        <v>0</v>
      </c>
      <c r="N581" s="49">
        <f>M581-H581</f>
        <v>0</v>
      </c>
      <c r="O581" s="50" t="str">
        <f>IF(H581=0,"No plan at start",M581/H581)</f>
        <v>No plan at start</v>
      </c>
    </row>
    <row r="582" spans="2:15" hidden="1" outlineLevel="2" x14ac:dyDescent="0.2">
      <c r="B582" s="49" t="s">
        <v>82</v>
      </c>
      <c r="C582" s="49" t="s">
        <v>55</v>
      </c>
      <c r="D582" s="49">
        <v>0</v>
      </c>
      <c r="E582" s="49">
        <v>0</v>
      </c>
      <c r="F582" s="49">
        <f>E582-D582</f>
        <v>0</v>
      </c>
      <c r="G582" s="50">
        <f>IF(D582=0,0,ABS(F582/D582))</f>
        <v>0</v>
      </c>
      <c r="H582" s="49">
        <v>0</v>
      </c>
      <c r="I582" s="49">
        <v>0</v>
      </c>
      <c r="J582" s="51" t="str">
        <f>IF(H582=0,"No plan at start",I582/H582)</f>
        <v>No plan at start</v>
      </c>
      <c r="K582" s="52">
        <f>H582-I582</f>
        <v>0</v>
      </c>
      <c r="L582" s="49">
        <v>0</v>
      </c>
      <c r="M582" s="49">
        <f>I582+L582</f>
        <v>0</v>
      </c>
      <c r="N582" s="49">
        <f>M582-H582</f>
        <v>0</v>
      </c>
      <c r="O582" s="50" t="str">
        <f>IF(H582=0,"No plan at start",M582/H582)</f>
        <v>No plan at start</v>
      </c>
    </row>
    <row r="583" spans="2:15" hidden="1" outlineLevel="2" x14ac:dyDescent="0.2">
      <c r="B583" s="49" t="s">
        <v>82</v>
      </c>
      <c r="C583" s="49" t="s">
        <v>56</v>
      </c>
      <c r="D583" s="49">
        <v>0</v>
      </c>
      <c r="E583" s="49">
        <v>0</v>
      </c>
      <c r="F583" s="49">
        <f>E583-D583</f>
        <v>0</v>
      </c>
      <c r="G583" s="50">
        <f>IF(D583=0,0,ABS(F583/D583))</f>
        <v>0</v>
      </c>
      <c r="H583" s="49">
        <v>0</v>
      </c>
      <c r="I583" s="49">
        <v>0</v>
      </c>
      <c r="J583" s="51" t="str">
        <f>IF(H583=0,"No plan at start",I583/H583)</f>
        <v>No plan at start</v>
      </c>
      <c r="K583" s="52">
        <f>H583-I583</f>
        <v>0</v>
      </c>
      <c r="L583" s="49">
        <v>0</v>
      </c>
      <c r="M583" s="49">
        <f>I583+L583</f>
        <v>0</v>
      </c>
      <c r="N583" s="49">
        <f>M583-H583</f>
        <v>0</v>
      </c>
      <c r="O583" s="50" t="str">
        <f>IF(H583=0,"No plan at start",M583/H583)</f>
        <v>No plan at start</v>
      </c>
    </row>
    <row r="584" spans="2:15" hidden="1" outlineLevel="2" x14ac:dyDescent="0.2">
      <c r="B584" s="49" t="s">
        <v>82</v>
      </c>
      <c r="C584" s="49" t="s">
        <v>57</v>
      </c>
      <c r="D584" s="49">
        <v>0</v>
      </c>
      <c r="E584" s="49">
        <v>0</v>
      </c>
      <c r="F584" s="49">
        <f>E584-D584</f>
        <v>0</v>
      </c>
      <c r="G584" s="50">
        <f>IF(D584=0,0,ABS(F584/D584))</f>
        <v>0</v>
      </c>
      <c r="H584" s="49">
        <v>0</v>
      </c>
      <c r="I584" s="49">
        <v>0</v>
      </c>
      <c r="J584" s="51" t="str">
        <f>IF(H584=0,"No plan at start",I584/H584)</f>
        <v>No plan at start</v>
      </c>
      <c r="K584" s="52">
        <f>H584-I584</f>
        <v>0</v>
      </c>
      <c r="L584" s="49">
        <v>0</v>
      </c>
      <c r="M584" s="49">
        <f>I584+L584</f>
        <v>0</v>
      </c>
      <c r="N584" s="49">
        <f>M584-H584</f>
        <v>0</v>
      </c>
      <c r="O584" s="50" t="str">
        <f>IF(H584=0,"No plan at start",M584/H584)</f>
        <v>No plan at start</v>
      </c>
    </row>
    <row r="585" spans="2:15" hidden="1" outlineLevel="2" x14ac:dyDescent="0.2">
      <c r="B585" s="49" t="s">
        <v>82</v>
      </c>
      <c r="C585" s="49" t="s">
        <v>58</v>
      </c>
      <c r="D585" s="49">
        <v>0</v>
      </c>
      <c r="E585" s="49">
        <v>0</v>
      </c>
      <c r="F585" s="49">
        <f>E585-D585</f>
        <v>0</v>
      </c>
      <c r="G585" s="50">
        <f>IF(D585=0,0,ABS(F585/D585))</f>
        <v>0</v>
      </c>
      <c r="H585" s="49">
        <v>0</v>
      </c>
      <c r="I585" s="49">
        <v>0</v>
      </c>
      <c r="J585" s="51" t="str">
        <f>IF(H585=0,"No plan at start",I585/H585)</f>
        <v>No plan at start</v>
      </c>
      <c r="K585" s="52">
        <f>H585-I585</f>
        <v>0</v>
      </c>
      <c r="L585" s="49">
        <v>0</v>
      </c>
      <c r="M585" s="49">
        <f>I585+L585</f>
        <v>0</v>
      </c>
      <c r="N585" s="49">
        <f>M585-H585</f>
        <v>0</v>
      </c>
      <c r="O585" s="50" t="str">
        <f>IF(H585=0,"No plan at start",M585/H585)</f>
        <v>No plan at start</v>
      </c>
    </row>
    <row r="586" spans="2:15" hidden="1" outlineLevel="2" x14ac:dyDescent="0.2">
      <c r="B586" s="49" t="s">
        <v>82</v>
      </c>
      <c r="C586" s="49" t="s">
        <v>59</v>
      </c>
      <c r="D586" s="49">
        <v>0</v>
      </c>
      <c r="E586" s="49">
        <v>0</v>
      </c>
      <c r="F586" s="49">
        <f>E586-D586</f>
        <v>0</v>
      </c>
      <c r="G586" s="50">
        <f>IF(D586=0,0,ABS(F586/D586))</f>
        <v>0</v>
      </c>
      <c r="H586" s="49">
        <v>0</v>
      </c>
      <c r="I586" s="49">
        <v>0</v>
      </c>
      <c r="J586" s="51" t="str">
        <f>IF(H586=0,"No plan at start",I586/H586)</f>
        <v>No plan at start</v>
      </c>
      <c r="K586" s="52">
        <f>H586-I586</f>
        <v>0</v>
      </c>
      <c r="L586" s="49">
        <v>0</v>
      </c>
      <c r="M586" s="49">
        <f>I586+L586</f>
        <v>0</v>
      </c>
      <c r="N586" s="49">
        <f>M586-H586</f>
        <v>0</v>
      </c>
      <c r="O586" s="50" t="str">
        <f>IF(H586=0,"No plan at start",M586/H586)</f>
        <v>No plan at start</v>
      </c>
    </row>
    <row r="587" spans="2:15" outlineLevel="1" collapsed="1" x14ac:dyDescent="0.2">
      <c r="B587" s="56" t="s">
        <v>121</v>
      </c>
      <c r="C587" s="49"/>
      <c r="D587" s="49">
        <f>SUBTOTAL(9,D579:D586)</f>
        <v>0</v>
      </c>
      <c r="E587" s="49">
        <f>SUBTOTAL(9,E579:E586)</f>
        <v>0</v>
      </c>
      <c r="F587" s="49">
        <f>SUBTOTAL(9,F579:F586)</f>
        <v>0</v>
      </c>
      <c r="G587" s="50">
        <f>IF(D587=0,0,ABS(F587/D587))</f>
        <v>0</v>
      </c>
      <c r="H587" s="49">
        <f>SUBTOTAL(9,H579:H586)</f>
        <v>0</v>
      </c>
      <c r="I587" s="49">
        <f>SUBTOTAL(9,I579:I586)</f>
        <v>0</v>
      </c>
      <c r="J587" s="51" t="str">
        <f>IF(H587=0,"No plan at start",I587/H587)</f>
        <v>No plan at start</v>
      </c>
      <c r="K587" s="52">
        <f>SUBTOTAL(9,K579:K586)</f>
        <v>0</v>
      </c>
      <c r="L587" s="49">
        <f>SUBTOTAL(9,L579:L586)</f>
        <v>0</v>
      </c>
      <c r="M587" s="49">
        <f>SUBTOTAL(9,M579:M586)</f>
        <v>0</v>
      </c>
      <c r="N587" s="49">
        <f>SUBTOTAL(9,N579:N586)</f>
        <v>0</v>
      </c>
      <c r="O587" s="50" t="str">
        <f>IF(H587=0,"No plan at start",M587/H587)</f>
        <v>No plan at start</v>
      </c>
    </row>
    <row r="588" spans="2:15" hidden="1" outlineLevel="2" x14ac:dyDescent="0.2">
      <c r="B588" s="49" t="s">
        <v>83</v>
      </c>
      <c r="C588" s="49" t="s">
        <v>52</v>
      </c>
      <c r="D588" s="49">
        <v>0</v>
      </c>
      <c r="E588" s="49">
        <v>0</v>
      </c>
      <c r="F588" s="49">
        <f>E588-D588</f>
        <v>0</v>
      </c>
      <c r="G588" s="50">
        <f>IF(D588=0,0,ABS(F588/D588))</f>
        <v>0</v>
      </c>
      <c r="H588" s="49">
        <v>0</v>
      </c>
      <c r="I588" s="49">
        <v>0</v>
      </c>
      <c r="J588" s="51" t="str">
        <f>IF(H588=0,"No plan at start",I588/H588)</f>
        <v>No plan at start</v>
      </c>
      <c r="K588" s="52">
        <f>H588-I588</f>
        <v>0</v>
      </c>
      <c r="L588" s="49">
        <v>0</v>
      </c>
      <c r="M588" s="49">
        <f>I588+L588</f>
        <v>0</v>
      </c>
      <c r="N588" s="49">
        <f>M588-H588</f>
        <v>0</v>
      </c>
      <c r="O588" s="50" t="str">
        <f>IF(H588=0,"No plan at start",M588/H588)</f>
        <v>No plan at start</v>
      </c>
    </row>
    <row r="589" spans="2:15" hidden="1" outlineLevel="2" x14ac:dyDescent="0.2">
      <c r="B589" s="49" t="s">
        <v>83</v>
      </c>
      <c r="C589" s="49" t="s">
        <v>53</v>
      </c>
      <c r="D589" s="49">
        <v>0</v>
      </c>
      <c r="E589" s="49">
        <v>0</v>
      </c>
      <c r="F589" s="49">
        <f>E589-D589</f>
        <v>0</v>
      </c>
      <c r="G589" s="50">
        <f>IF(D589=0,0,ABS(F589/D589))</f>
        <v>0</v>
      </c>
      <c r="H589" s="49">
        <v>0</v>
      </c>
      <c r="I589" s="49">
        <v>0</v>
      </c>
      <c r="J589" s="51" t="str">
        <f>IF(H589=0,"No plan at start",I589/H589)</f>
        <v>No plan at start</v>
      </c>
      <c r="K589" s="52">
        <f>H589-I589</f>
        <v>0</v>
      </c>
      <c r="L589" s="49">
        <v>0</v>
      </c>
      <c r="M589" s="49">
        <f>I589+L589</f>
        <v>0</v>
      </c>
      <c r="N589" s="49">
        <f>M589-H589</f>
        <v>0</v>
      </c>
      <c r="O589" s="50" t="str">
        <f>IF(H589=0,"No plan at start",M589/H589)</f>
        <v>No plan at start</v>
      </c>
    </row>
    <row r="590" spans="2:15" hidden="1" outlineLevel="2" x14ac:dyDescent="0.2">
      <c r="B590" s="49" t="s">
        <v>83</v>
      </c>
      <c r="C590" s="49" t="s">
        <v>54</v>
      </c>
      <c r="D590" s="49">
        <v>0</v>
      </c>
      <c r="E590" s="49">
        <v>0</v>
      </c>
      <c r="F590" s="49">
        <f>E590-D590</f>
        <v>0</v>
      </c>
      <c r="G590" s="50">
        <f>IF(D590=0,0,ABS(F590/D590))</f>
        <v>0</v>
      </c>
      <c r="H590" s="49">
        <v>0</v>
      </c>
      <c r="I590" s="49">
        <v>0</v>
      </c>
      <c r="J590" s="51" t="str">
        <f>IF(H590=0,"No plan at start",I590/H590)</f>
        <v>No plan at start</v>
      </c>
      <c r="K590" s="52">
        <f>H590-I590</f>
        <v>0</v>
      </c>
      <c r="L590" s="49">
        <v>0</v>
      </c>
      <c r="M590" s="49">
        <f>I590+L590</f>
        <v>0</v>
      </c>
      <c r="N590" s="49">
        <f>M590-H590</f>
        <v>0</v>
      </c>
      <c r="O590" s="50" t="str">
        <f>IF(H590=0,"No plan at start",M590/H590)</f>
        <v>No plan at start</v>
      </c>
    </row>
    <row r="591" spans="2:15" hidden="1" outlineLevel="2" x14ac:dyDescent="0.2">
      <c r="B591" s="49" t="s">
        <v>83</v>
      </c>
      <c r="C591" s="49" t="s">
        <v>55</v>
      </c>
      <c r="D591" s="49">
        <v>0</v>
      </c>
      <c r="E591" s="49">
        <v>0</v>
      </c>
      <c r="F591" s="49">
        <f>E591-D591</f>
        <v>0</v>
      </c>
      <c r="G591" s="50">
        <f>IF(D591=0,0,ABS(F591/D591))</f>
        <v>0</v>
      </c>
      <c r="H591" s="49">
        <v>0</v>
      </c>
      <c r="I591" s="49">
        <v>0</v>
      </c>
      <c r="J591" s="51" t="str">
        <f>IF(H591=0,"No plan at start",I591/H591)</f>
        <v>No plan at start</v>
      </c>
      <c r="K591" s="52">
        <f>H591-I591</f>
        <v>0</v>
      </c>
      <c r="L591" s="49">
        <v>0</v>
      </c>
      <c r="M591" s="49">
        <f>I591+L591</f>
        <v>0</v>
      </c>
      <c r="N591" s="49">
        <f>M591-H591</f>
        <v>0</v>
      </c>
      <c r="O591" s="50" t="str">
        <f>IF(H591=0,"No plan at start",M591/H591)</f>
        <v>No plan at start</v>
      </c>
    </row>
    <row r="592" spans="2:15" hidden="1" outlineLevel="2" x14ac:dyDescent="0.2">
      <c r="B592" s="49" t="s">
        <v>83</v>
      </c>
      <c r="C592" s="49" t="s">
        <v>56</v>
      </c>
      <c r="D592" s="49">
        <v>0</v>
      </c>
      <c r="E592" s="49">
        <v>0</v>
      </c>
      <c r="F592" s="49">
        <f>E592-D592</f>
        <v>0</v>
      </c>
      <c r="G592" s="50">
        <f>IF(D592=0,0,ABS(F592/D592))</f>
        <v>0</v>
      </c>
      <c r="H592" s="49">
        <v>0</v>
      </c>
      <c r="I592" s="49">
        <v>0</v>
      </c>
      <c r="J592" s="51" t="str">
        <f>IF(H592=0,"No plan at start",I592/H592)</f>
        <v>No plan at start</v>
      </c>
      <c r="K592" s="52">
        <f>H592-I592</f>
        <v>0</v>
      </c>
      <c r="L592" s="49">
        <v>0</v>
      </c>
      <c r="M592" s="49">
        <f>I592+L592</f>
        <v>0</v>
      </c>
      <c r="N592" s="49">
        <f>M592-H592</f>
        <v>0</v>
      </c>
      <c r="O592" s="50" t="str">
        <f>IF(H592=0,"No plan at start",M592/H592)</f>
        <v>No plan at start</v>
      </c>
    </row>
    <row r="593" spans="2:15" hidden="1" outlineLevel="2" x14ac:dyDescent="0.2">
      <c r="B593" s="49" t="s">
        <v>83</v>
      </c>
      <c r="C593" s="49" t="s">
        <v>57</v>
      </c>
      <c r="D593" s="49">
        <v>0</v>
      </c>
      <c r="E593" s="49">
        <v>0</v>
      </c>
      <c r="F593" s="49">
        <f>E593-D593</f>
        <v>0</v>
      </c>
      <c r="G593" s="50">
        <f>IF(D593=0,0,ABS(F593/D593))</f>
        <v>0</v>
      </c>
      <c r="H593" s="49">
        <v>0</v>
      </c>
      <c r="I593" s="49">
        <v>0</v>
      </c>
      <c r="J593" s="51" t="str">
        <f>IF(H593=0,"No plan at start",I593/H593)</f>
        <v>No plan at start</v>
      </c>
      <c r="K593" s="52">
        <f>H593-I593</f>
        <v>0</v>
      </c>
      <c r="L593" s="49">
        <v>0</v>
      </c>
      <c r="M593" s="49">
        <f>I593+L593</f>
        <v>0</v>
      </c>
      <c r="N593" s="49">
        <f>M593-H593</f>
        <v>0</v>
      </c>
      <c r="O593" s="50" t="str">
        <f>IF(H593=0,"No plan at start",M593/H593)</f>
        <v>No plan at start</v>
      </c>
    </row>
    <row r="594" spans="2:15" hidden="1" outlineLevel="2" x14ac:dyDescent="0.2">
      <c r="B594" s="49" t="s">
        <v>83</v>
      </c>
      <c r="C594" s="49" t="s">
        <v>58</v>
      </c>
      <c r="D594" s="49">
        <v>0</v>
      </c>
      <c r="E594" s="49">
        <v>0</v>
      </c>
      <c r="F594" s="49">
        <f>E594-D594</f>
        <v>0</v>
      </c>
      <c r="G594" s="50">
        <f>IF(D594=0,0,ABS(F594/D594))</f>
        <v>0</v>
      </c>
      <c r="H594" s="49">
        <v>0</v>
      </c>
      <c r="I594" s="49">
        <v>0</v>
      </c>
      <c r="J594" s="51" t="str">
        <f>IF(H594=0,"No plan at start",I594/H594)</f>
        <v>No plan at start</v>
      </c>
      <c r="K594" s="52">
        <f>H594-I594</f>
        <v>0</v>
      </c>
      <c r="L594" s="49">
        <v>0</v>
      </c>
      <c r="M594" s="49">
        <f>I594+L594</f>
        <v>0</v>
      </c>
      <c r="N594" s="49">
        <f>M594-H594</f>
        <v>0</v>
      </c>
      <c r="O594" s="50" t="str">
        <f>IF(H594=0,"No plan at start",M594/H594)</f>
        <v>No plan at start</v>
      </c>
    </row>
    <row r="595" spans="2:15" hidden="1" outlineLevel="2" x14ac:dyDescent="0.2">
      <c r="B595" s="49" t="s">
        <v>83</v>
      </c>
      <c r="C595" s="49" t="s">
        <v>59</v>
      </c>
      <c r="D595" s="49">
        <v>0</v>
      </c>
      <c r="E595" s="49">
        <v>0</v>
      </c>
      <c r="F595" s="49">
        <f>E595-D595</f>
        <v>0</v>
      </c>
      <c r="G595" s="50">
        <f>IF(D595=0,0,ABS(F595/D595))</f>
        <v>0</v>
      </c>
      <c r="H595" s="49">
        <v>0</v>
      </c>
      <c r="I595" s="49">
        <v>0</v>
      </c>
      <c r="J595" s="51" t="str">
        <f>IF(H595=0,"No plan at start",I595/H595)</f>
        <v>No plan at start</v>
      </c>
      <c r="K595" s="52">
        <f>H595-I595</f>
        <v>0</v>
      </c>
      <c r="L595" s="49">
        <v>0</v>
      </c>
      <c r="M595" s="49">
        <f>I595+L595</f>
        <v>0</v>
      </c>
      <c r="N595" s="49">
        <f>M595-H595</f>
        <v>0</v>
      </c>
      <c r="O595" s="50" t="str">
        <f>IF(H595=0,"No plan at start",M595/H595)</f>
        <v>No plan at start</v>
      </c>
    </row>
    <row r="596" spans="2:15" outlineLevel="1" collapsed="1" x14ac:dyDescent="0.2">
      <c r="B596" s="56" t="s">
        <v>122</v>
      </c>
      <c r="C596" s="49"/>
      <c r="D596" s="49">
        <f>SUBTOTAL(9,D588:D595)</f>
        <v>0</v>
      </c>
      <c r="E596" s="49">
        <f>SUBTOTAL(9,E588:E595)</f>
        <v>0</v>
      </c>
      <c r="F596" s="49">
        <f>SUBTOTAL(9,F588:F595)</f>
        <v>0</v>
      </c>
      <c r="G596" s="50">
        <f>IF(D596=0,0,ABS(F596/D596))</f>
        <v>0</v>
      </c>
      <c r="H596" s="49">
        <f>SUBTOTAL(9,H588:H595)</f>
        <v>0</v>
      </c>
      <c r="I596" s="49">
        <f>SUBTOTAL(9,I588:I595)</f>
        <v>0</v>
      </c>
      <c r="J596" s="51" t="str">
        <f>IF(H596=0,"No plan at start",I596/H596)</f>
        <v>No plan at start</v>
      </c>
      <c r="K596" s="52">
        <f>SUBTOTAL(9,K588:K595)</f>
        <v>0</v>
      </c>
      <c r="L596" s="49">
        <f>SUBTOTAL(9,L588:L595)</f>
        <v>0</v>
      </c>
      <c r="M596" s="49">
        <f>SUBTOTAL(9,M588:M595)</f>
        <v>0</v>
      </c>
      <c r="N596" s="49">
        <f>SUBTOTAL(9,N588:N595)</f>
        <v>0</v>
      </c>
      <c r="O596" s="50" t="str">
        <f>IF(H596=0,"No plan at start",M596/H596)</f>
        <v>No plan at start</v>
      </c>
    </row>
    <row r="597" spans="2:15" hidden="1" outlineLevel="2" x14ac:dyDescent="0.2">
      <c r="B597" s="49" t="s">
        <v>84</v>
      </c>
      <c r="C597" s="49" t="s">
        <v>52</v>
      </c>
      <c r="D597" s="49">
        <v>0</v>
      </c>
      <c r="E597" s="49">
        <v>0</v>
      </c>
      <c r="F597" s="49">
        <f>E597-D597</f>
        <v>0</v>
      </c>
      <c r="G597" s="50">
        <f>IF(D597=0,0,ABS(F597/D597))</f>
        <v>0</v>
      </c>
      <c r="H597" s="49">
        <v>0</v>
      </c>
      <c r="I597" s="49">
        <v>0</v>
      </c>
      <c r="J597" s="51" t="str">
        <f>IF(H597=0,"No plan at start",I597/H597)</f>
        <v>No plan at start</v>
      </c>
      <c r="K597" s="52">
        <f>H597-I597</f>
        <v>0</v>
      </c>
      <c r="L597" s="49">
        <v>0</v>
      </c>
      <c r="M597" s="49">
        <f>I597+L597</f>
        <v>0</v>
      </c>
      <c r="N597" s="49">
        <f>M597-H597</f>
        <v>0</v>
      </c>
      <c r="O597" s="50" t="str">
        <f>IF(H597=0,"No plan at start",M597/H597)</f>
        <v>No plan at start</v>
      </c>
    </row>
    <row r="598" spans="2:15" hidden="1" outlineLevel="2" x14ac:dyDescent="0.2">
      <c r="B598" s="49" t="s">
        <v>84</v>
      </c>
      <c r="C598" s="49" t="s">
        <v>53</v>
      </c>
      <c r="D598" s="49">
        <v>0</v>
      </c>
      <c r="E598" s="49">
        <v>0</v>
      </c>
      <c r="F598" s="49">
        <f>E598-D598</f>
        <v>0</v>
      </c>
      <c r="G598" s="50">
        <f>IF(D598=0,0,ABS(F598/D598))</f>
        <v>0</v>
      </c>
      <c r="H598" s="49">
        <v>0</v>
      </c>
      <c r="I598" s="49">
        <v>0</v>
      </c>
      <c r="J598" s="51" t="str">
        <f>IF(H598=0,"No plan at start",I598/H598)</f>
        <v>No plan at start</v>
      </c>
      <c r="K598" s="52">
        <f>H598-I598</f>
        <v>0</v>
      </c>
      <c r="L598" s="49">
        <v>0</v>
      </c>
      <c r="M598" s="49">
        <f>I598+L598</f>
        <v>0</v>
      </c>
      <c r="N598" s="49">
        <f>M598-H598</f>
        <v>0</v>
      </c>
      <c r="O598" s="50" t="str">
        <f>IF(H598=0,"No plan at start",M598/H598)</f>
        <v>No plan at start</v>
      </c>
    </row>
    <row r="599" spans="2:15" hidden="1" outlineLevel="2" x14ac:dyDescent="0.2">
      <c r="B599" s="49" t="s">
        <v>84</v>
      </c>
      <c r="C599" s="49" t="s">
        <v>54</v>
      </c>
      <c r="D599" s="49">
        <v>0</v>
      </c>
      <c r="E599" s="49">
        <v>0</v>
      </c>
      <c r="F599" s="49">
        <f>E599-D599</f>
        <v>0</v>
      </c>
      <c r="G599" s="50">
        <f>IF(D599=0,0,ABS(F599/D599))</f>
        <v>0</v>
      </c>
      <c r="H599" s="49">
        <v>0</v>
      </c>
      <c r="I599" s="49">
        <v>0</v>
      </c>
      <c r="J599" s="51" t="str">
        <f>IF(H599=0,"No plan at start",I599/H599)</f>
        <v>No plan at start</v>
      </c>
      <c r="K599" s="52">
        <f>H599-I599</f>
        <v>0</v>
      </c>
      <c r="L599" s="49">
        <v>0</v>
      </c>
      <c r="M599" s="49">
        <f>I599+L599</f>
        <v>0</v>
      </c>
      <c r="N599" s="49">
        <f>M599-H599</f>
        <v>0</v>
      </c>
      <c r="O599" s="50" t="str">
        <f>IF(H599=0,"No plan at start",M599/H599)</f>
        <v>No plan at start</v>
      </c>
    </row>
    <row r="600" spans="2:15" hidden="1" outlineLevel="2" x14ac:dyDescent="0.2">
      <c r="B600" s="49" t="s">
        <v>84</v>
      </c>
      <c r="C600" s="49" t="s">
        <v>55</v>
      </c>
      <c r="D600" s="49">
        <v>0</v>
      </c>
      <c r="E600" s="49">
        <v>0</v>
      </c>
      <c r="F600" s="49">
        <f>E600-D600</f>
        <v>0</v>
      </c>
      <c r="G600" s="50">
        <f>IF(D600=0,0,ABS(F600/D600))</f>
        <v>0</v>
      </c>
      <c r="H600" s="49">
        <v>0</v>
      </c>
      <c r="I600" s="49">
        <v>0</v>
      </c>
      <c r="J600" s="51" t="str">
        <f>IF(H600=0,"No plan at start",I600/H600)</f>
        <v>No plan at start</v>
      </c>
      <c r="K600" s="52">
        <f>H600-I600</f>
        <v>0</v>
      </c>
      <c r="L600" s="49">
        <v>0</v>
      </c>
      <c r="M600" s="49">
        <f>I600+L600</f>
        <v>0</v>
      </c>
      <c r="N600" s="49">
        <f>M600-H600</f>
        <v>0</v>
      </c>
      <c r="O600" s="50" t="str">
        <f>IF(H600=0,"No plan at start",M600/H600)</f>
        <v>No plan at start</v>
      </c>
    </row>
    <row r="601" spans="2:15" hidden="1" outlineLevel="2" x14ac:dyDescent="0.2">
      <c r="B601" s="49" t="s">
        <v>84</v>
      </c>
      <c r="C601" s="49" t="s">
        <v>56</v>
      </c>
      <c r="D601" s="49">
        <v>0</v>
      </c>
      <c r="E601" s="49">
        <v>0</v>
      </c>
      <c r="F601" s="49">
        <f>E601-D601</f>
        <v>0</v>
      </c>
      <c r="G601" s="50">
        <f>IF(D601=0,0,ABS(F601/D601))</f>
        <v>0</v>
      </c>
      <c r="H601" s="49">
        <v>0</v>
      </c>
      <c r="I601" s="49">
        <v>0</v>
      </c>
      <c r="J601" s="51" t="str">
        <f>IF(H601=0,"No plan at start",I601/H601)</f>
        <v>No plan at start</v>
      </c>
      <c r="K601" s="52">
        <f>H601-I601</f>
        <v>0</v>
      </c>
      <c r="L601" s="49">
        <v>0</v>
      </c>
      <c r="M601" s="49">
        <f>I601+L601</f>
        <v>0</v>
      </c>
      <c r="N601" s="49">
        <f>M601-H601</f>
        <v>0</v>
      </c>
      <c r="O601" s="50" t="str">
        <f>IF(H601=0,"No plan at start",M601/H601)</f>
        <v>No plan at start</v>
      </c>
    </row>
    <row r="602" spans="2:15" hidden="1" outlineLevel="2" x14ac:dyDescent="0.2">
      <c r="B602" s="49" t="s">
        <v>84</v>
      </c>
      <c r="C602" s="49" t="s">
        <v>57</v>
      </c>
      <c r="D602" s="49">
        <v>0</v>
      </c>
      <c r="E602" s="49">
        <v>0</v>
      </c>
      <c r="F602" s="49">
        <f>E602-D602</f>
        <v>0</v>
      </c>
      <c r="G602" s="50">
        <f>IF(D602=0,0,ABS(F602/D602))</f>
        <v>0</v>
      </c>
      <c r="H602" s="49">
        <v>0</v>
      </c>
      <c r="I602" s="49">
        <v>0</v>
      </c>
      <c r="J602" s="51" t="str">
        <f>IF(H602=0,"No plan at start",I602/H602)</f>
        <v>No plan at start</v>
      </c>
      <c r="K602" s="52">
        <f>H602-I602</f>
        <v>0</v>
      </c>
      <c r="L602" s="49">
        <v>0</v>
      </c>
      <c r="M602" s="49">
        <f>I602+L602</f>
        <v>0</v>
      </c>
      <c r="N602" s="49">
        <f>M602-H602</f>
        <v>0</v>
      </c>
      <c r="O602" s="50" t="str">
        <f>IF(H602=0,"No plan at start",M602/H602)</f>
        <v>No plan at start</v>
      </c>
    </row>
    <row r="603" spans="2:15" hidden="1" outlineLevel="2" x14ac:dyDescent="0.2">
      <c r="B603" s="49" t="s">
        <v>84</v>
      </c>
      <c r="C603" s="49" t="s">
        <v>58</v>
      </c>
      <c r="D603" s="49">
        <v>0</v>
      </c>
      <c r="E603" s="49">
        <v>0</v>
      </c>
      <c r="F603" s="49">
        <f>E603-D603</f>
        <v>0</v>
      </c>
      <c r="G603" s="50">
        <f>IF(D603=0,0,ABS(F603/D603))</f>
        <v>0</v>
      </c>
      <c r="H603" s="49">
        <v>0</v>
      </c>
      <c r="I603" s="49">
        <v>0</v>
      </c>
      <c r="J603" s="51" t="str">
        <f>IF(H603=0,"No plan at start",I603/H603)</f>
        <v>No plan at start</v>
      </c>
      <c r="K603" s="52">
        <f>H603-I603</f>
        <v>0</v>
      </c>
      <c r="L603" s="49">
        <v>0</v>
      </c>
      <c r="M603" s="49">
        <f>I603+L603</f>
        <v>0</v>
      </c>
      <c r="N603" s="49">
        <f>M603-H603</f>
        <v>0</v>
      </c>
      <c r="O603" s="50" t="str">
        <f>IF(H603=0,"No plan at start",M603/H603)</f>
        <v>No plan at start</v>
      </c>
    </row>
    <row r="604" spans="2:15" hidden="1" outlineLevel="2" x14ac:dyDescent="0.2">
      <c r="B604" s="49" t="s">
        <v>84</v>
      </c>
      <c r="C604" s="49" t="s">
        <v>59</v>
      </c>
      <c r="D604" s="49">
        <v>0</v>
      </c>
      <c r="E604" s="49">
        <v>0</v>
      </c>
      <c r="F604" s="49">
        <f>E604-D604</f>
        <v>0</v>
      </c>
      <c r="G604" s="50">
        <f>IF(D604=0,0,ABS(F604/D604))</f>
        <v>0</v>
      </c>
      <c r="H604" s="49">
        <v>0</v>
      </c>
      <c r="I604" s="49">
        <v>0</v>
      </c>
      <c r="J604" s="51" t="str">
        <f>IF(H604=0,"No plan at start",I604/H604)</f>
        <v>No plan at start</v>
      </c>
      <c r="K604" s="52">
        <f>H604-I604</f>
        <v>0</v>
      </c>
      <c r="L604" s="49">
        <v>0</v>
      </c>
      <c r="M604" s="49">
        <f>I604+L604</f>
        <v>0</v>
      </c>
      <c r="N604" s="49">
        <f>M604-H604</f>
        <v>0</v>
      </c>
      <c r="O604" s="50" t="str">
        <f>IF(H604=0,"No plan at start",M604/H604)</f>
        <v>No plan at start</v>
      </c>
    </row>
    <row r="605" spans="2:15" outlineLevel="1" collapsed="1" x14ac:dyDescent="0.2">
      <c r="B605" s="56" t="s">
        <v>123</v>
      </c>
      <c r="C605" s="49"/>
      <c r="D605" s="49">
        <f>SUBTOTAL(9,D597:D604)</f>
        <v>0</v>
      </c>
      <c r="E605" s="49">
        <f>SUBTOTAL(9,E597:E604)</f>
        <v>0</v>
      </c>
      <c r="F605" s="49">
        <f>SUBTOTAL(9,F597:F604)</f>
        <v>0</v>
      </c>
      <c r="G605" s="50">
        <f>IF(D605=0,0,ABS(F605/D605))</f>
        <v>0</v>
      </c>
      <c r="H605" s="49">
        <f>SUBTOTAL(9,H597:H604)</f>
        <v>0</v>
      </c>
      <c r="I605" s="49">
        <f>SUBTOTAL(9,I597:I604)</f>
        <v>0</v>
      </c>
      <c r="J605" s="51" t="str">
        <f>IF(H605=0,"No plan at start",I605/H605)</f>
        <v>No plan at start</v>
      </c>
      <c r="K605" s="52">
        <f>SUBTOTAL(9,K597:K604)</f>
        <v>0</v>
      </c>
      <c r="L605" s="49">
        <f>SUBTOTAL(9,L597:L604)</f>
        <v>0</v>
      </c>
      <c r="M605" s="49">
        <f>SUBTOTAL(9,M597:M604)</f>
        <v>0</v>
      </c>
      <c r="N605" s="49">
        <f>SUBTOTAL(9,N597:N604)</f>
        <v>0</v>
      </c>
      <c r="O605" s="50" t="str">
        <f>IF(H605=0,"No plan at start",M605/H605)</f>
        <v>No plan at start</v>
      </c>
    </row>
    <row r="606" spans="2:15" hidden="1" outlineLevel="2" x14ac:dyDescent="0.2">
      <c r="B606" s="49" t="s">
        <v>85</v>
      </c>
      <c r="C606" s="49" t="s">
        <v>52</v>
      </c>
      <c r="D606" s="49">
        <v>0</v>
      </c>
      <c r="E606" s="49">
        <v>0</v>
      </c>
      <c r="F606" s="49">
        <f>E606-D606</f>
        <v>0</v>
      </c>
      <c r="G606" s="50">
        <f>IF(D606=0,0,ABS(F606/D606))</f>
        <v>0</v>
      </c>
      <c r="H606" s="49">
        <v>0</v>
      </c>
      <c r="I606" s="49">
        <v>0</v>
      </c>
      <c r="J606" s="51" t="str">
        <f>IF(H606=0,"No plan at start",I606/H606)</f>
        <v>No plan at start</v>
      </c>
      <c r="K606" s="52">
        <f>H606-I606</f>
        <v>0</v>
      </c>
      <c r="L606" s="49">
        <v>0</v>
      </c>
      <c r="M606" s="49">
        <f>I606+L606</f>
        <v>0</v>
      </c>
      <c r="N606" s="49">
        <f>M606-H606</f>
        <v>0</v>
      </c>
      <c r="O606" s="50" t="str">
        <f>IF(H606=0,"No plan at start",M606/H606)</f>
        <v>No plan at start</v>
      </c>
    </row>
    <row r="607" spans="2:15" hidden="1" outlineLevel="2" x14ac:dyDescent="0.2">
      <c r="B607" s="49" t="s">
        <v>85</v>
      </c>
      <c r="C607" s="49" t="s">
        <v>53</v>
      </c>
      <c r="D607" s="49">
        <v>0</v>
      </c>
      <c r="E607" s="49">
        <v>0</v>
      </c>
      <c r="F607" s="49">
        <f>E607-D607</f>
        <v>0</v>
      </c>
      <c r="G607" s="50">
        <f>IF(D607=0,0,ABS(F607/D607))</f>
        <v>0</v>
      </c>
      <c r="H607" s="49">
        <v>0</v>
      </c>
      <c r="I607" s="49">
        <v>0</v>
      </c>
      <c r="J607" s="51" t="str">
        <f>IF(H607=0,"No plan at start",I607/H607)</f>
        <v>No plan at start</v>
      </c>
      <c r="K607" s="52">
        <f>H607-I607</f>
        <v>0</v>
      </c>
      <c r="L607" s="49">
        <v>0</v>
      </c>
      <c r="M607" s="49">
        <f>I607+L607</f>
        <v>0</v>
      </c>
      <c r="N607" s="49">
        <f>M607-H607</f>
        <v>0</v>
      </c>
      <c r="O607" s="50" t="str">
        <f>IF(H607=0,"No plan at start",M607/H607)</f>
        <v>No plan at start</v>
      </c>
    </row>
    <row r="608" spans="2:15" hidden="1" outlineLevel="2" x14ac:dyDescent="0.2">
      <c r="B608" s="49" t="s">
        <v>85</v>
      </c>
      <c r="C608" s="49" t="s">
        <v>54</v>
      </c>
      <c r="D608" s="49">
        <v>0</v>
      </c>
      <c r="E608" s="49">
        <v>0</v>
      </c>
      <c r="F608" s="49">
        <f>E608-D608</f>
        <v>0</v>
      </c>
      <c r="G608" s="50">
        <f>IF(D608=0,0,ABS(F608/D608))</f>
        <v>0</v>
      </c>
      <c r="H608" s="49">
        <v>0</v>
      </c>
      <c r="I608" s="49">
        <v>0</v>
      </c>
      <c r="J608" s="51" t="str">
        <f>IF(H608=0,"No plan at start",I608/H608)</f>
        <v>No plan at start</v>
      </c>
      <c r="K608" s="52">
        <f>H608-I608</f>
        <v>0</v>
      </c>
      <c r="L608" s="49">
        <v>0</v>
      </c>
      <c r="M608" s="49">
        <f>I608+L608</f>
        <v>0</v>
      </c>
      <c r="N608" s="49">
        <f>M608-H608</f>
        <v>0</v>
      </c>
      <c r="O608" s="50" t="str">
        <f>IF(H608=0,"No plan at start",M608/H608)</f>
        <v>No plan at start</v>
      </c>
    </row>
    <row r="609" spans="2:15" hidden="1" outlineLevel="2" x14ac:dyDescent="0.2">
      <c r="B609" s="49" t="s">
        <v>85</v>
      </c>
      <c r="C609" s="49" t="s">
        <v>55</v>
      </c>
      <c r="D609" s="49">
        <v>0</v>
      </c>
      <c r="E609" s="49">
        <v>0</v>
      </c>
      <c r="F609" s="49">
        <f>E609-D609</f>
        <v>0</v>
      </c>
      <c r="G609" s="50">
        <f>IF(D609=0,0,ABS(F609/D609))</f>
        <v>0</v>
      </c>
      <c r="H609" s="49">
        <v>0</v>
      </c>
      <c r="I609" s="49">
        <v>0</v>
      </c>
      <c r="J609" s="51" t="str">
        <f>IF(H609=0,"No plan at start",I609/H609)</f>
        <v>No plan at start</v>
      </c>
      <c r="K609" s="52">
        <f>H609-I609</f>
        <v>0</v>
      </c>
      <c r="L609" s="49">
        <v>0</v>
      </c>
      <c r="M609" s="49">
        <f>I609+L609</f>
        <v>0</v>
      </c>
      <c r="N609" s="49">
        <f>M609-H609</f>
        <v>0</v>
      </c>
      <c r="O609" s="50" t="str">
        <f>IF(H609=0,"No plan at start",M609/H609)</f>
        <v>No plan at start</v>
      </c>
    </row>
    <row r="610" spans="2:15" hidden="1" outlineLevel="2" x14ac:dyDescent="0.2">
      <c r="B610" s="49" t="s">
        <v>85</v>
      </c>
      <c r="C610" s="49" t="s">
        <v>56</v>
      </c>
      <c r="D610" s="49">
        <v>0</v>
      </c>
      <c r="E610" s="49">
        <v>0</v>
      </c>
      <c r="F610" s="49">
        <f>E610-D610</f>
        <v>0</v>
      </c>
      <c r="G610" s="50">
        <f>IF(D610=0,0,ABS(F610/D610))</f>
        <v>0</v>
      </c>
      <c r="H610" s="49">
        <v>0</v>
      </c>
      <c r="I610" s="49">
        <v>0</v>
      </c>
      <c r="J610" s="51" t="str">
        <f>IF(H610=0,"No plan at start",I610/H610)</f>
        <v>No plan at start</v>
      </c>
      <c r="K610" s="52">
        <f>H610-I610</f>
        <v>0</v>
      </c>
      <c r="L610" s="49">
        <v>0</v>
      </c>
      <c r="M610" s="49">
        <f>I610+L610</f>
        <v>0</v>
      </c>
      <c r="N610" s="49">
        <f>M610-H610</f>
        <v>0</v>
      </c>
      <c r="O610" s="50" t="str">
        <f>IF(H610=0,"No plan at start",M610/H610)</f>
        <v>No plan at start</v>
      </c>
    </row>
    <row r="611" spans="2:15" hidden="1" outlineLevel="2" x14ac:dyDescent="0.2">
      <c r="B611" s="49" t="s">
        <v>85</v>
      </c>
      <c r="C611" s="49" t="s">
        <v>57</v>
      </c>
      <c r="D611" s="49">
        <v>0</v>
      </c>
      <c r="E611" s="49">
        <v>0</v>
      </c>
      <c r="F611" s="49">
        <f>E611-D611</f>
        <v>0</v>
      </c>
      <c r="G611" s="50">
        <f>IF(D611=0,0,ABS(F611/D611))</f>
        <v>0</v>
      </c>
      <c r="H611" s="49">
        <v>0</v>
      </c>
      <c r="I611" s="49">
        <v>0</v>
      </c>
      <c r="J611" s="51" t="str">
        <f>IF(H611=0,"No plan at start",I611/H611)</f>
        <v>No plan at start</v>
      </c>
      <c r="K611" s="52">
        <f>H611-I611</f>
        <v>0</v>
      </c>
      <c r="L611" s="49">
        <v>0</v>
      </c>
      <c r="M611" s="49">
        <f>I611+L611</f>
        <v>0</v>
      </c>
      <c r="N611" s="49">
        <f>M611-H611</f>
        <v>0</v>
      </c>
      <c r="O611" s="50" t="str">
        <f>IF(H611=0,"No plan at start",M611/H611)</f>
        <v>No plan at start</v>
      </c>
    </row>
    <row r="612" spans="2:15" hidden="1" outlineLevel="2" x14ac:dyDescent="0.2">
      <c r="B612" s="49" t="s">
        <v>85</v>
      </c>
      <c r="C612" s="49" t="s">
        <v>58</v>
      </c>
      <c r="D612" s="49">
        <v>0</v>
      </c>
      <c r="E612" s="49">
        <v>0</v>
      </c>
      <c r="F612" s="49">
        <f>E612-D612</f>
        <v>0</v>
      </c>
      <c r="G612" s="50">
        <f>IF(D612=0,0,ABS(F612/D612))</f>
        <v>0</v>
      </c>
      <c r="H612" s="49">
        <v>0</v>
      </c>
      <c r="I612" s="49">
        <v>0</v>
      </c>
      <c r="J612" s="51" t="str">
        <f>IF(H612=0,"No plan at start",I612/H612)</f>
        <v>No plan at start</v>
      </c>
      <c r="K612" s="52">
        <f>H612-I612</f>
        <v>0</v>
      </c>
      <c r="L612" s="49">
        <v>0</v>
      </c>
      <c r="M612" s="49">
        <f>I612+L612</f>
        <v>0</v>
      </c>
      <c r="N612" s="49">
        <f>M612-H612</f>
        <v>0</v>
      </c>
      <c r="O612" s="50" t="str">
        <f>IF(H612=0,"No plan at start",M612/H612)</f>
        <v>No plan at start</v>
      </c>
    </row>
    <row r="613" spans="2:15" hidden="1" outlineLevel="2" x14ac:dyDescent="0.2">
      <c r="B613" s="49" t="s">
        <v>85</v>
      </c>
      <c r="C613" s="49" t="s">
        <v>59</v>
      </c>
      <c r="D613" s="49">
        <v>0</v>
      </c>
      <c r="E613" s="49">
        <v>0</v>
      </c>
      <c r="F613" s="49">
        <f>E613-D613</f>
        <v>0</v>
      </c>
      <c r="G613" s="50">
        <f>IF(D613=0,0,ABS(F613/D613))</f>
        <v>0</v>
      </c>
      <c r="H613" s="49">
        <v>0</v>
      </c>
      <c r="I613" s="49">
        <v>0</v>
      </c>
      <c r="J613" s="51" t="str">
        <f>IF(H613=0,"No plan at start",I613/H613)</f>
        <v>No plan at start</v>
      </c>
      <c r="K613" s="52">
        <f>H613-I613</f>
        <v>0</v>
      </c>
      <c r="L613" s="49">
        <v>0</v>
      </c>
      <c r="M613" s="49">
        <f>I613+L613</f>
        <v>0</v>
      </c>
      <c r="N613" s="49">
        <f>M613-H613</f>
        <v>0</v>
      </c>
      <c r="O613" s="50" t="str">
        <f>IF(H613=0,"No plan at start",M613/H613)</f>
        <v>No plan at start</v>
      </c>
    </row>
    <row r="614" spans="2:15" outlineLevel="1" collapsed="1" x14ac:dyDescent="0.2">
      <c r="B614" s="56" t="s">
        <v>124</v>
      </c>
      <c r="C614" s="49"/>
      <c r="D614" s="49">
        <f>SUBTOTAL(9,D606:D613)</f>
        <v>0</v>
      </c>
      <c r="E614" s="49">
        <f>SUBTOTAL(9,E606:E613)</f>
        <v>0</v>
      </c>
      <c r="F614" s="49">
        <f>SUBTOTAL(9,F606:F613)</f>
        <v>0</v>
      </c>
      <c r="G614" s="50">
        <f>IF(D614=0,0,ABS(F614/D614))</f>
        <v>0</v>
      </c>
      <c r="H614" s="49">
        <f>SUBTOTAL(9,H606:H613)</f>
        <v>0</v>
      </c>
      <c r="I614" s="49">
        <f>SUBTOTAL(9,I606:I613)</f>
        <v>0</v>
      </c>
      <c r="J614" s="51" t="str">
        <f>IF(H614=0,"No plan at start",I614/H614)</f>
        <v>No plan at start</v>
      </c>
      <c r="K614" s="52">
        <f>SUBTOTAL(9,K606:K613)</f>
        <v>0</v>
      </c>
      <c r="L614" s="49">
        <f>SUBTOTAL(9,L606:L613)</f>
        <v>0</v>
      </c>
      <c r="M614" s="49">
        <f>SUBTOTAL(9,M606:M613)</f>
        <v>0</v>
      </c>
      <c r="N614" s="49">
        <f>SUBTOTAL(9,N606:N613)</f>
        <v>0</v>
      </c>
      <c r="O614" s="50" t="str">
        <f>IF(H614=0,"No plan at start",M614/H614)</f>
        <v>No plan at start</v>
      </c>
    </row>
    <row r="615" spans="2:15" hidden="1" outlineLevel="2" x14ac:dyDescent="0.2">
      <c r="B615" s="49" t="s">
        <v>86</v>
      </c>
      <c r="C615" s="49" t="s">
        <v>52</v>
      </c>
      <c r="D615" s="49">
        <v>0</v>
      </c>
      <c r="E615" s="49">
        <v>0</v>
      </c>
      <c r="F615" s="49">
        <f>E615-D615</f>
        <v>0</v>
      </c>
      <c r="G615" s="50">
        <f>IF(D615=0,0,ABS(F615/D615))</f>
        <v>0</v>
      </c>
      <c r="H615" s="49">
        <v>0</v>
      </c>
      <c r="I615" s="49">
        <v>22.36</v>
      </c>
      <c r="J615" s="51" t="str">
        <f>IF(H615=0,"No plan at start",I615/H615)</f>
        <v>No plan at start</v>
      </c>
      <c r="K615" s="52">
        <f>H615-I615</f>
        <v>-22.36</v>
      </c>
      <c r="L615" s="49">
        <v>0</v>
      </c>
      <c r="M615" s="49">
        <f>I615+L615</f>
        <v>22.36</v>
      </c>
      <c r="N615" s="49">
        <f>M615-H615</f>
        <v>22.36</v>
      </c>
      <c r="O615" s="50" t="str">
        <f>IF(H615=0,"No plan at start",M615/H615)</f>
        <v>No plan at start</v>
      </c>
    </row>
    <row r="616" spans="2:15" hidden="1" outlineLevel="2" x14ac:dyDescent="0.2">
      <c r="B616" s="49" t="s">
        <v>86</v>
      </c>
      <c r="C616" s="49" t="s">
        <v>53</v>
      </c>
      <c r="D616" s="49">
        <v>0</v>
      </c>
      <c r="E616" s="49">
        <v>0</v>
      </c>
      <c r="F616" s="49">
        <f>E616-D616</f>
        <v>0</v>
      </c>
      <c r="G616" s="50">
        <f>IF(D616=0,0,ABS(F616/D616))</f>
        <v>0</v>
      </c>
      <c r="H616" s="49">
        <v>0</v>
      </c>
      <c r="I616" s="49">
        <v>0</v>
      </c>
      <c r="J616" s="51" t="str">
        <f>IF(H616=0,"No plan at start",I616/H616)</f>
        <v>No plan at start</v>
      </c>
      <c r="K616" s="52">
        <f>H616-I616</f>
        <v>0</v>
      </c>
      <c r="L616" s="49">
        <v>0</v>
      </c>
      <c r="M616" s="49">
        <f>I616+L616</f>
        <v>0</v>
      </c>
      <c r="N616" s="49">
        <f>M616-H616</f>
        <v>0</v>
      </c>
      <c r="O616" s="50" t="str">
        <f>IF(H616=0,"No plan at start",M616/H616)</f>
        <v>No plan at start</v>
      </c>
    </row>
    <row r="617" spans="2:15" hidden="1" outlineLevel="2" x14ac:dyDescent="0.2">
      <c r="B617" s="49" t="s">
        <v>86</v>
      </c>
      <c r="C617" s="49" t="s">
        <v>54</v>
      </c>
      <c r="D617" s="49">
        <v>0</v>
      </c>
      <c r="E617" s="49">
        <v>0</v>
      </c>
      <c r="F617" s="49">
        <f>E617-D617</f>
        <v>0</v>
      </c>
      <c r="G617" s="50">
        <f>IF(D617=0,0,ABS(F617/D617))</f>
        <v>0</v>
      </c>
      <c r="H617" s="49">
        <v>0</v>
      </c>
      <c r="I617" s="49">
        <v>0</v>
      </c>
      <c r="J617" s="51" t="str">
        <f>IF(H617=0,"No plan at start",I617/H617)</f>
        <v>No plan at start</v>
      </c>
      <c r="K617" s="52">
        <f>H617-I617</f>
        <v>0</v>
      </c>
      <c r="L617" s="49">
        <v>0</v>
      </c>
      <c r="M617" s="49">
        <f>I617+L617</f>
        <v>0</v>
      </c>
      <c r="N617" s="49">
        <f>M617-H617</f>
        <v>0</v>
      </c>
      <c r="O617" s="50" t="str">
        <f>IF(H617=0,"No plan at start",M617/H617)</f>
        <v>No plan at start</v>
      </c>
    </row>
    <row r="618" spans="2:15" hidden="1" outlineLevel="2" x14ac:dyDescent="0.2">
      <c r="B618" s="49" t="s">
        <v>86</v>
      </c>
      <c r="C618" s="49" t="s">
        <v>55</v>
      </c>
      <c r="D618" s="49">
        <v>0</v>
      </c>
      <c r="E618" s="49">
        <v>0</v>
      </c>
      <c r="F618" s="49">
        <f>E618-D618</f>
        <v>0</v>
      </c>
      <c r="G618" s="50">
        <f>IF(D618=0,0,ABS(F618/D618))</f>
        <v>0</v>
      </c>
      <c r="H618" s="49">
        <v>0</v>
      </c>
      <c r="I618" s="49">
        <v>0</v>
      </c>
      <c r="J618" s="51" t="str">
        <f>IF(H618=0,"No plan at start",I618/H618)</f>
        <v>No plan at start</v>
      </c>
      <c r="K618" s="52">
        <f>H618-I618</f>
        <v>0</v>
      </c>
      <c r="L618" s="49">
        <v>0</v>
      </c>
      <c r="M618" s="49">
        <f>I618+L618</f>
        <v>0</v>
      </c>
      <c r="N618" s="49">
        <f>M618-H618</f>
        <v>0</v>
      </c>
      <c r="O618" s="50" t="str">
        <f>IF(H618=0,"No plan at start",M618/H618)</f>
        <v>No plan at start</v>
      </c>
    </row>
    <row r="619" spans="2:15" hidden="1" outlineLevel="2" x14ac:dyDescent="0.2">
      <c r="B619" s="49" t="s">
        <v>86</v>
      </c>
      <c r="C619" s="49" t="s">
        <v>56</v>
      </c>
      <c r="D619" s="49">
        <v>0</v>
      </c>
      <c r="E619" s="49">
        <v>0</v>
      </c>
      <c r="F619" s="49">
        <f>E619-D619</f>
        <v>0</v>
      </c>
      <c r="G619" s="50">
        <f>IF(D619=0,0,ABS(F619/D619))</f>
        <v>0</v>
      </c>
      <c r="H619" s="49">
        <v>0</v>
      </c>
      <c r="I619" s="49">
        <v>0</v>
      </c>
      <c r="J619" s="51" t="str">
        <f>IF(H619=0,"No plan at start",I619/H619)</f>
        <v>No plan at start</v>
      </c>
      <c r="K619" s="52">
        <f>H619-I619</f>
        <v>0</v>
      </c>
      <c r="L619" s="49">
        <v>0</v>
      </c>
      <c r="M619" s="49">
        <f>I619+L619</f>
        <v>0</v>
      </c>
      <c r="N619" s="49">
        <f>M619-H619</f>
        <v>0</v>
      </c>
      <c r="O619" s="50" t="str">
        <f>IF(H619=0,"No plan at start",M619/H619)</f>
        <v>No plan at start</v>
      </c>
    </row>
    <row r="620" spans="2:15" hidden="1" outlineLevel="2" x14ac:dyDescent="0.2">
      <c r="B620" s="49" t="s">
        <v>86</v>
      </c>
      <c r="C620" s="49" t="s">
        <v>57</v>
      </c>
      <c r="D620" s="49">
        <v>0</v>
      </c>
      <c r="E620" s="49">
        <v>0</v>
      </c>
      <c r="F620" s="49">
        <f>E620-D620</f>
        <v>0</v>
      </c>
      <c r="G620" s="50">
        <f>IF(D620=0,0,ABS(F620/D620))</f>
        <v>0</v>
      </c>
      <c r="H620" s="49">
        <v>0</v>
      </c>
      <c r="I620" s="49">
        <v>0</v>
      </c>
      <c r="J620" s="51" t="str">
        <f>IF(H620=0,"No plan at start",I620/H620)</f>
        <v>No plan at start</v>
      </c>
      <c r="K620" s="52">
        <f>H620-I620</f>
        <v>0</v>
      </c>
      <c r="L620" s="49">
        <v>0</v>
      </c>
      <c r="M620" s="49">
        <f>I620+L620</f>
        <v>0</v>
      </c>
      <c r="N620" s="49">
        <f>M620-H620</f>
        <v>0</v>
      </c>
      <c r="O620" s="50" t="str">
        <f>IF(H620=0,"No plan at start",M620/H620)</f>
        <v>No plan at start</v>
      </c>
    </row>
    <row r="621" spans="2:15" hidden="1" outlineLevel="2" x14ac:dyDescent="0.2">
      <c r="B621" s="49" t="s">
        <v>86</v>
      </c>
      <c r="C621" s="49" t="s">
        <v>58</v>
      </c>
      <c r="D621" s="49">
        <v>0</v>
      </c>
      <c r="E621" s="49">
        <v>0</v>
      </c>
      <c r="F621" s="49">
        <f>E621-D621</f>
        <v>0</v>
      </c>
      <c r="G621" s="50">
        <f>IF(D621=0,0,ABS(F621/D621))</f>
        <v>0</v>
      </c>
      <c r="H621" s="49">
        <v>0</v>
      </c>
      <c r="I621" s="49">
        <v>0</v>
      </c>
      <c r="J621" s="51" t="str">
        <f>IF(H621=0,"No plan at start",I621/H621)</f>
        <v>No plan at start</v>
      </c>
      <c r="K621" s="52">
        <f>H621-I621</f>
        <v>0</v>
      </c>
      <c r="L621" s="49">
        <v>0</v>
      </c>
      <c r="M621" s="49">
        <f>I621+L621</f>
        <v>0</v>
      </c>
      <c r="N621" s="49">
        <f>M621-H621</f>
        <v>0</v>
      </c>
      <c r="O621" s="50" t="str">
        <f>IF(H621=0,"No plan at start",M621/H621)</f>
        <v>No plan at start</v>
      </c>
    </row>
    <row r="622" spans="2:15" hidden="1" outlineLevel="2" x14ac:dyDescent="0.2">
      <c r="B622" s="49" t="s">
        <v>86</v>
      </c>
      <c r="C622" s="49" t="s">
        <v>59</v>
      </c>
      <c r="D622" s="49">
        <v>0</v>
      </c>
      <c r="E622" s="49">
        <v>0</v>
      </c>
      <c r="F622" s="49">
        <f>E622-D622</f>
        <v>0</v>
      </c>
      <c r="G622" s="50">
        <f>IF(D622=0,0,ABS(F622/D622))</f>
        <v>0</v>
      </c>
      <c r="H622" s="49">
        <v>0</v>
      </c>
      <c r="I622" s="49">
        <v>0</v>
      </c>
      <c r="J622" s="51" t="str">
        <f>IF(H622=0,"No plan at start",I622/H622)</f>
        <v>No plan at start</v>
      </c>
      <c r="K622" s="52">
        <f>H622-I622</f>
        <v>0</v>
      </c>
      <c r="L622" s="49">
        <v>0</v>
      </c>
      <c r="M622" s="49">
        <f>I622+L622</f>
        <v>0</v>
      </c>
      <c r="N622" s="49">
        <f>M622-H622</f>
        <v>0</v>
      </c>
      <c r="O622" s="50" t="str">
        <f>IF(H622=0,"No plan at start",M622/H622)</f>
        <v>No plan at start</v>
      </c>
    </row>
    <row r="623" spans="2:15" outlineLevel="1" collapsed="1" x14ac:dyDescent="0.2">
      <c r="B623" s="56" t="s">
        <v>125</v>
      </c>
      <c r="C623" s="49"/>
      <c r="D623" s="49">
        <f>SUBTOTAL(9,D615:D622)</f>
        <v>0</v>
      </c>
      <c r="E623" s="49">
        <f>SUBTOTAL(9,E615:E622)</f>
        <v>0</v>
      </c>
      <c r="F623" s="49">
        <f>SUBTOTAL(9,F615:F622)</f>
        <v>0</v>
      </c>
      <c r="G623" s="50">
        <f>IF(D623=0,0,ABS(F623/D623))</f>
        <v>0</v>
      </c>
      <c r="H623" s="49">
        <f>SUBTOTAL(9,H615:H622)</f>
        <v>0</v>
      </c>
      <c r="I623" s="49">
        <f>SUBTOTAL(9,I615:I622)</f>
        <v>22.36</v>
      </c>
      <c r="J623" s="51" t="str">
        <f>IF(H623=0,"No plan at start",I623/H623)</f>
        <v>No plan at start</v>
      </c>
      <c r="K623" s="52">
        <f>SUBTOTAL(9,K615:K622)</f>
        <v>-22.36</v>
      </c>
      <c r="L623" s="49">
        <f>SUBTOTAL(9,L615:L622)</f>
        <v>0</v>
      </c>
      <c r="M623" s="49">
        <f>SUBTOTAL(9,M615:M622)</f>
        <v>22.36</v>
      </c>
      <c r="N623" s="49">
        <f>SUBTOTAL(9,N615:N622)</f>
        <v>22.36</v>
      </c>
      <c r="O623" s="50" t="str">
        <f>IF(H623=0,"No plan at start",M623/H623)</f>
        <v>No plan at start</v>
      </c>
    </row>
    <row r="624" spans="2:15" hidden="1" outlineLevel="2" x14ac:dyDescent="0.2">
      <c r="B624" s="49" t="s">
        <v>87</v>
      </c>
      <c r="C624" s="49" t="s">
        <v>52</v>
      </c>
      <c r="D624" s="49">
        <v>0</v>
      </c>
      <c r="E624" s="49">
        <v>0</v>
      </c>
      <c r="F624" s="49">
        <f>E624-D624</f>
        <v>0</v>
      </c>
      <c r="G624" s="50">
        <f>IF(D624=0,0,ABS(F624/D624))</f>
        <v>0</v>
      </c>
      <c r="H624" s="49">
        <v>0</v>
      </c>
      <c r="I624" s="49">
        <v>0</v>
      </c>
      <c r="J624" s="51" t="str">
        <f>IF(H624=0,"No plan at start",I624/H624)</f>
        <v>No plan at start</v>
      </c>
      <c r="K624" s="52">
        <f>H624-I624</f>
        <v>0</v>
      </c>
      <c r="L624" s="49">
        <v>0</v>
      </c>
      <c r="M624" s="49">
        <f>I624+L624</f>
        <v>0</v>
      </c>
      <c r="N624" s="49">
        <f>M624-H624</f>
        <v>0</v>
      </c>
      <c r="O624" s="50" t="str">
        <f>IF(H624=0,"No plan at start",M624/H624)</f>
        <v>No plan at start</v>
      </c>
    </row>
    <row r="625" spans="2:15" hidden="1" outlineLevel="2" x14ac:dyDescent="0.2">
      <c r="B625" s="49" t="s">
        <v>87</v>
      </c>
      <c r="C625" s="49" t="s">
        <v>53</v>
      </c>
      <c r="D625" s="49">
        <v>0</v>
      </c>
      <c r="E625" s="49">
        <v>0</v>
      </c>
      <c r="F625" s="49">
        <f>E625-D625</f>
        <v>0</v>
      </c>
      <c r="G625" s="50">
        <f>IF(D625=0,0,ABS(F625/D625))</f>
        <v>0</v>
      </c>
      <c r="H625" s="49">
        <v>0</v>
      </c>
      <c r="I625" s="49">
        <v>0</v>
      </c>
      <c r="J625" s="51" t="str">
        <f>IF(H625=0,"No plan at start",I625/H625)</f>
        <v>No plan at start</v>
      </c>
      <c r="K625" s="52">
        <f>H625-I625</f>
        <v>0</v>
      </c>
      <c r="L625" s="49">
        <v>0</v>
      </c>
      <c r="M625" s="49">
        <f>I625+L625</f>
        <v>0</v>
      </c>
      <c r="N625" s="49">
        <f>M625-H625</f>
        <v>0</v>
      </c>
      <c r="O625" s="50" t="str">
        <f>IF(H625=0,"No plan at start",M625/H625)</f>
        <v>No plan at start</v>
      </c>
    </row>
    <row r="626" spans="2:15" hidden="1" outlineLevel="2" x14ac:dyDescent="0.2">
      <c r="B626" s="49" t="s">
        <v>87</v>
      </c>
      <c r="C626" s="49" t="s">
        <v>54</v>
      </c>
      <c r="D626" s="49">
        <v>0</v>
      </c>
      <c r="E626" s="49">
        <v>0</v>
      </c>
      <c r="F626" s="49">
        <f>E626-D626</f>
        <v>0</v>
      </c>
      <c r="G626" s="50">
        <f>IF(D626=0,0,ABS(F626/D626))</f>
        <v>0</v>
      </c>
      <c r="H626" s="49">
        <v>0</v>
      </c>
      <c r="I626" s="49">
        <v>0</v>
      </c>
      <c r="J626" s="51" t="str">
        <f>IF(H626=0,"No plan at start",I626/H626)</f>
        <v>No plan at start</v>
      </c>
      <c r="K626" s="52">
        <f>H626-I626</f>
        <v>0</v>
      </c>
      <c r="L626" s="49">
        <v>0</v>
      </c>
      <c r="M626" s="49">
        <f>I626+L626</f>
        <v>0</v>
      </c>
      <c r="N626" s="49">
        <f>M626-H626</f>
        <v>0</v>
      </c>
      <c r="O626" s="50" t="str">
        <f>IF(H626=0,"No plan at start",M626/H626)</f>
        <v>No plan at start</v>
      </c>
    </row>
    <row r="627" spans="2:15" hidden="1" outlineLevel="2" x14ac:dyDescent="0.2">
      <c r="B627" s="49" t="s">
        <v>87</v>
      </c>
      <c r="C627" s="49" t="s">
        <v>55</v>
      </c>
      <c r="D627" s="49">
        <v>0</v>
      </c>
      <c r="E627" s="49">
        <v>0</v>
      </c>
      <c r="F627" s="49">
        <f>E627-D627</f>
        <v>0</v>
      </c>
      <c r="G627" s="50">
        <f>IF(D627=0,0,ABS(F627/D627))</f>
        <v>0</v>
      </c>
      <c r="H627" s="49">
        <v>0</v>
      </c>
      <c r="I627" s="49">
        <v>0</v>
      </c>
      <c r="J627" s="51" t="str">
        <f>IF(H627=0,"No plan at start",I627/H627)</f>
        <v>No plan at start</v>
      </c>
      <c r="K627" s="52">
        <f>H627-I627</f>
        <v>0</v>
      </c>
      <c r="L627" s="49">
        <v>0</v>
      </c>
      <c r="M627" s="49">
        <f>I627+L627</f>
        <v>0</v>
      </c>
      <c r="N627" s="49">
        <f>M627-H627</f>
        <v>0</v>
      </c>
      <c r="O627" s="50" t="str">
        <f>IF(H627=0,"No plan at start",M627/H627)</f>
        <v>No plan at start</v>
      </c>
    </row>
    <row r="628" spans="2:15" hidden="1" outlineLevel="2" x14ac:dyDescent="0.2">
      <c r="B628" s="49" t="s">
        <v>87</v>
      </c>
      <c r="C628" s="49" t="s">
        <v>56</v>
      </c>
      <c r="D628" s="49">
        <v>0</v>
      </c>
      <c r="E628" s="49">
        <v>0</v>
      </c>
      <c r="F628" s="49">
        <f>E628-D628</f>
        <v>0</v>
      </c>
      <c r="G628" s="50">
        <f>IF(D628=0,0,ABS(F628/D628))</f>
        <v>0</v>
      </c>
      <c r="H628" s="49">
        <v>0</v>
      </c>
      <c r="I628" s="49">
        <v>0</v>
      </c>
      <c r="J628" s="51" t="str">
        <f>IF(H628=0,"No plan at start",I628/H628)</f>
        <v>No plan at start</v>
      </c>
      <c r="K628" s="52">
        <f>H628-I628</f>
        <v>0</v>
      </c>
      <c r="L628" s="49">
        <v>0</v>
      </c>
      <c r="M628" s="49">
        <f>I628+L628</f>
        <v>0</v>
      </c>
      <c r="N628" s="49">
        <f>M628-H628</f>
        <v>0</v>
      </c>
      <c r="O628" s="50" t="str">
        <f>IF(H628=0,"No plan at start",M628/H628)</f>
        <v>No plan at start</v>
      </c>
    </row>
    <row r="629" spans="2:15" hidden="1" outlineLevel="2" x14ac:dyDescent="0.2">
      <c r="B629" s="49" t="s">
        <v>87</v>
      </c>
      <c r="C629" s="49" t="s">
        <v>57</v>
      </c>
      <c r="D629" s="49">
        <v>0</v>
      </c>
      <c r="E629" s="49">
        <v>0</v>
      </c>
      <c r="F629" s="49">
        <f>E629-D629</f>
        <v>0</v>
      </c>
      <c r="G629" s="50">
        <f>IF(D629=0,0,ABS(F629/D629))</f>
        <v>0</v>
      </c>
      <c r="H629" s="49">
        <v>0</v>
      </c>
      <c r="I629" s="49">
        <v>0</v>
      </c>
      <c r="J629" s="51" t="str">
        <f>IF(H629=0,"No plan at start",I629/H629)</f>
        <v>No plan at start</v>
      </c>
      <c r="K629" s="52">
        <f>H629-I629</f>
        <v>0</v>
      </c>
      <c r="L629" s="49">
        <v>0</v>
      </c>
      <c r="M629" s="49">
        <f>I629+L629</f>
        <v>0</v>
      </c>
      <c r="N629" s="49">
        <f>M629-H629</f>
        <v>0</v>
      </c>
      <c r="O629" s="50" t="str">
        <f>IF(H629=0,"No plan at start",M629/H629)</f>
        <v>No plan at start</v>
      </c>
    </row>
    <row r="630" spans="2:15" hidden="1" outlineLevel="2" x14ac:dyDescent="0.2">
      <c r="B630" s="49" t="s">
        <v>87</v>
      </c>
      <c r="C630" s="49" t="s">
        <v>58</v>
      </c>
      <c r="D630" s="49">
        <v>0</v>
      </c>
      <c r="E630" s="49">
        <v>0</v>
      </c>
      <c r="F630" s="49">
        <f>E630-D630</f>
        <v>0</v>
      </c>
      <c r="G630" s="50">
        <f>IF(D630=0,0,ABS(F630/D630))</f>
        <v>0</v>
      </c>
      <c r="H630" s="49">
        <v>0</v>
      </c>
      <c r="I630" s="49">
        <v>0</v>
      </c>
      <c r="J630" s="51" t="str">
        <f>IF(H630=0,"No plan at start",I630/H630)</f>
        <v>No plan at start</v>
      </c>
      <c r="K630" s="52">
        <f>H630-I630</f>
        <v>0</v>
      </c>
      <c r="L630" s="49">
        <v>0</v>
      </c>
      <c r="M630" s="49">
        <f>I630+L630</f>
        <v>0</v>
      </c>
      <c r="N630" s="49">
        <f>M630-H630</f>
        <v>0</v>
      </c>
      <c r="O630" s="50" t="str">
        <f>IF(H630=0,"No plan at start",M630/H630)</f>
        <v>No plan at start</v>
      </c>
    </row>
    <row r="631" spans="2:15" hidden="1" outlineLevel="2" x14ac:dyDescent="0.2">
      <c r="B631" s="49" t="s">
        <v>87</v>
      </c>
      <c r="C631" s="49" t="s">
        <v>59</v>
      </c>
      <c r="D631" s="49">
        <v>0</v>
      </c>
      <c r="E631" s="49">
        <v>0</v>
      </c>
      <c r="F631" s="49">
        <f>E631-D631</f>
        <v>0</v>
      </c>
      <c r="G631" s="50">
        <f>IF(D631=0,0,ABS(F631/D631))</f>
        <v>0</v>
      </c>
      <c r="H631" s="49">
        <v>0</v>
      </c>
      <c r="I631" s="49">
        <v>0</v>
      </c>
      <c r="J631" s="51" t="str">
        <f>IF(H631=0,"No plan at start",I631/H631)</f>
        <v>No plan at start</v>
      </c>
      <c r="K631" s="52">
        <f>H631-I631</f>
        <v>0</v>
      </c>
      <c r="L631" s="49">
        <v>0</v>
      </c>
      <c r="M631" s="49">
        <f>I631+L631</f>
        <v>0</v>
      </c>
      <c r="N631" s="49">
        <f>M631-H631</f>
        <v>0</v>
      </c>
      <c r="O631" s="50" t="str">
        <f>IF(H631=0,"No plan at start",M631/H631)</f>
        <v>No plan at start</v>
      </c>
    </row>
    <row r="632" spans="2:15" outlineLevel="1" collapsed="1" x14ac:dyDescent="0.2">
      <c r="B632" s="56" t="s">
        <v>126</v>
      </c>
      <c r="C632" s="49"/>
      <c r="D632" s="49">
        <f>SUBTOTAL(9,D624:D631)</f>
        <v>0</v>
      </c>
      <c r="E632" s="49">
        <f>SUBTOTAL(9,E624:E631)</f>
        <v>0</v>
      </c>
      <c r="F632" s="49">
        <f>SUBTOTAL(9,F624:F631)</f>
        <v>0</v>
      </c>
      <c r="G632" s="50">
        <f>IF(D632=0,0,ABS(F632/D632))</f>
        <v>0</v>
      </c>
      <c r="H632" s="49">
        <f>SUBTOTAL(9,H624:H631)</f>
        <v>0</v>
      </c>
      <c r="I632" s="49">
        <f>SUBTOTAL(9,I624:I631)</f>
        <v>0</v>
      </c>
      <c r="J632" s="51" t="str">
        <f>IF(H632=0,"No plan at start",I632/H632)</f>
        <v>No plan at start</v>
      </c>
      <c r="K632" s="52">
        <f>SUBTOTAL(9,K624:K631)</f>
        <v>0</v>
      </c>
      <c r="L632" s="49">
        <f>SUBTOTAL(9,L624:L631)</f>
        <v>0</v>
      </c>
      <c r="M632" s="49">
        <f>SUBTOTAL(9,M624:M631)</f>
        <v>0</v>
      </c>
      <c r="N632" s="49">
        <f>SUBTOTAL(9,N624:N631)</f>
        <v>0</v>
      </c>
      <c r="O632" s="50" t="str">
        <f>IF(H632=0,"No plan at start",M632/H632)</f>
        <v>No plan at start</v>
      </c>
    </row>
    <row r="633" spans="2:15" hidden="1" outlineLevel="2" x14ac:dyDescent="0.2">
      <c r="B633" s="49" t="s">
        <v>88</v>
      </c>
      <c r="C633" s="49" t="s">
        <v>52</v>
      </c>
      <c r="D633" s="49">
        <v>0</v>
      </c>
      <c r="E633" s="49">
        <v>0</v>
      </c>
      <c r="F633" s="49">
        <f>E633-D633</f>
        <v>0</v>
      </c>
      <c r="G633" s="50">
        <f>IF(D633=0,0,ABS(F633/D633))</f>
        <v>0</v>
      </c>
      <c r="H633" s="49">
        <v>0</v>
      </c>
      <c r="I633" s="49">
        <v>849.68000000000006</v>
      </c>
      <c r="J633" s="51" t="str">
        <f>IF(H633=0,"No plan at start",I633/H633)</f>
        <v>No plan at start</v>
      </c>
      <c r="K633" s="52">
        <f>H633-I633</f>
        <v>-849.68000000000006</v>
      </c>
      <c r="L633" s="49">
        <v>0</v>
      </c>
      <c r="M633" s="49">
        <f>I633+L633</f>
        <v>849.68000000000006</v>
      </c>
      <c r="N633" s="49">
        <f>M633-H633</f>
        <v>849.68000000000006</v>
      </c>
      <c r="O633" s="50" t="str">
        <f>IF(H633=0,"No plan at start",M633/H633)</f>
        <v>No plan at start</v>
      </c>
    </row>
    <row r="634" spans="2:15" hidden="1" outlineLevel="2" x14ac:dyDescent="0.2">
      <c r="B634" s="49" t="s">
        <v>88</v>
      </c>
      <c r="C634" s="49" t="s">
        <v>53</v>
      </c>
      <c r="D634" s="49">
        <v>0</v>
      </c>
      <c r="E634" s="49">
        <v>0</v>
      </c>
      <c r="F634" s="49">
        <f>E634-D634</f>
        <v>0</v>
      </c>
      <c r="G634" s="50">
        <f>IF(D634=0,0,ABS(F634/D634))</f>
        <v>0</v>
      </c>
      <c r="H634" s="49">
        <v>0</v>
      </c>
      <c r="I634" s="49">
        <v>0</v>
      </c>
      <c r="J634" s="51" t="str">
        <f>IF(H634=0,"No plan at start",I634/H634)</f>
        <v>No plan at start</v>
      </c>
      <c r="K634" s="52">
        <f>H634-I634</f>
        <v>0</v>
      </c>
      <c r="L634" s="49">
        <v>0</v>
      </c>
      <c r="M634" s="49">
        <f>I634+L634</f>
        <v>0</v>
      </c>
      <c r="N634" s="49">
        <f>M634-H634</f>
        <v>0</v>
      </c>
      <c r="O634" s="50" t="str">
        <f>IF(H634=0,"No plan at start",M634/H634)</f>
        <v>No plan at start</v>
      </c>
    </row>
    <row r="635" spans="2:15" hidden="1" outlineLevel="2" x14ac:dyDescent="0.2">
      <c r="B635" s="49" t="s">
        <v>88</v>
      </c>
      <c r="C635" s="49" t="s">
        <v>54</v>
      </c>
      <c r="D635" s="49">
        <v>0</v>
      </c>
      <c r="E635" s="49">
        <v>0</v>
      </c>
      <c r="F635" s="49">
        <f>E635-D635</f>
        <v>0</v>
      </c>
      <c r="G635" s="50">
        <f>IF(D635=0,0,ABS(F635/D635))</f>
        <v>0</v>
      </c>
      <c r="H635" s="49">
        <v>0</v>
      </c>
      <c r="I635" s="49">
        <v>0</v>
      </c>
      <c r="J635" s="51" t="str">
        <f>IF(H635=0,"No plan at start",I635/H635)</f>
        <v>No plan at start</v>
      </c>
      <c r="K635" s="52">
        <f>H635-I635</f>
        <v>0</v>
      </c>
      <c r="L635" s="49">
        <v>0</v>
      </c>
      <c r="M635" s="49">
        <f>I635+L635</f>
        <v>0</v>
      </c>
      <c r="N635" s="49">
        <f>M635-H635</f>
        <v>0</v>
      </c>
      <c r="O635" s="50" t="str">
        <f>IF(H635=0,"No plan at start",M635/H635)</f>
        <v>No plan at start</v>
      </c>
    </row>
    <row r="636" spans="2:15" hidden="1" outlineLevel="2" x14ac:dyDescent="0.2">
      <c r="B636" s="49" t="s">
        <v>88</v>
      </c>
      <c r="C636" s="49" t="s">
        <v>55</v>
      </c>
      <c r="D636" s="49">
        <v>0</v>
      </c>
      <c r="E636" s="49">
        <v>0</v>
      </c>
      <c r="F636" s="49">
        <f>E636-D636</f>
        <v>0</v>
      </c>
      <c r="G636" s="50">
        <f>IF(D636=0,0,ABS(F636/D636))</f>
        <v>0</v>
      </c>
      <c r="H636" s="49">
        <v>0</v>
      </c>
      <c r="I636" s="49">
        <v>0</v>
      </c>
      <c r="J636" s="51" t="str">
        <f>IF(H636=0,"No plan at start",I636/H636)</f>
        <v>No plan at start</v>
      </c>
      <c r="K636" s="52">
        <f>H636-I636</f>
        <v>0</v>
      </c>
      <c r="L636" s="49">
        <v>0</v>
      </c>
      <c r="M636" s="49">
        <f>I636+L636</f>
        <v>0</v>
      </c>
      <c r="N636" s="49">
        <f>M636-H636</f>
        <v>0</v>
      </c>
      <c r="O636" s="50" t="str">
        <f>IF(H636=0,"No plan at start",M636/H636)</f>
        <v>No plan at start</v>
      </c>
    </row>
    <row r="637" spans="2:15" hidden="1" outlineLevel="2" x14ac:dyDescent="0.2">
      <c r="B637" s="49" t="s">
        <v>88</v>
      </c>
      <c r="C637" s="49" t="s">
        <v>56</v>
      </c>
      <c r="D637" s="49">
        <v>0</v>
      </c>
      <c r="E637" s="49">
        <v>0</v>
      </c>
      <c r="F637" s="49">
        <f>E637-D637</f>
        <v>0</v>
      </c>
      <c r="G637" s="50">
        <f>IF(D637=0,0,ABS(F637/D637))</f>
        <v>0</v>
      </c>
      <c r="H637" s="49">
        <v>0</v>
      </c>
      <c r="I637" s="49">
        <v>0</v>
      </c>
      <c r="J637" s="51" t="str">
        <f>IF(H637=0,"No plan at start",I637/H637)</f>
        <v>No plan at start</v>
      </c>
      <c r="K637" s="52">
        <f>H637-I637</f>
        <v>0</v>
      </c>
      <c r="L637" s="49">
        <v>0</v>
      </c>
      <c r="M637" s="49">
        <f>I637+L637</f>
        <v>0</v>
      </c>
      <c r="N637" s="49">
        <f>M637-H637</f>
        <v>0</v>
      </c>
      <c r="O637" s="50" t="str">
        <f>IF(H637=0,"No plan at start",M637/H637)</f>
        <v>No plan at start</v>
      </c>
    </row>
    <row r="638" spans="2:15" hidden="1" outlineLevel="2" x14ac:dyDescent="0.2">
      <c r="B638" s="49" t="s">
        <v>88</v>
      </c>
      <c r="C638" s="49" t="s">
        <v>57</v>
      </c>
      <c r="D638" s="49">
        <v>0</v>
      </c>
      <c r="E638" s="49">
        <v>0</v>
      </c>
      <c r="F638" s="49">
        <f>E638-D638</f>
        <v>0</v>
      </c>
      <c r="G638" s="50">
        <f>IF(D638=0,0,ABS(F638/D638))</f>
        <v>0</v>
      </c>
      <c r="H638" s="49">
        <v>0</v>
      </c>
      <c r="I638" s="49">
        <v>0</v>
      </c>
      <c r="J638" s="51" t="str">
        <f>IF(H638=0,"No plan at start",I638/H638)</f>
        <v>No plan at start</v>
      </c>
      <c r="K638" s="52">
        <f>H638-I638</f>
        <v>0</v>
      </c>
      <c r="L638" s="49">
        <v>0</v>
      </c>
      <c r="M638" s="49">
        <f>I638+L638</f>
        <v>0</v>
      </c>
      <c r="N638" s="49">
        <f>M638-H638</f>
        <v>0</v>
      </c>
      <c r="O638" s="50" t="str">
        <f>IF(H638=0,"No plan at start",M638/H638)</f>
        <v>No plan at start</v>
      </c>
    </row>
    <row r="639" spans="2:15" hidden="1" outlineLevel="2" x14ac:dyDescent="0.2">
      <c r="B639" s="49" t="s">
        <v>88</v>
      </c>
      <c r="C639" s="49" t="s">
        <v>58</v>
      </c>
      <c r="D639" s="49">
        <v>0</v>
      </c>
      <c r="E639" s="49">
        <v>0</v>
      </c>
      <c r="F639" s="49">
        <f>E639-D639</f>
        <v>0</v>
      </c>
      <c r="G639" s="50">
        <f>IF(D639=0,0,ABS(F639/D639))</f>
        <v>0</v>
      </c>
      <c r="H639" s="49">
        <v>0</v>
      </c>
      <c r="I639" s="49">
        <v>0</v>
      </c>
      <c r="J639" s="51" t="str">
        <f>IF(H639=0,"No plan at start",I639/H639)</f>
        <v>No plan at start</v>
      </c>
      <c r="K639" s="52">
        <f>H639-I639</f>
        <v>0</v>
      </c>
      <c r="L639" s="49">
        <v>0</v>
      </c>
      <c r="M639" s="49">
        <f>I639+L639</f>
        <v>0</v>
      </c>
      <c r="N639" s="49">
        <f>M639-H639</f>
        <v>0</v>
      </c>
      <c r="O639" s="50" t="str">
        <f>IF(H639=0,"No plan at start",M639/H639)</f>
        <v>No plan at start</v>
      </c>
    </row>
    <row r="640" spans="2:15" hidden="1" outlineLevel="2" x14ac:dyDescent="0.2">
      <c r="B640" s="49" t="s">
        <v>88</v>
      </c>
      <c r="C640" s="49" t="s">
        <v>59</v>
      </c>
      <c r="D640" s="49">
        <v>0</v>
      </c>
      <c r="E640" s="49">
        <v>0</v>
      </c>
      <c r="F640" s="49">
        <f>E640-D640</f>
        <v>0</v>
      </c>
      <c r="G640" s="50">
        <f>IF(D640=0,0,ABS(F640/D640))</f>
        <v>0</v>
      </c>
      <c r="H640" s="49">
        <v>0</v>
      </c>
      <c r="I640" s="49">
        <v>0</v>
      </c>
      <c r="J640" s="51" t="str">
        <f>IF(H640=0,"No plan at start",I640/H640)</f>
        <v>No plan at start</v>
      </c>
      <c r="K640" s="52">
        <f>H640-I640</f>
        <v>0</v>
      </c>
      <c r="L640" s="49">
        <v>0</v>
      </c>
      <c r="M640" s="49">
        <f>I640+L640</f>
        <v>0</v>
      </c>
      <c r="N640" s="49">
        <f>M640-H640</f>
        <v>0</v>
      </c>
      <c r="O640" s="50" t="str">
        <f>IF(H640=0,"No plan at start",M640/H640)</f>
        <v>No plan at start</v>
      </c>
    </row>
    <row r="641" spans="2:15" outlineLevel="1" collapsed="1" x14ac:dyDescent="0.2">
      <c r="B641" s="56" t="s">
        <v>127</v>
      </c>
      <c r="C641" s="49"/>
      <c r="D641" s="49">
        <f>SUBTOTAL(9,D633:D640)</f>
        <v>0</v>
      </c>
      <c r="E641" s="49">
        <f>SUBTOTAL(9,E633:E640)</f>
        <v>0</v>
      </c>
      <c r="F641" s="49">
        <f>SUBTOTAL(9,F633:F640)</f>
        <v>0</v>
      </c>
      <c r="G641" s="50">
        <f>IF(D641=0,0,ABS(F641/D641))</f>
        <v>0</v>
      </c>
      <c r="H641" s="49">
        <f>SUBTOTAL(9,H633:H640)</f>
        <v>0</v>
      </c>
      <c r="I641" s="49">
        <f>SUBTOTAL(9,I633:I640)</f>
        <v>849.68000000000006</v>
      </c>
      <c r="J641" s="51" t="str">
        <f>IF(H641=0,"No plan at start",I641/H641)</f>
        <v>No plan at start</v>
      </c>
      <c r="K641" s="52">
        <f>SUBTOTAL(9,K633:K640)</f>
        <v>-849.68000000000006</v>
      </c>
      <c r="L641" s="49">
        <f>SUBTOTAL(9,L633:L640)</f>
        <v>0</v>
      </c>
      <c r="M641" s="49">
        <f>SUBTOTAL(9,M633:M640)</f>
        <v>849.68000000000006</v>
      </c>
      <c r="N641" s="49">
        <f>SUBTOTAL(9,N633:N640)</f>
        <v>849.68000000000006</v>
      </c>
      <c r="O641" s="50" t="str">
        <f>IF(H641=0,"No plan at start",M641/H641)</f>
        <v>No plan at start</v>
      </c>
    </row>
    <row r="642" spans="2:15" hidden="1" outlineLevel="2" x14ac:dyDescent="0.2">
      <c r="B642" s="49" t="s">
        <v>89</v>
      </c>
      <c r="C642" s="49" t="s">
        <v>52</v>
      </c>
      <c r="D642" s="49">
        <v>0</v>
      </c>
      <c r="E642" s="49">
        <v>0</v>
      </c>
      <c r="F642" s="49">
        <f>E642-D642</f>
        <v>0</v>
      </c>
      <c r="G642" s="50">
        <f>IF(D642=0,0,ABS(F642/D642))</f>
        <v>0</v>
      </c>
      <c r="H642" s="49">
        <v>0</v>
      </c>
      <c r="I642" s="49">
        <v>0</v>
      </c>
      <c r="J642" s="51" t="str">
        <f>IF(H642=0,"No plan at start",I642/H642)</f>
        <v>No plan at start</v>
      </c>
      <c r="K642" s="52">
        <f>H642-I642</f>
        <v>0</v>
      </c>
      <c r="L642" s="49">
        <v>0</v>
      </c>
      <c r="M642" s="49">
        <f>I642+L642</f>
        <v>0</v>
      </c>
      <c r="N642" s="49">
        <f>M642-H642</f>
        <v>0</v>
      </c>
      <c r="O642" s="50" t="str">
        <f>IF(H642=0,"No plan at start",M642/H642)</f>
        <v>No plan at start</v>
      </c>
    </row>
    <row r="643" spans="2:15" hidden="1" outlineLevel="2" x14ac:dyDescent="0.2">
      <c r="B643" s="49" t="s">
        <v>89</v>
      </c>
      <c r="C643" s="49" t="s">
        <v>53</v>
      </c>
      <c r="D643" s="49">
        <v>0</v>
      </c>
      <c r="E643" s="49">
        <v>0</v>
      </c>
      <c r="F643" s="49">
        <f>E643-D643</f>
        <v>0</v>
      </c>
      <c r="G643" s="50">
        <f>IF(D643=0,0,ABS(F643/D643))</f>
        <v>0</v>
      </c>
      <c r="H643" s="49">
        <v>0</v>
      </c>
      <c r="I643" s="49">
        <v>0</v>
      </c>
      <c r="J643" s="51" t="str">
        <f>IF(H643=0,"No plan at start",I643/H643)</f>
        <v>No plan at start</v>
      </c>
      <c r="K643" s="52">
        <f>H643-I643</f>
        <v>0</v>
      </c>
      <c r="L643" s="49">
        <v>0</v>
      </c>
      <c r="M643" s="49">
        <f>I643+L643</f>
        <v>0</v>
      </c>
      <c r="N643" s="49">
        <f>M643-H643</f>
        <v>0</v>
      </c>
      <c r="O643" s="50" t="str">
        <f>IF(H643=0,"No plan at start",M643/H643)</f>
        <v>No plan at start</v>
      </c>
    </row>
    <row r="644" spans="2:15" hidden="1" outlineLevel="2" x14ac:dyDescent="0.2">
      <c r="B644" s="49" t="s">
        <v>89</v>
      </c>
      <c r="C644" s="49" t="s">
        <v>54</v>
      </c>
      <c r="D644" s="49">
        <v>0</v>
      </c>
      <c r="E644" s="49">
        <v>0</v>
      </c>
      <c r="F644" s="49">
        <f>E644-D644</f>
        <v>0</v>
      </c>
      <c r="G644" s="50">
        <f>IF(D644=0,0,ABS(F644/D644))</f>
        <v>0</v>
      </c>
      <c r="H644" s="49">
        <v>0</v>
      </c>
      <c r="I644" s="49">
        <v>0</v>
      </c>
      <c r="J644" s="51" t="str">
        <f>IF(H644=0,"No plan at start",I644/H644)</f>
        <v>No plan at start</v>
      </c>
      <c r="K644" s="52">
        <f>H644-I644</f>
        <v>0</v>
      </c>
      <c r="L644" s="49">
        <v>0</v>
      </c>
      <c r="M644" s="49">
        <f>I644+L644</f>
        <v>0</v>
      </c>
      <c r="N644" s="49">
        <f>M644-H644</f>
        <v>0</v>
      </c>
      <c r="O644" s="50" t="str">
        <f>IF(H644=0,"No plan at start",M644/H644)</f>
        <v>No plan at start</v>
      </c>
    </row>
    <row r="645" spans="2:15" hidden="1" outlineLevel="2" x14ac:dyDescent="0.2">
      <c r="B645" s="49" t="s">
        <v>89</v>
      </c>
      <c r="C645" s="49" t="s">
        <v>55</v>
      </c>
      <c r="D645" s="49">
        <v>0</v>
      </c>
      <c r="E645" s="49">
        <v>0</v>
      </c>
      <c r="F645" s="49">
        <f>E645-D645</f>
        <v>0</v>
      </c>
      <c r="G645" s="50">
        <f>IF(D645=0,0,ABS(F645/D645))</f>
        <v>0</v>
      </c>
      <c r="H645" s="49">
        <v>0</v>
      </c>
      <c r="I645" s="49">
        <v>0</v>
      </c>
      <c r="J645" s="51" t="str">
        <f>IF(H645=0,"No plan at start",I645/H645)</f>
        <v>No plan at start</v>
      </c>
      <c r="K645" s="52">
        <f>H645-I645</f>
        <v>0</v>
      </c>
      <c r="L645" s="49">
        <v>0</v>
      </c>
      <c r="M645" s="49">
        <f>I645+L645</f>
        <v>0</v>
      </c>
      <c r="N645" s="49">
        <f>M645-H645</f>
        <v>0</v>
      </c>
      <c r="O645" s="50" t="str">
        <f>IF(H645=0,"No plan at start",M645/H645)</f>
        <v>No plan at start</v>
      </c>
    </row>
    <row r="646" spans="2:15" hidden="1" outlineLevel="2" x14ac:dyDescent="0.2">
      <c r="B646" s="49" t="s">
        <v>89</v>
      </c>
      <c r="C646" s="49" t="s">
        <v>56</v>
      </c>
      <c r="D646" s="49">
        <v>0</v>
      </c>
      <c r="E646" s="49">
        <v>0</v>
      </c>
      <c r="F646" s="49">
        <f>E646-D646</f>
        <v>0</v>
      </c>
      <c r="G646" s="50">
        <f>IF(D646=0,0,ABS(F646/D646))</f>
        <v>0</v>
      </c>
      <c r="H646" s="49">
        <v>0</v>
      </c>
      <c r="I646" s="49">
        <v>0</v>
      </c>
      <c r="J646" s="51" t="str">
        <f>IF(H646=0,"No plan at start",I646/H646)</f>
        <v>No plan at start</v>
      </c>
      <c r="K646" s="52">
        <f>H646-I646</f>
        <v>0</v>
      </c>
      <c r="L646" s="49">
        <v>0</v>
      </c>
      <c r="M646" s="49">
        <f>I646+L646</f>
        <v>0</v>
      </c>
      <c r="N646" s="49">
        <f>M646-H646</f>
        <v>0</v>
      </c>
      <c r="O646" s="50" t="str">
        <f>IF(H646=0,"No plan at start",M646/H646)</f>
        <v>No plan at start</v>
      </c>
    </row>
    <row r="647" spans="2:15" hidden="1" outlineLevel="2" x14ac:dyDescent="0.2">
      <c r="B647" s="49" t="s">
        <v>89</v>
      </c>
      <c r="C647" s="49" t="s">
        <v>57</v>
      </c>
      <c r="D647" s="49">
        <v>0</v>
      </c>
      <c r="E647" s="49">
        <v>0</v>
      </c>
      <c r="F647" s="49">
        <f>E647-D647</f>
        <v>0</v>
      </c>
      <c r="G647" s="50">
        <f>IF(D647=0,0,ABS(F647/D647))</f>
        <v>0</v>
      </c>
      <c r="H647" s="49">
        <v>0</v>
      </c>
      <c r="I647" s="49">
        <v>0</v>
      </c>
      <c r="J647" s="51" t="str">
        <f>IF(H647=0,"No plan at start",I647/H647)</f>
        <v>No plan at start</v>
      </c>
      <c r="K647" s="52">
        <f>H647-I647</f>
        <v>0</v>
      </c>
      <c r="L647" s="49">
        <v>0</v>
      </c>
      <c r="M647" s="49">
        <f>I647+L647</f>
        <v>0</v>
      </c>
      <c r="N647" s="49">
        <f>M647-H647</f>
        <v>0</v>
      </c>
      <c r="O647" s="50" t="str">
        <f>IF(H647=0,"No plan at start",M647/H647)</f>
        <v>No plan at start</v>
      </c>
    </row>
    <row r="648" spans="2:15" hidden="1" outlineLevel="2" x14ac:dyDescent="0.2">
      <c r="B648" s="49" t="s">
        <v>89</v>
      </c>
      <c r="C648" s="49" t="s">
        <v>58</v>
      </c>
      <c r="D648" s="49">
        <v>0</v>
      </c>
      <c r="E648" s="49">
        <v>0</v>
      </c>
      <c r="F648" s="49">
        <f>E648-D648</f>
        <v>0</v>
      </c>
      <c r="G648" s="50">
        <f>IF(D648=0,0,ABS(F648/D648))</f>
        <v>0</v>
      </c>
      <c r="H648" s="49">
        <v>0</v>
      </c>
      <c r="I648" s="49">
        <v>0</v>
      </c>
      <c r="J648" s="51" t="str">
        <f>IF(H648=0,"No plan at start",I648/H648)</f>
        <v>No plan at start</v>
      </c>
      <c r="K648" s="52">
        <f>H648-I648</f>
        <v>0</v>
      </c>
      <c r="L648" s="49">
        <v>0</v>
      </c>
      <c r="M648" s="49">
        <f>I648+L648</f>
        <v>0</v>
      </c>
      <c r="N648" s="49">
        <f>M648-H648</f>
        <v>0</v>
      </c>
      <c r="O648" s="50" t="str">
        <f>IF(H648=0,"No plan at start",M648/H648)</f>
        <v>No plan at start</v>
      </c>
    </row>
    <row r="649" spans="2:15" hidden="1" outlineLevel="2" x14ac:dyDescent="0.2">
      <c r="B649" s="49" t="s">
        <v>89</v>
      </c>
      <c r="C649" s="49" t="s">
        <v>59</v>
      </c>
      <c r="D649" s="49">
        <v>0</v>
      </c>
      <c r="E649" s="49">
        <v>0</v>
      </c>
      <c r="F649" s="49">
        <f>E649-D649</f>
        <v>0</v>
      </c>
      <c r="G649" s="50">
        <f>IF(D649=0,0,ABS(F649/D649))</f>
        <v>0</v>
      </c>
      <c r="H649" s="49">
        <v>0</v>
      </c>
      <c r="I649" s="49">
        <v>0</v>
      </c>
      <c r="J649" s="51" t="str">
        <f>IF(H649=0,"No plan at start",I649/H649)</f>
        <v>No plan at start</v>
      </c>
      <c r="K649" s="52">
        <f>H649-I649</f>
        <v>0</v>
      </c>
      <c r="L649" s="49">
        <v>0</v>
      </c>
      <c r="M649" s="49">
        <f>I649+L649</f>
        <v>0</v>
      </c>
      <c r="N649" s="49">
        <f>M649-H649</f>
        <v>0</v>
      </c>
      <c r="O649" s="50" t="str">
        <f>IF(H649=0,"No plan at start",M649/H649)</f>
        <v>No plan at start</v>
      </c>
    </row>
    <row r="650" spans="2:15" outlineLevel="1" collapsed="1" x14ac:dyDescent="0.2">
      <c r="B650" s="56" t="s">
        <v>128</v>
      </c>
      <c r="C650" s="49"/>
      <c r="D650" s="49">
        <f>SUBTOTAL(9,D642:D649)</f>
        <v>0</v>
      </c>
      <c r="E650" s="49">
        <f>SUBTOTAL(9,E642:E649)</f>
        <v>0</v>
      </c>
      <c r="F650" s="49">
        <f>SUBTOTAL(9,F642:F649)</f>
        <v>0</v>
      </c>
      <c r="G650" s="50">
        <f>IF(D650=0,0,ABS(F650/D650))</f>
        <v>0</v>
      </c>
      <c r="H650" s="49">
        <f>SUBTOTAL(9,H642:H649)</f>
        <v>0</v>
      </c>
      <c r="I650" s="49">
        <f>SUBTOTAL(9,I642:I649)</f>
        <v>0</v>
      </c>
      <c r="J650" s="51" t="str">
        <f>IF(H650=0,"No plan at start",I650/H650)</f>
        <v>No plan at start</v>
      </c>
      <c r="K650" s="52">
        <f>SUBTOTAL(9,K642:K649)</f>
        <v>0</v>
      </c>
      <c r="L650" s="49">
        <f>SUBTOTAL(9,L642:L649)</f>
        <v>0</v>
      </c>
      <c r="M650" s="49">
        <f>SUBTOTAL(9,M642:M649)</f>
        <v>0</v>
      </c>
      <c r="N650" s="49">
        <f>SUBTOTAL(9,N642:N649)</f>
        <v>0</v>
      </c>
      <c r="O650" s="50" t="str">
        <f>IF(H650=0,"No plan at start",M650/H650)</f>
        <v>No plan at start</v>
      </c>
    </row>
    <row r="651" spans="2:15" hidden="1" outlineLevel="2" x14ac:dyDescent="0.2">
      <c r="B651" s="49" t="s">
        <v>90</v>
      </c>
      <c r="C651" s="49" t="s">
        <v>52</v>
      </c>
      <c r="D651" s="49">
        <v>0</v>
      </c>
      <c r="E651" s="49">
        <v>0</v>
      </c>
      <c r="F651" s="49">
        <f>E651-D651</f>
        <v>0</v>
      </c>
      <c r="G651" s="50">
        <f>IF(D651=0,0,ABS(F651/D651))</f>
        <v>0</v>
      </c>
      <c r="H651" s="49">
        <v>0</v>
      </c>
      <c r="I651" s="49">
        <v>983.84</v>
      </c>
      <c r="J651" s="51" t="str">
        <f>IF(H651=0,"No plan at start",I651/H651)</f>
        <v>No plan at start</v>
      </c>
      <c r="K651" s="52">
        <f>H651-I651</f>
        <v>-983.84</v>
      </c>
      <c r="L651" s="49">
        <v>0</v>
      </c>
      <c r="M651" s="49">
        <f>I651+L651</f>
        <v>983.84</v>
      </c>
      <c r="N651" s="49">
        <f>M651-H651</f>
        <v>983.84</v>
      </c>
      <c r="O651" s="50" t="str">
        <f>IF(H651=0,"No plan at start",M651/H651)</f>
        <v>No plan at start</v>
      </c>
    </row>
    <row r="652" spans="2:15" hidden="1" outlineLevel="2" x14ac:dyDescent="0.2">
      <c r="B652" s="49" t="s">
        <v>90</v>
      </c>
      <c r="C652" s="49" t="s">
        <v>53</v>
      </c>
      <c r="D652" s="49">
        <v>0</v>
      </c>
      <c r="E652" s="49">
        <v>1878.3484000000001</v>
      </c>
      <c r="F652" s="49">
        <f>E652-D652</f>
        <v>1878.3484000000001</v>
      </c>
      <c r="G652" s="50">
        <f>IF(D652=0,0,ABS(F652/D652))</f>
        <v>0</v>
      </c>
      <c r="H652" s="49">
        <v>6344.642857142856</v>
      </c>
      <c r="I652" s="49">
        <v>82083.823199999882</v>
      </c>
      <c r="J652" s="51">
        <f>IF(H652=0,"No plan at start",I652/H652)</f>
        <v>12.937500982831393</v>
      </c>
      <c r="K652" s="52">
        <f>H652-I652</f>
        <v>-75739.180342857027</v>
      </c>
      <c r="L652" s="49">
        <v>0</v>
      </c>
      <c r="M652" s="49">
        <f>I652+L652</f>
        <v>82083.823199999882</v>
      </c>
      <c r="N652" s="49">
        <f>M652-H652</f>
        <v>75739.180342857027</v>
      </c>
      <c r="O652" s="50">
        <f>IF(H652=0,"No plan at start",M652/H652)</f>
        <v>12.937500982831393</v>
      </c>
    </row>
    <row r="653" spans="2:15" hidden="1" outlineLevel="2" x14ac:dyDescent="0.2">
      <c r="B653" s="49" t="s">
        <v>90</v>
      </c>
      <c r="C653" s="49" t="s">
        <v>54</v>
      </c>
      <c r="D653" s="49">
        <v>0</v>
      </c>
      <c r="E653" s="49">
        <v>0</v>
      </c>
      <c r="F653" s="49">
        <f>E653-D653</f>
        <v>0</v>
      </c>
      <c r="G653" s="50">
        <f>IF(D653=0,0,ABS(F653/D653))</f>
        <v>0</v>
      </c>
      <c r="H653" s="49">
        <v>0</v>
      </c>
      <c r="I653" s="49">
        <v>0</v>
      </c>
      <c r="J653" s="51" t="str">
        <f>IF(H653=0,"No plan at start",I653/H653)</f>
        <v>No plan at start</v>
      </c>
      <c r="K653" s="52">
        <f>H653-I653</f>
        <v>0</v>
      </c>
      <c r="L653" s="49">
        <v>0</v>
      </c>
      <c r="M653" s="49">
        <f>I653+L653</f>
        <v>0</v>
      </c>
      <c r="N653" s="49">
        <f>M653-H653</f>
        <v>0</v>
      </c>
      <c r="O653" s="50" t="str">
        <f>IF(H653=0,"No plan at start",M653/H653)</f>
        <v>No plan at start</v>
      </c>
    </row>
    <row r="654" spans="2:15" hidden="1" outlineLevel="2" x14ac:dyDescent="0.2">
      <c r="B654" s="49" t="s">
        <v>90</v>
      </c>
      <c r="C654" s="49" t="s">
        <v>55</v>
      </c>
      <c r="D654" s="49">
        <v>0</v>
      </c>
      <c r="E654" s="49">
        <v>0</v>
      </c>
      <c r="F654" s="49">
        <f>E654-D654</f>
        <v>0</v>
      </c>
      <c r="G654" s="50">
        <f>IF(D654=0,0,ABS(F654/D654))</f>
        <v>0</v>
      </c>
      <c r="H654" s="49">
        <v>0</v>
      </c>
      <c r="I654" s="49">
        <v>0</v>
      </c>
      <c r="J654" s="51" t="str">
        <f>IF(H654=0,"No plan at start",I654/H654)</f>
        <v>No plan at start</v>
      </c>
      <c r="K654" s="52">
        <f>H654-I654</f>
        <v>0</v>
      </c>
      <c r="L654" s="49">
        <v>0</v>
      </c>
      <c r="M654" s="49">
        <f>I654+L654</f>
        <v>0</v>
      </c>
      <c r="N654" s="49">
        <f>M654-H654</f>
        <v>0</v>
      </c>
      <c r="O654" s="50" t="str">
        <f>IF(H654=0,"No plan at start",M654/H654)</f>
        <v>No plan at start</v>
      </c>
    </row>
    <row r="655" spans="2:15" hidden="1" outlineLevel="2" x14ac:dyDescent="0.2">
      <c r="B655" s="49" t="s">
        <v>90</v>
      </c>
      <c r="C655" s="49" t="s">
        <v>56</v>
      </c>
      <c r="D655" s="49">
        <v>0</v>
      </c>
      <c r="E655" s="49">
        <v>0</v>
      </c>
      <c r="F655" s="49">
        <f>E655-D655</f>
        <v>0</v>
      </c>
      <c r="G655" s="50">
        <f>IF(D655=0,0,ABS(F655/D655))</f>
        <v>0</v>
      </c>
      <c r="H655" s="49">
        <v>0</v>
      </c>
      <c r="I655" s="49">
        <v>0</v>
      </c>
      <c r="J655" s="51" t="str">
        <f>IF(H655=0,"No plan at start",I655/H655)</f>
        <v>No plan at start</v>
      </c>
      <c r="K655" s="52">
        <f>H655-I655</f>
        <v>0</v>
      </c>
      <c r="L655" s="49">
        <v>0</v>
      </c>
      <c r="M655" s="49">
        <f>I655+L655</f>
        <v>0</v>
      </c>
      <c r="N655" s="49">
        <f>M655-H655</f>
        <v>0</v>
      </c>
      <c r="O655" s="50" t="str">
        <f>IF(H655=0,"No plan at start",M655/H655)</f>
        <v>No plan at start</v>
      </c>
    </row>
    <row r="656" spans="2:15" hidden="1" outlineLevel="2" x14ac:dyDescent="0.2">
      <c r="B656" s="49" t="s">
        <v>90</v>
      </c>
      <c r="C656" s="49" t="s">
        <v>57</v>
      </c>
      <c r="D656" s="49">
        <v>0</v>
      </c>
      <c r="E656" s="49">
        <v>0</v>
      </c>
      <c r="F656" s="49">
        <f>E656-D656</f>
        <v>0</v>
      </c>
      <c r="G656" s="50">
        <f>IF(D656=0,0,ABS(F656/D656))</f>
        <v>0</v>
      </c>
      <c r="H656" s="49">
        <v>0</v>
      </c>
      <c r="I656" s="49">
        <v>0</v>
      </c>
      <c r="J656" s="51" t="str">
        <f>IF(H656=0,"No plan at start",I656/H656)</f>
        <v>No plan at start</v>
      </c>
      <c r="K656" s="52">
        <f>H656-I656</f>
        <v>0</v>
      </c>
      <c r="L656" s="49">
        <v>0</v>
      </c>
      <c r="M656" s="49">
        <f>I656+L656</f>
        <v>0</v>
      </c>
      <c r="N656" s="49">
        <f>M656-H656</f>
        <v>0</v>
      </c>
      <c r="O656" s="50" t="str">
        <f>IF(H656=0,"No plan at start",M656/H656)</f>
        <v>No plan at start</v>
      </c>
    </row>
    <row r="657" spans="2:15" hidden="1" outlineLevel="2" x14ac:dyDescent="0.2">
      <c r="B657" s="49" t="s">
        <v>90</v>
      </c>
      <c r="C657" s="49" t="s">
        <v>58</v>
      </c>
      <c r="D657" s="49">
        <v>0</v>
      </c>
      <c r="E657" s="49">
        <v>0</v>
      </c>
      <c r="F657" s="49">
        <f>E657-D657</f>
        <v>0</v>
      </c>
      <c r="G657" s="50">
        <f>IF(D657=0,0,ABS(F657/D657))</f>
        <v>0</v>
      </c>
      <c r="H657" s="49">
        <v>0</v>
      </c>
      <c r="I657" s="49">
        <v>0</v>
      </c>
      <c r="J657" s="51" t="str">
        <f>IF(H657=0,"No plan at start",I657/H657)</f>
        <v>No plan at start</v>
      </c>
      <c r="K657" s="52">
        <f>H657-I657</f>
        <v>0</v>
      </c>
      <c r="L657" s="49">
        <v>0</v>
      </c>
      <c r="M657" s="49">
        <f>I657+L657</f>
        <v>0</v>
      </c>
      <c r="N657" s="49">
        <f>M657-H657</f>
        <v>0</v>
      </c>
      <c r="O657" s="50" t="str">
        <f>IF(H657=0,"No plan at start",M657/H657)</f>
        <v>No plan at start</v>
      </c>
    </row>
    <row r="658" spans="2:15" hidden="1" outlineLevel="2" x14ac:dyDescent="0.2">
      <c r="B658" s="49" t="s">
        <v>90</v>
      </c>
      <c r="C658" s="49" t="s">
        <v>59</v>
      </c>
      <c r="D658" s="49">
        <v>0</v>
      </c>
      <c r="E658" s="49">
        <v>0</v>
      </c>
      <c r="F658" s="49">
        <f>E658-D658</f>
        <v>0</v>
      </c>
      <c r="G658" s="50">
        <f>IF(D658=0,0,ABS(F658/D658))</f>
        <v>0</v>
      </c>
      <c r="H658" s="49">
        <v>0</v>
      </c>
      <c r="I658" s="49">
        <v>0</v>
      </c>
      <c r="J658" s="51" t="str">
        <f>IF(H658=0,"No plan at start",I658/H658)</f>
        <v>No plan at start</v>
      </c>
      <c r="K658" s="52">
        <f>H658-I658</f>
        <v>0</v>
      </c>
      <c r="L658" s="49">
        <v>0</v>
      </c>
      <c r="M658" s="49">
        <f>I658+L658</f>
        <v>0</v>
      </c>
      <c r="N658" s="49">
        <f>M658-H658</f>
        <v>0</v>
      </c>
      <c r="O658" s="50" t="str">
        <f>IF(H658=0,"No plan at start",M658/H658)</f>
        <v>No plan at start</v>
      </c>
    </row>
    <row r="659" spans="2:15" outlineLevel="1" collapsed="1" x14ac:dyDescent="0.2">
      <c r="B659" s="56" t="s">
        <v>129</v>
      </c>
      <c r="C659" s="49"/>
      <c r="D659" s="49">
        <f>SUBTOTAL(9,D651:D658)</f>
        <v>0</v>
      </c>
      <c r="E659" s="49">
        <f>SUBTOTAL(9,E651:E658)</f>
        <v>1878.3484000000001</v>
      </c>
      <c r="F659" s="49">
        <f>SUBTOTAL(9,F651:F658)</f>
        <v>1878.3484000000001</v>
      </c>
      <c r="G659" s="50">
        <f>IF(D659=0,0,ABS(F659/D659))</f>
        <v>0</v>
      </c>
      <c r="H659" s="49">
        <f>SUBTOTAL(9,H651:H658)</f>
        <v>6344.642857142856</v>
      </c>
      <c r="I659" s="49">
        <f>SUBTOTAL(9,I651:I658)</f>
        <v>83067.663199999879</v>
      </c>
      <c r="J659" s="51">
        <f>IF(H659=0,"No plan at start",I659/H659)</f>
        <v>13.092567236701363</v>
      </c>
      <c r="K659" s="52">
        <f>SUBTOTAL(9,K651:K658)</f>
        <v>-76723.020342857024</v>
      </c>
      <c r="L659" s="49">
        <f>SUBTOTAL(9,L651:L658)</f>
        <v>0</v>
      </c>
      <c r="M659" s="49">
        <f>SUBTOTAL(9,M651:M658)</f>
        <v>83067.663199999879</v>
      </c>
      <c r="N659" s="49">
        <f>SUBTOTAL(9,N651:N658)</f>
        <v>76723.020342857024</v>
      </c>
      <c r="O659" s="50">
        <f>IF(H659=0,"No plan at start",M659/H659)</f>
        <v>13.092567236701363</v>
      </c>
    </row>
    <row r="660" spans="2:15" hidden="1" outlineLevel="2" x14ac:dyDescent="0.2">
      <c r="B660" s="49" t="s">
        <v>91</v>
      </c>
      <c r="C660" s="49" t="s">
        <v>52</v>
      </c>
      <c r="D660" s="49">
        <v>0</v>
      </c>
      <c r="E660" s="49">
        <v>0</v>
      </c>
      <c r="F660" s="49">
        <f>E660-D660</f>
        <v>0</v>
      </c>
      <c r="G660" s="50">
        <f>IF(D660=0,0,ABS(F660/D660))</f>
        <v>0</v>
      </c>
      <c r="H660" s="49">
        <v>0</v>
      </c>
      <c r="I660" s="49">
        <v>0</v>
      </c>
      <c r="J660" s="51" t="str">
        <f>IF(H660=0,"No plan at start",I660/H660)</f>
        <v>No plan at start</v>
      </c>
      <c r="K660" s="52">
        <f>H660-I660</f>
        <v>0</v>
      </c>
      <c r="L660" s="49">
        <v>0</v>
      </c>
      <c r="M660" s="49">
        <f>I660+L660</f>
        <v>0</v>
      </c>
      <c r="N660" s="49">
        <f>M660-H660</f>
        <v>0</v>
      </c>
      <c r="O660" s="50" t="str">
        <f>IF(H660=0,"No plan at start",M660/H660)</f>
        <v>No plan at start</v>
      </c>
    </row>
    <row r="661" spans="2:15" hidden="1" outlineLevel="2" x14ac:dyDescent="0.2">
      <c r="B661" s="49" t="s">
        <v>91</v>
      </c>
      <c r="C661" s="49" t="s">
        <v>53</v>
      </c>
      <c r="D661" s="49">
        <v>0</v>
      </c>
      <c r="E661" s="49">
        <v>0</v>
      </c>
      <c r="F661" s="49">
        <f>E661-D661</f>
        <v>0</v>
      </c>
      <c r="G661" s="50">
        <f>IF(D661=0,0,ABS(F661/D661))</f>
        <v>0</v>
      </c>
      <c r="H661" s="49">
        <v>0</v>
      </c>
      <c r="I661" s="49">
        <v>0</v>
      </c>
      <c r="J661" s="51" t="str">
        <f>IF(H661=0,"No plan at start",I661/H661)</f>
        <v>No plan at start</v>
      </c>
      <c r="K661" s="52">
        <f>H661-I661</f>
        <v>0</v>
      </c>
      <c r="L661" s="49">
        <v>0</v>
      </c>
      <c r="M661" s="49">
        <f>I661+L661</f>
        <v>0</v>
      </c>
      <c r="N661" s="49">
        <f>M661-H661</f>
        <v>0</v>
      </c>
      <c r="O661" s="50" t="str">
        <f>IF(H661=0,"No plan at start",M661/H661)</f>
        <v>No plan at start</v>
      </c>
    </row>
    <row r="662" spans="2:15" hidden="1" outlineLevel="2" x14ac:dyDescent="0.2">
      <c r="B662" s="49" t="s">
        <v>91</v>
      </c>
      <c r="C662" s="49" t="s">
        <v>54</v>
      </c>
      <c r="D662" s="49">
        <v>0</v>
      </c>
      <c r="E662" s="49">
        <v>0</v>
      </c>
      <c r="F662" s="49">
        <f>E662-D662</f>
        <v>0</v>
      </c>
      <c r="G662" s="50">
        <f>IF(D662=0,0,ABS(F662/D662))</f>
        <v>0</v>
      </c>
      <c r="H662" s="49">
        <v>0</v>
      </c>
      <c r="I662" s="49">
        <v>0</v>
      </c>
      <c r="J662" s="51" t="str">
        <f>IF(H662=0,"No plan at start",I662/H662)</f>
        <v>No plan at start</v>
      </c>
      <c r="K662" s="52">
        <f>H662-I662</f>
        <v>0</v>
      </c>
      <c r="L662" s="49">
        <v>0</v>
      </c>
      <c r="M662" s="49">
        <f>I662+L662</f>
        <v>0</v>
      </c>
      <c r="N662" s="49">
        <f>M662-H662</f>
        <v>0</v>
      </c>
      <c r="O662" s="50" t="str">
        <f>IF(H662=0,"No plan at start",M662/H662)</f>
        <v>No plan at start</v>
      </c>
    </row>
    <row r="663" spans="2:15" hidden="1" outlineLevel="2" x14ac:dyDescent="0.2">
      <c r="B663" s="49" t="s">
        <v>91</v>
      </c>
      <c r="C663" s="49" t="s">
        <v>55</v>
      </c>
      <c r="D663" s="49">
        <v>0</v>
      </c>
      <c r="E663" s="49">
        <v>0</v>
      </c>
      <c r="F663" s="49">
        <f>E663-D663</f>
        <v>0</v>
      </c>
      <c r="G663" s="50">
        <f>IF(D663=0,0,ABS(F663/D663))</f>
        <v>0</v>
      </c>
      <c r="H663" s="49">
        <v>0</v>
      </c>
      <c r="I663" s="49">
        <v>624</v>
      </c>
      <c r="J663" s="51" t="str">
        <f>IF(H663=0,"No plan at start",I663/H663)</f>
        <v>No plan at start</v>
      </c>
      <c r="K663" s="52">
        <f>H663-I663</f>
        <v>-624</v>
      </c>
      <c r="L663" s="49">
        <v>0</v>
      </c>
      <c r="M663" s="49">
        <f>I663+L663</f>
        <v>624</v>
      </c>
      <c r="N663" s="49">
        <f>M663-H663</f>
        <v>624</v>
      </c>
      <c r="O663" s="50" t="str">
        <f>IF(H663=0,"No plan at start",M663/H663)</f>
        <v>No plan at start</v>
      </c>
    </row>
    <row r="664" spans="2:15" hidden="1" outlineLevel="2" x14ac:dyDescent="0.2">
      <c r="B664" s="49" t="s">
        <v>91</v>
      </c>
      <c r="C664" s="49" t="s">
        <v>56</v>
      </c>
      <c r="D664" s="49">
        <v>0</v>
      </c>
      <c r="E664" s="49">
        <v>0</v>
      </c>
      <c r="F664" s="49">
        <f>E664-D664</f>
        <v>0</v>
      </c>
      <c r="G664" s="50">
        <f>IF(D664=0,0,ABS(F664/D664))</f>
        <v>0</v>
      </c>
      <c r="H664" s="49">
        <v>0</v>
      </c>
      <c r="I664" s="49">
        <v>0</v>
      </c>
      <c r="J664" s="51" t="str">
        <f>IF(H664=0,"No plan at start",I664/H664)</f>
        <v>No plan at start</v>
      </c>
      <c r="K664" s="52">
        <f>H664-I664</f>
        <v>0</v>
      </c>
      <c r="L664" s="49">
        <v>0</v>
      </c>
      <c r="M664" s="49">
        <f>I664+L664</f>
        <v>0</v>
      </c>
      <c r="N664" s="49">
        <f>M664-H664</f>
        <v>0</v>
      </c>
      <c r="O664" s="50" t="str">
        <f>IF(H664=0,"No plan at start",M664/H664)</f>
        <v>No plan at start</v>
      </c>
    </row>
    <row r="665" spans="2:15" hidden="1" outlineLevel="2" x14ac:dyDescent="0.2">
      <c r="B665" s="49" t="s">
        <v>91</v>
      </c>
      <c r="C665" s="49" t="s">
        <v>57</v>
      </c>
      <c r="D665" s="49">
        <v>0</v>
      </c>
      <c r="E665" s="49">
        <v>0</v>
      </c>
      <c r="F665" s="49">
        <f>E665-D665</f>
        <v>0</v>
      </c>
      <c r="G665" s="50">
        <f>IF(D665=0,0,ABS(F665/D665))</f>
        <v>0</v>
      </c>
      <c r="H665" s="49">
        <v>0</v>
      </c>
      <c r="I665" s="49">
        <v>0</v>
      </c>
      <c r="J665" s="51" t="str">
        <f>IF(H665=0,"No plan at start",I665/H665)</f>
        <v>No plan at start</v>
      </c>
      <c r="K665" s="52">
        <f>H665-I665</f>
        <v>0</v>
      </c>
      <c r="L665" s="49">
        <v>0</v>
      </c>
      <c r="M665" s="49">
        <f>I665+L665</f>
        <v>0</v>
      </c>
      <c r="N665" s="49">
        <f>M665-H665</f>
        <v>0</v>
      </c>
      <c r="O665" s="50" t="str">
        <f>IF(H665=0,"No plan at start",M665/H665)</f>
        <v>No plan at start</v>
      </c>
    </row>
    <row r="666" spans="2:15" hidden="1" outlineLevel="2" x14ac:dyDescent="0.2">
      <c r="B666" s="49" t="s">
        <v>91</v>
      </c>
      <c r="C666" s="49" t="s">
        <v>58</v>
      </c>
      <c r="D666" s="49">
        <v>0</v>
      </c>
      <c r="E666" s="49">
        <v>0</v>
      </c>
      <c r="F666" s="49">
        <f>E666-D666</f>
        <v>0</v>
      </c>
      <c r="G666" s="50">
        <f>IF(D666=0,0,ABS(F666/D666))</f>
        <v>0</v>
      </c>
      <c r="H666" s="49">
        <v>0</v>
      </c>
      <c r="I666" s="49">
        <v>0</v>
      </c>
      <c r="J666" s="51" t="str">
        <f>IF(H666=0,"No plan at start",I666/H666)</f>
        <v>No plan at start</v>
      </c>
      <c r="K666" s="52">
        <f>H666-I666</f>
        <v>0</v>
      </c>
      <c r="L666" s="49">
        <v>0</v>
      </c>
      <c r="M666" s="49">
        <f>I666+L666</f>
        <v>0</v>
      </c>
      <c r="N666" s="49">
        <f>M666-H666</f>
        <v>0</v>
      </c>
      <c r="O666" s="50" t="str">
        <f>IF(H666=0,"No plan at start",M666/H666)</f>
        <v>No plan at start</v>
      </c>
    </row>
    <row r="667" spans="2:15" hidden="1" outlineLevel="2" x14ac:dyDescent="0.2">
      <c r="B667" s="49" t="s">
        <v>91</v>
      </c>
      <c r="C667" s="49" t="s">
        <v>59</v>
      </c>
      <c r="D667" s="49">
        <v>0</v>
      </c>
      <c r="E667" s="49">
        <v>0</v>
      </c>
      <c r="F667" s="49">
        <f>E667-D667</f>
        <v>0</v>
      </c>
      <c r="G667" s="50">
        <f>IF(D667=0,0,ABS(F667/D667))</f>
        <v>0</v>
      </c>
      <c r="H667" s="49">
        <v>0</v>
      </c>
      <c r="I667" s="49">
        <v>0</v>
      </c>
      <c r="J667" s="51" t="str">
        <f>IF(H667=0,"No plan at start",I667/H667)</f>
        <v>No plan at start</v>
      </c>
      <c r="K667" s="52">
        <f>H667-I667</f>
        <v>0</v>
      </c>
      <c r="L667" s="49">
        <v>0</v>
      </c>
      <c r="M667" s="49">
        <f>I667+L667</f>
        <v>0</v>
      </c>
      <c r="N667" s="49">
        <f>M667-H667</f>
        <v>0</v>
      </c>
      <c r="O667" s="50" t="str">
        <f>IF(H667=0,"No plan at start",M667/H667)</f>
        <v>No plan at start</v>
      </c>
    </row>
    <row r="668" spans="2:15" outlineLevel="1" collapsed="1" x14ac:dyDescent="0.2">
      <c r="B668" s="56" t="s">
        <v>130</v>
      </c>
      <c r="C668" s="49"/>
      <c r="D668" s="49">
        <f>SUBTOTAL(9,D660:D667)</f>
        <v>0</v>
      </c>
      <c r="E668" s="49">
        <f>SUBTOTAL(9,E660:E667)</f>
        <v>0</v>
      </c>
      <c r="F668" s="49">
        <f>SUBTOTAL(9,F660:F667)</f>
        <v>0</v>
      </c>
      <c r="G668" s="50">
        <f>IF(D668=0,0,ABS(F668/D668))</f>
        <v>0</v>
      </c>
      <c r="H668" s="49">
        <f>SUBTOTAL(9,H660:H667)</f>
        <v>0</v>
      </c>
      <c r="I668" s="49">
        <f>SUBTOTAL(9,I660:I667)</f>
        <v>624</v>
      </c>
      <c r="J668" s="51" t="str">
        <f>IF(H668=0,"No plan at start",I668/H668)</f>
        <v>No plan at start</v>
      </c>
      <c r="K668" s="52">
        <f>SUBTOTAL(9,K660:K667)</f>
        <v>-624</v>
      </c>
      <c r="L668" s="49">
        <f>SUBTOTAL(9,L660:L667)</f>
        <v>0</v>
      </c>
      <c r="M668" s="49">
        <f>SUBTOTAL(9,M660:M667)</f>
        <v>624</v>
      </c>
      <c r="N668" s="49">
        <f>SUBTOTAL(9,N660:N667)</f>
        <v>624</v>
      </c>
      <c r="O668" s="50" t="str">
        <f>IF(H668=0,"No plan at start",M668/H668)</f>
        <v>No plan at start</v>
      </c>
    </row>
    <row r="669" spans="2:15" hidden="1" outlineLevel="2" x14ac:dyDescent="0.2">
      <c r="B669" s="49" t="s">
        <v>92</v>
      </c>
      <c r="C669" s="49" t="s">
        <v>52</v>
      </c>
      <c r="D669" s="49">
        <v>0</v>
      </c>
      <c r="E669" s="49">
        <v>0</v>
      </c>
      <c r="F669" s="49">
        <f>E669-D669</f>
        <v>0</v>
      </c>
      <c r="G669" s="50">
        <f>IF(D669=0,0,ABS(F669/D669))</f>
        <v>0</v>
      </c>
      <c r="H669" s="49">
        <v>0</v>
      </c>
      <c r="I669" s="49">
        <v>0</v>
      </c>
      <c r="J669" s="51" t="str">
        <f>IF(H669=0,"No plan at start",I669/H669)</f>
        <v>No plan at start</v>
      </c>
      <c r="K669" s="52">
        <f>H669-I669</f>
        <v>0</v>
      </c>
      <c r="L669" s="49">
        <v>0</v>
      </c>
      <c r="M669" s="49">
        <f>I669+L669</f>
        <v>0</v>
      </c>
      <c r="N669" s="49">
        <f>M669-H669</f>
        <v>0</v>
      </c>
      <c r="O669" s="50" t="str">
        <f>IF(H669=0,"No plan at start",M669/H669)</f>
        <v>No plan at start</v>
      </c>
    </row>
    <row r="670" spans="2:15" hidden="1" outlineLevel="2" x14ac:dyDescent="0.2">
      <c r="B670" s="49" t="s">
        <v>92</v>
      </c>
      <c r="C670" s="49" t="s">
        <v>53</v>
      </c>
      <c r="D670" s="49">
        <v>0</v>
      </c>
      <c r="E670" s="49">
        <v>0</v>
      </c>
      <c r="F670" s="49">
        <f>E670-D670</f>
        <v>0</v>
      </c>
      <c r="G670" s="50">
        <f>IF(D670=0,0,ABS(F670/D670))</f>
        <v>0</v>
      </c>
      <c r="H670" s="49">
        <v>0</v>
      </c>
      <c r="I670" s="49">
        <v>0</v>
      </c>
      <c r="J670" s="51" t="str">
        <f>IF(H670=0,"No plan at start",I670/H670)</f>
        <v>No plan at start</v>
      </c>
      <c r="K670" s="52">
        <f>H670-I670</f>
        <v>0</v>
      </c>
      <c r="L670" s="49">
        <v>0</v>
      </c>
      <c r="M670" s="49">
        <f>I670+L670</f>
        <v>0</v>
      </c>
      <c r="N670" s="49">
        <f>M670-H670</f>
        <v>0</v>
      </c>
      <c r="O670" s="50" t="str">
        <f>IF(H670=0,"No plan at start",M670/H670)</f>
        <v>No plan at start</v>
      </c>
    </row>
    <row r="671" spans="2:15" hidden="1" outlineLevel="2" x14ac:dyDescent="0.2">
      <c r="B671" s="49" t="s">
        <v>92</v>
      </c>
      <c r="C671" s="49" t="s">
        <v>54</v>
      </c>
      <c r="D671" s="49">
        <v>0</v>
      </c>
      <c r="E671" s="49">
        <v>0</v>
      </c>
      <c r="F671" s="49">
        <f>E671-D671</f>
        <v>0</v>
      </c>
      <c r="G671" s="50">
        <f>IF(D671=0,0,ABS(F671/D671))</f>
        <v>0</v>
      </c>
      <c r="H671" s="49">
        <v>0</v>
      </c>
      <c r="I671" s="49">
        <v>0</v>
      </c>
      <c r="J671" s="51" t="str">
        <f>IF(H671=0,"No plan at start",I671/H671)</f>
        <v>No plan at start</v>
      </c>
      <c r="K671" s="52">
        <f>H671-I671</f>
        <v>0</v>
      </c>
      <c r="L671" s="49">
        <v>0</v>
      </c>
      <c r="M671" s="49">
        <f>I671+L671</f>
        <v>0</v>
      </c>
      <c r="N671" s="49">
        <f>M671-H671</f>
        <v>0</v>
      </c>
      <c r="O671" s="50" t="str">
        <f>IF(H671=0,"No plan at start",M671/H671)</f>
        <v>No plan at start</v>
      </c>
    </row>
    <row r="672" spans="2:15" hidden="1" outlineLevel="2" x14ac:dyDescent="0.2">
      <c r="B672" s="49" t="s">
        <v>92</v>
      </c>
      <c r="C672" s="49" t="s">
        <v>55</v>
      </c>
      <c r="D672" s="49">
        <v>2433.6000000000004</v>
      </c>
      <c r="E672" s="49">
        <v>530.4</v>
      </c>
      <c r="F672" s="49">
        <f>E672-D672</f>
        <v>-1903.2000000000003</v>
      </c>
      <c r="G672" s="50">
        <f>IF(D672=0,0,ABS(F672/D672))</f>
        <v>0.78205128205128205</v>
      </c>
      <c r="H672" s="49">
        <v>8190</v>
      </c>
      <c r="I672" s="49">
        <v>3588.0000000000005</v>
      </c>
      <c r="J672" s="51">
        <f>IF(H672=0,"No plan at start",I672/H672)</f>
        <v>0.43809523809523815</v>
      </c>
      <c r="K672" s="52">
        <f>H672-I672</f>
        <v>4602</v>
      </c>
      <c r="L672" s="49">
        <v>4867.2000000000007</v>
      </c>
      <c r="M672" s="49">
        <f>I672+L672</f>
        <v>8455.2000000000007</v>
      </c>
      <c r="N672" s="49">
        <f>M672-H672</f>
        <v>265.20000000000073</v>
      </c>
      <c r="O672" s="50">
        <f>IF(H672=0,"No plan at start",M672/H672)</f>
        <v>1.0323809523809524</v>
      </c>
    </row>
    <row r="673" spans="2:15" hidden="1" outlineLevel="2" x14ac:dyDescent="0.2">
      <c r="B673" s="49" t="s">
        <v>92</v>
      </c>
      <c r="C673" s="49" t="s">
        <v>56</v>
      </c>
      <c r="D673" s="49">
        <v>0</v>
      </c>
      <c r="E673" s="49">
        <v>0</v>
      </c>
      <c r="F673" s="49">
        <f>E673-D673</f>
        <v>0</v>
      </c>
      <c r="G673" s="50">
        <f>IF(D673=0,0,ABS(F673/D673))</f>
        <v>0</v>
      </c>
      <c r="H673" s="49">
        <v>0</v>
      </c>
      <c r="I673" s="49">
        <v>0</v>
      </c>
      <c r="J673" s="51" t="str">
        <f>IF(H673=0,"No plan at start",I673/H673)</f>
        <v>No plan at start</v>
      </c>
      <c r="K673" s="52">
        <f>H673-I673</f>
        <v>0</v>
      </c>
      <c r="L673" s="49">
        <v>0</v>
      </c>
      <c r="M673" s="49">
        <f>I673+L673</f>
        <v>0</v>
      </c>
      <c r="N673" s="49">
        <f>M673-H673</f>
        <v>0</v>
      </c>
      <c r="O673" s="50" t="str">
        <f>IF(H673=0,"No plan at start",M673/H673)</f>
        <v>No plan at start</v>
      </c>
    </row>
    <row r="674" spans="2:15" hidden="1" outlineLevel="2" x14ac:dyDescent="0.2">
      <c r="B674" s="49" t="s">
        <v>92</v>
      </c>
      <c r="C674" s="49" t="s">
        <v>57</v>
      </c>
      <c r="D674" s="49">
        <v>0</v>
      </c>
      <c r="E674" s="49">
        <v>0</v>
      </c>
      <c r="F674" s="49">
        <f>E674-D674</f>
        <v>0</v>
      </c>
      <c r="G674" s="50">
        <f>IF(D674=0,0,ABS(F674/D674))</f>
        <v>0</v>
      </c>
      <c r="H674" s="49">
        <v>0</v>
      </c>
      <c r="I674" s="49">
        <v>0</v>
      </c>
      <c r="J674" s="51" t="str">
        <f>IF(H674=0,"No plan at start",I674/H674)</f>
        <v>No plan at start</v>
      </c>
      <c r="K674" s="52">
        <f>H674-I674</f>
        <v>0</v>
      </c>
      <c r="L674" s="49">
        <v>0</v>
      </c>
      <c r="M674" s="49">
        <f>I674+L674</f>
        <v>0</v>
      </c>
      <c r="N674" s="49">
        <f>M674-H674</f>
        <v>0</v>
      </c>
      <c r="O674" s="50" t="str">
        <f>IF(H674=0,"No plan at start",M674/H674)</f>
        <v>No plan at start</v>
      </c>
    </row>
    <row r="675" spans="2:15" hidden="1" outlineLevel="2" x14ac:dyDescent="0.2">
      <c r="B675" s="49" t="s">
        <v>92</v>
      </c>
      <c r="C675" s="49" t="s">
        <v>58</v>
      </c>
      <c r="D675" s="49">
        <v>0</v>
      </c>
      <c r="E675" s="49">
        <v>0</v>
      </c>
      <c r="F675" s="49">
        <f>E675-D675</f>
        <v>0</v>
      </c>
      <c r="G675" s="50">
        <f>IF(D675=0,0,ABS(F675/D675))</f>
        <v>0</v>
      </c>
      <c r="H675" s="49">
        <v>0</v>
      </c>
      <c r="I675" s="49">
        <v>0</v>
      </c>
      <c r="J675" s="51" t="str">
        <f>IF(H675=0,"No plan at start",I675/H675)</f>
        <v>No plan at start</v>
      </c>
      <c r="K675" s="52">
        <f>H675-I675</f>
        <v>0</v>
      </c>
      <c r="L675" s="49">
        <v>0</v>
      </c>
      <c r="M675" s="49">
        <f>I675+L675</f>
        <v>0</v>
      </c>
      <c r="N675" s="49">
        <f>M675-H675</f>
        <v>0</v>
      </c>
      <c r="O675" s="50" t="str">
        <f>IF(H675=0,"No plan at start",M675/H675)</f>
        <v>No plan at start</v>
      </c>
    </row>
    <row r="676" spans="2:15" hidden="1" outlineLevel="2" x14ac:dyDescent="0.2">
      <c r="B676" s="49" t="s">
        <v>92</v>
      </c>
      <c r="C676" s="49" t="s">
        <v>59</v>
      </c>
      <c r="D676" s="49">
        <v>0</v>
      </c>
      <c r="E676" s="49">
        <v>0</v>
      </c>
      <c r="F676" s="49">
        <f>E676-D676</f>
        <v>0</v>
      </c>
      <c r="G676" s="50">
        <f>IF(D676=0,0,ABS(F676/D676))</f>
        <v>0</v>
      </c>
      <c r="H676" s="49">
        <v>0</v>
      </c>
      <c r="I676" s="49">
        <v>0</v>
      </c>
      <c r="J676" s="51" t="str">
        <f>IF(H676=0,"No plan at start",I676/H676)</f>
        <v>No plan at start</v>
      </c>
      <c r="K676" s="52">
        <f>H676-I676</f>
        <v>0</v>
      </c>
      <c r="L676" s="49">
        <v>0</v>
      </c>
      <c r="M676" s="49">
        <f>I676+L676</f>
        <v>0</v>
      </c>
      <c r="N676" s="49">
        <f>M676-H676</f>
        <v>0</v>
      </c>
      <c r="O676" s="50" t="str">
        <f>IF(H676=0,"No plan at start",M676/H676)</f>
        <v>No plan at start</v>
      </c>
    </row>
    <row r="677" spans="2:15" outlineLevel="1" collapsed="1" x14ac:dyDescent="0.2">
      <c r="B677" s="56" t="s">
        <v>131</v>
      </c>
      <c r="C677" s="49"/>
      <c r="D677" s="49">
        <f>SUBTOTAL(9,D669:D676)</f>
        <v>2433.6000000000004</v>
      </c>
      <c r="E677" s="49">
        <f>SUBTOTAL(9,E669:E676)</f>
        <v>530.4</v>
      </c>
      <c r="F677" s="49">
        <f>SUBTOTAL(9,F669:F676)</f>
        <v>-1903.2000000000003</v>
      </c>
      <c r="G677" s="50">
        <f>IF(D677=0,0,ABS(F677/D677))</f>
        <v>0.78205128205128205</v>
      </c>
      <c r="H677" s="49">
        <f>SUBTOTAL(9,H669:H676)</f>
        <v>8190</v>
      </c>
      <c r="I677" s="49">
        <f>SUBTOTAL(9,I669:I676)</f>
        <v>3588.0000000000005</v>
      </c>
      <c r="J677" s="51">
        <f>IF(H677=0,"No plan at start",I677/H677)</f>
        <v>0.43809523809523815</v>
      </c>
      <c r="K677" s="52">
        <f>SUBTOTAL(9,K669:K676)</f>
        <v>4602</v>
      </c>
      <c r="L677" s="49">
        <f>SUBTOTAL(9,L669:L676)</f>
        <v>4867.2000000000007</v>
      </c>
      <c r="M677" s="49">
        <f>SUBTOTAL(9,M669:M676)</f>
        <v>8455.2000000000007</v>
      </c>
      <c r="N677" s="49">
        <f>SUBTOTAL(9,N669:N676)</f>
        <v>265.20000000000073</v>
      </c>
      <c r="O677" s="50">
        <f>IF(H677=0,"No plan at start",M677/H677)</f>
        <v>1.0323809523809524</v>
      </c>
    </row>
    <row r="678" spans="2:15" hidden="1" outlineLevel="2" x14ac:dyDescent="0.2">
      <c r="B678" s="49" t="s">
        <v>93</v>
      </c>
      <c r="C678" s="49" t="s">
        <v>52</v>
      </c>
      <c r="D678" s="49">
        <v>73430.239999999991</v>
      </c>
      <c r="E678" s="49">
        <v>1006.1999999999999</v>
      </c>
      <c r="F678" s="49">
        <f>E678-D678</f>
        <v>-72424.039999999994</v>
      </c>
      <c r="G678" s="50">
        <f>IF(D678=0,0,ABS(F678/D678))</f>
        <v>0.98629719853836784</v>
      </c>
      <c r="H678" s="49">
        <v>162959.67999999999</v>
      </c>
      <c r="I678" s="49">
        <v>13796.119999999997</v>
      </c>
      <c r="J678" s="51">
        <f>IF(H678=0,"No plan at start",I678/H678)</f>
        <v>8.4659714599341365E-2</v>
      </c>
      <c r="K678" s="52">
        <f>H678-I678</f>
        <v>149163.56</v>
      </c>
      <c r="L678" s="49">
        <v>146860.47999999998</v>
      </c>
      <c r="M678" s="49">
        <f>I678+L678</f>
        <v>160656.59999999998</v>
      </c>
      <c r="N678" s="49">
        <f>M678-H678</f>
        <v>-2303.0800000000163</v>
      </c>
      <c r="O678" s="50">
        <f>IF(H678=0,"No plan at start",M678/H678)</f>
        <v>0.9858671789242589</v>
      </c>
    </row>
    <row r="679" spans="2:15" hidden="1" outlineLevel="2" x14ac:dyDescent="0.2">
      <c r="B679" s="49" t="s">
        <v>93</v>
      </c>
      <c r="C679" s="49" t="s">
        <v>53</v>
      </c>
      <c r="D679" s="49">
        <v>0</v>
      </c>
      <c r="E679" s="49">
        <v>0</v>
      </c>
      <c r="F679" s="49">
        <f>E679-D679</f>
        <v>0</v>
      </c>
      <c r="G679" s="50">
        <f>IF(D679=0,0,ABS(F679/D679))</f>
        <v>0</v>
      </c>
      <c r="H679" s="49">
        <v>0</v>
      </c>
      <c r="I679" s="49">
        <v>0</v>
      </c>
      <c r="J679" s="51" t="str">
        <f>IF(H679=0,"No plan at start",I679/H679)</f>
        <v>No plan at start</v>
      </c>
      <c r="K679" s="52">
        <f>H679-I679</f>
        <v>0</v>
      </c>
      <c r="L679" s="49">
        <v>0</v>
      </c>
      <c r="M679" s="49">
        <f>I679+L679</f>
        <v>0</v>
      </c>
      <c r="N679" s="49">
        <f>M679-H679</f>
        <v>0</v>
      </c>
      <c r="O679" s="50" t="str">
        <f>IF(H679=0,"No plan at start",M679/H679)</f>
        <v>No plan at start</v>
      </c>
    </row>
    <row r="680" spans="2:15" hidden="1" outlineLevel="2" x14ac:dyDescent="0.2">
      <c r="B680" s="49" t="s">
        <v>93</v>
      </c>
      <c r="C680" s="49" t="s">
        <v>54</v>
      </c>
      <c r="D680" s="49">
        <v>0</v>
      </c>
      <c r="E680" s="49">
        <v>0</v>
      </c>
      <c r="F680" s="49">
        <f>E680-D680</f>
        <v>0</v>
      </c>
      <c r="G680" s="50">
        <f>IF(D680=0,0,ABS(F680/D680))</f>
        <v>0</v>
      </c>
      <c r="H680" s="49">
        <v>0</v>
      </c>
      <c r="I680" s="49">
        <v>0</v>
      </c>
      <c r="J680" s="51" t="str">
        <f>IF(H680=0,"No plan at start",I680/H680)</f>
        <v>No plan at start</v>
      </c>
      <c r="K680" s="52">
        <f>H680-I680</f>
        <v>0</v>
      </c>
      <c r="L680" s="49">
        <v>0</v>
      </c>
      <c r="M680" s="49">
        <f>I680+L680</f>
        <v>0</v>
      </c>
      <c r="N680" s="49">
        <f>M680-H680</f>
        <v>0</v>
      </c>
      <c r="O680" s="50" t="str">
        <f>IF(H680=0,"No plan at start",M680/H680)</f>
        <v>No plan at start</v>
      </c>
    </row>
    <row r="681" spans="2:15" hidden="1" outlineLevel="2" x14ac:dyDescent="0.2">
      <c r="B681" s="49" t="s">
        <v>93</v>
      </c>
      <c r="C681" s="49" t="s">
        <v>55</v>
      </c>
      <c r="D681" s="49">
        <v>0</v>
      </c>
      <c r="E681" s="49">
        <v>0</v>
      </c>
      <c r="F681" s="49">
        <f>E681-D681</f>
        <v>0</v>
      </c>
      <c r="G681" s="50">
        <f>IF(D681=0,0,ABS(F681/D681))</f>
        <v>0</v>
      </c>
      <c r="H681" s="49">
        <v>0</v>
      </c>
      <c r="I681" s="49">
        <v>0</v>
      </c>
      <c r="J681" s="51" t="str">
        <f>IF(H681=0,"No plan at start",I681/H681)</f>
        <v>No plan at start</v>
      </c>
      <c r="K681" s="52">
        <f>H681-I681</f>
        <v>0</v>
      </c>
      <c r="L681" s="49">
        <v>0</v>
      </c>
      <c r="M681" s="49">
        <f>I681+L681</f>
        <v>0</v>
      </c>
      <c r="N681" s="49">
        <f>M681-H681</f>
        <v>0</v>
      </c>
      <c r="O681" s="50" t="str">
        <f>IF(H681=0,"No plan at start",M681/H681)</f>
        <v>No plan at start</v>
      </c>
    </row>
    <row r="682" spans="2:15" hidden="1" outlineLevel="2" x14ac:dyDescent="0.2">
      <c r="B682" s="49" t="s">
        <v>93</v>
      </c>
      <c r="C682" s="49" t="s">
        <v>56</v>
      </c>
      <c r="D682" s="49">
        <v>0</v>
      </c>
      <c r="E682" s="49">
        <v>0</v>
      </c>
      <c r="F682" s="49">
        <f>E682-D682</f>
        <v>0</v>
      </c>
      <c r="G682" s="50">
        <f>IF(D682=0,0,ABS(F682/D682))</f>
        <v>0</v>
      </c>
      <c r="H682" s="49">
        <v>0</v>
      </c>
      <c r="I682" s="49">
        <v>0</v>
      </c>
      <c r="J682" s="51" t="str">
        <f>IF(H682=0,"No plan at start",I682/H682)</f>
        <v>No plan at start</v>
      </c>
      <c r="K682" s="52">
        <f>H682-I682</f>
        <v>0</v>
      </c>
      <c r="L682" s="49">
        <v>0</v>
      </c>
      <c r="M682" s="49">
        <f>I682+L682</f>
        <v>0</v>
      </c>
      <c r="N682" s="49">
        <f>M682-H682</f>
        <v>0</v>
      </c>
      <c r="O682" s="50" t="str">
        <f>IF(H682=0,"No plan at start",M682/H682)</f>
        <v>No plan at start</v>
      </c>
    </row>
    <row r="683" spans="2:15" hidden="1" outlineLevel="2" x14ac:dyDescent="0.2">
      <c r="B683" s="49" t="s">
        <v>93</v>
      </c>
      <c r="C683" s="49" t="s">
        <v>57</v>
      </c>
      <c r="D683" s="49">
        <v>0</v>
      </c>
      <c r="E683" s="49">
        <v>0</v>
      </c>
      <c r="F683" s="49">
        <f>E683-D683</f>
        <v>0</v>
      </c>
      <c r="G683" s="50">
        <f>IF(D683=0,0,ABS(F683/D683))</f>
        <v>0</v>
      </c>
      <c r="H683" s="49">
        <v>0</v>
      </c>
      <c r="I683" s="49">
        <v>0</v>
      </c>
      <c r="J683" s="51" t="str">
        <f>IF(H683=0,"No plan at start",I683/H683)</f>
        <v>No plan at start</v>
      </c>
      <c r="K683" s="52">
        <f>H683-I683</f>
        <v>0</v>
      </c>
      <c r="L683" s="49">
        <v>0</v>
      </c>
      <c r="M683" s="49">
        <f>I683+L683</f>
        <v>0</v>
      </c>
      <c r="N683" s="49">
        <f>M683-H683</f>
        <v>0</v>
      </c>
      <c r="O683" s="50" t="str">
        <f>IF(H683=0,"No plan at start",M683/H683)</f>
        <v>No plan at start</v>
      </c>
    </row>
    <row r="684" spans="2:15" hidden="1" outlineLevel="2" x14ac:dyDescent="0.2">
      <c r="B684" s="49" t="s">
        <v>93</v>
      </c>
      <c r="C684" s="49" t="s">
        <v>58</v>
      </c>
      <c r="D684" s="49">
        <v>0</v>
      </c>
      <c r="E684" s="49">
        <v>0</v>
      </c>
      <c r="F684" s="49">
        <f>E684-D684</f>
        <v>0</v>
      </c>
      <c r="G684" s="50">
        <f>IF(D684=0,0,ABS(F684/D684))</f>
        <v>0</v>
      </c>
      <c r="H684" s="49">
        <v>0</v>
      </c>
      <c r="I684" s="49">
        <v>0</v>
      </c>
      <c r="J684" s="51" t="str">
        <f>IF(H684=0,"No plan at start",I684/H684)</f>
        <v>No plan at start</v>
      </c>
      <c r="K684" s="52">
        <f>H684-I684</f>
        <v>0</v>
      </c>
      <c r="L684" s="49">
        <v>0</v>
      </c>
      <c r="M684" s="49">
        <f>I684+L684</f>
        <v>0</v>
      </c>
      <c r="N684" s="49">
        <f>M684-H684</f>
        <v>0</v>
      </c>
      <c r="O684" s="50" t="str">
        <f>IF(H684=0,"No plan at start",M684/H684)</f>
        <v>No plan at start</v>
      </c>
    </row>
    <row r="685" spans="2:15" hidden="1" outlineLevel="2" x14ac:dyDescent="0.2">
      <c r="B685" s="49" t="s">
        <v>93</v>
      </c>
      <c r="C685" s="49" t="s">
        <v>59</v>
      </c>
      <c r="D685" s="49">
        <v>0</v>
      </c>
      <c r="E685" s="49">
        <v>0</v>
      </c>
      <c r="F685" s="49">
        <f>E685-D685</f>
        <v>0</v>
      </c>
      <c r="G685" s="50">
        <f>IF(D685=0,0,ABS(F685/D685))</f>
        <v>0</v>
      </c>
      <c r="H685" s="49">
        <v>0</v>
      </c>
      <c r="I685" s="49">
        <v>0</v>
      </c>
      <c r="J685" s="51" t="str">
        <f>IF(H685=0,"No plan at start",I685/H685)</f>
        <v>No plan at start</v>
      </c>
      <c r="K685" s="52">
        <f>H685-I685</f>
        <v>0</v>
      </c>
      <c r="L685" s="49">
        <v>0</v>
      </c>
      <c r="M685" s="49">
        <f>I685+L685</f>
        <v>0</v>
      </c>
      <c r="N685" s="49">
        <f>M685-H685</f>
        <v>0</v>
      </c>
      <c r="O685" s="50" t="str">
        <f>IF(H685=0,"No plan at start",M685/H685)</f>
        <v>No plan at start</v>
      </c>
    </row>
    <row r="686" spans="2:15" outlineLevel="1" collapsed="1" x14ac:dyDescent="0.2">
      <c r="B686" s="56" t="s">
        <v>132</v>
      </c>
      <c r="C686" s="49"/>
      <c r="D686" s="49">
        <f>SUBTOTAL(9,D678:D685)</f>
        <v>73430.239999999991</v>
      </c>
      <c r="E686" s="49">
        <f>SUBTOTAL(9,E678:E685)</f>
        <v>1006.1999999999999</v>
      </c>
      <c r="F686" s="49">
        <f>SUBTOTAL(9,F678:F685)</f>
        <v>-72424.039999999994</v>
      </c>
      <c r="G686" s="50">
        <f>IF(D686=0,0,ABS(F686/D686))</f>
        <v>0.98629719853836784</v>
      </c>
      <c r="H686" s="49">
        <f>SUBTOTAL(9,H678:H685)</f>
        <v>162959.67999999999</v>
      </c>
      <c r="I686" s="49">
        <f>SUBTOTAL(9,I678:I685)</f>
        <v>13796.119999999997</v>
      </c>
      <c r="J686" s="51">
        <f>IF(H686=0,"No plan at start",I686/H686)</f>
        <v>8.4659714599341365E-2</v>
      </c>
      <c r="K686" s="52">
        <f>SUBTOTAL(9,K678:K685)</f>
        <v>149163.56</v>
      </c>
      <c r="L686" s="49">
        <f>SUBTOTAL(9,L678:L685)</f>
        <v>146860.47999999998</v>
      </c>
      <c r="M686" s="49">
        <f>SUBTOTAL(9,M678:M685)</f>
        <v>160656.59999999998</v>
      </c>
      <c r="N686" s="49">
        <f>SUBTOTAL(9,N678:N685)</f>
        <v>-2303.0800000000163</v>
      </c>
      <c r="O686" s="50">
        <f>IF(H686=0,"No plan at start",M686/H686)</f>
        <v>0.9858671789242589</v>
      </c>
    </row>
    <row r="687" spans="2:15" hidden="1" outlineLevel="2" x14ac:dyDescent="0.2">
      <c r="B687" s="49" t="s">
        <v>94</v>
      </c>
      <c r="C687" s="49" t="s">
        <v>52</v>
      </c>
      <c r="D687" s="49">
        <v>0</v>
      </c>
      <c r="E687" s="49">
        <v>0</v>
      </c>
      <c r="F687" s="49">
        <f>E687-D687</f>
        <v>0</v>
      </c>
      <c r="G687" s="50">
        <f>IF(D687=0,0,ABS(F687/D687))</f>
        <v>0</v>
      </c>
      <c r="H687" s="49">
        <v>0</v>
      </c>
      <c r="I687" s="49">
        <v>0</v>
      </c>
      <c r="J687" s="51" t="str">
        <f>IF(H687=0,"No plan at start",I687/H687)</f>
        <v>No plan at start</v>
      </c>
      <c r="K687" s="52">
        <f>H687-I687</f>
        <v>0</v>
      </c>
      <c r="L687" s="49">
        <v>0</v>
      </c>
      <c r="M687" s="49">
        <f>I687+L687</f>
        <v>0</v>
      </c>
      <c r="N687" s="49">
        <f>M687-H687</f>
        <v>0</v>
      </c>
      <c r="O687" s="50" t="str">
        <f>IF(H687=0,"No plan at start",M687/H687)</f>
        <v>No plan at start</v>
      </c>
    </row>
    <row r="688" spans="2:15" hidden="1" outlineLevel="2" x14ac:dyDescent="0.2">
      <c r="B688" s="49" t="s">
        <v>94</v>
      </c>
      <c r="C688" s="49" t="s">
        <v>53</v>
      </c>
      <c r="D688" s="49">
        <v>0</v>
      </c>
      <c r="E688" s="49">
        <v>0</v>
      </c>
      <c r="F688" s="49">
        <f>E688-D688</f>
        <v>0</v>
      </c>
      <c r="G688" s="50">
        <f>IF(D688=0,0,ABS(F688/D688))</f>
        <v>0</v>
      </c>
      <c r="H688" s="49">
        <v>0</v>
      </c>
      <c r="I688" s="49">
        <v>0</v>
      </c>
      <c r="J688" s="51" t="str">
        <f>IF(H688=0,"No plan at start",I688/H688)</f>
        <v>No plan at start</v>
      </c>
      <c r="K688" s="52">
        <f>H688-I688</f>
        <v>0</v>
      </c>
      <c r="L688" s="49">
        <v>0</v>
      </c>
      <c r="M688" s="49">
        <f>I688+L688</f>
        <v>0</v>
      </c>
      <c r="N688" s="49">
        <f>M688-H688</f>
        <v>0</v>
      </c>
      <c r="O688" s="50" t="str">
        <f>IF(H688=0,"No plan at start",M688/H688)</f>
        <v>No plan at start</v>
      </c>
    </row>
    <row r="689" spans="2:15" hidden="1" outlineLevel="2" x14ac:dyDescent="0.2">
      <c r="B689" s="49" t="s">
        <v>94</v>
      </c>
      <c r="C689" s="49" t="s">
        <v>54</v>
      </c>
      <c r="D689" s="49">
        <v>0</v>
      </c>
      <c r="E689" s="49">
        <v>0</v>
      </c>
      <c r="F689" s="49">
        <f>E689-D689</f>
        <v>0</v>
      </c>
      <c r="G689" s="50">
        <f>IF(D689=0,0,ABS(F689/D689))</f>
        <v>0</v>
      </c>
      <c r="H689" s="49">
        <v>0</v>
      </c>
      <c r="I689" s="49">
        <v>0</v>
      </c>
      <c r="J689" s="51" t="str">
        <f>IF(H689=0,"No plan at start",I689/H689)</f>
        <v>No plan at start</v>
      </c>
      <c r="K689" s="52">
        <f>H689-I689</f>
        <v>0</v>
      </c>
      <c r="L689" s="49">
        <v>0</v>
      </c>
      <c r="M689" s="49">
        <f>I689+L689</f>
        <v>0</v>
      </c>
      <c r="N689" s="49">
        <f>M689-H689</f>
        <v>0</v>
      </c>
      <c r="O689" s="50" t="str">
        <f>IF(H689=0,"No plan at start",M689/H689)</f>
        <v>No plan at start</v>
      </c>
    </row>
    <row r="690" spans="2:15" hidden="1" outlineLevel="2" x14ac:dyDescent="0.2">
      <c r="B690" s="49" t="s">
        <v>94</v>
      </c>
      <c r="C690" s="49" t="s">
        <v>55</v>
      </c>
      <c r="D690" s="49">
        <v>0</v>
      </c>
      <c r="E690" s="49">
        <v>0</v>
      </c>
      <c r="F690" s="49">
        <f>E690-D690</f>
        <v>0</v>
      </c>
      <c r="G690" s="50">
        <f>IF(D690=0,0,ABS(F690/D690))</f>
        <v>0</v>
      </c>
      <c r="H690" s="49">
        <v>0</v>
      </c>
      <c r="I690" s="49">
        <v>0</v>
      </c>
      <c r="J690" s="51" t="str">
        <f>IF(H690=0,"No plan at start",I690/H690)</f>
        <v>No plan at start</v>
      </c>
      <c r="K690" s="52">
        <f>H690-I690</f>
        <v>0</v>
      </c>
      <c r="L690" s="49">
        <v>0</v>
      </c>
      <c r="M690" s="49">
        <f>I690+L690</f>
        <v>0</v>
      </c>
      <c r="N690" s="49">
        <f>M690-H690</f>
        <v>0</v>
      </c>
      <c r="O690" s="50" t="str">
        <f>IF(H690=0,"No plan at start",M690/H690)</f>
        <v>No plan at start</v>
      </c>
    </row>
    <row r="691" spans="2:15" hidden="1" outlineLevel="2" x14ac:dyDescent="0.2">
      <c r="B691" s="49" t="s">
        <v>94</v>
      </c>
      <c r="C691" s="49" t="s">
        <v>56</v>
      </c>
      <c r="D691" s="49">
        <v>0</v>
      </c>
      <c r="E691" s="49">
        <v>0</v>
      </c>
      <c r="F691" s="49">
        <f>E691-D691</f>
        <v>0</v>
      </c>
      <c r="G691" s="50">
        <f>IF(D691=0,0,ABS(F691/D691))</f>
        <v>0</v>
      </c>
      <c r="H691" s="49">
        <v>0</v>
      </c>
      <c r="I691" s="49">
        <v>0</v>
      </c>
      <c r="J691" s="51" t="str">
        <f>IF(H691=0,"No plan at start",I691/H691)</f>
        <v>No plan at start</v>
      </c>
      <c r="K691" s="52">
        <f>H691-I691</f>
        <v>0</v>
      </c>
      <c r="L691" s="49">
        <v>0</v>
      </c>
      <c r="M691" s="49">
        <f>I691+L691</f>
        <v>0</v>
      </c>
      <c r="N691" s="49">
        <f>M691-H691</f>
        <v>0</v>
      </c>
      <c r="O691" s="50" t="str">
        <f>IF(H691=0,"No plan at start",M691/H691)</f>
        <v>No plan at start</v>
      </c>
    </row>
    <row r="692" spans="2:15" hidden="1" outlineLevel="2" x14ac:dyDescent="0.2">
      <c r="B692" s="49" t="s">
        <v>94</v>
      </c>
      <c r="C692" s="49" t="s">
        <v>57</v>
      </c>
      <c r="D692" s="49">
        <v>0</v>
      </c>
      <c r="E692" s="49">
        <v>0</v>
      </c>
      <c r="F692" s="49">
        <f>E692-D692</f>
        <v>0</v>
      </c>
      <c r="G692" s="50">
        <f>IF(D692=0,0,ABS(F692/D692))</f>
        <v>0</v>
      </c>
      <c r="H692" s="49">
        <v>0</v>
      </c>
      <c r="I692" s="49">
        <v>0</v>
      </c>
      <c r="J692" s="51" t="str">
        <f>IF(H692=0,"No plan at start",I692/H692)</f>
        <v>No plan at start</v>
      </c>
      <c r="K692" s="52">
        <f>H692-I692</f>
        <v>0</v>
      </c>
      <c r="L692" s="49">
        <v>0</v>
      </c>
      <c r="M692" s="49">
        <f>I692+L692</f>
        <v>0</v>
      </c>
      <c r="N692" s="49">
        <f>M692-H692</f>
        <v>0</v>
      </c>
      <c r="O692" s="50" t="str">
        <f>IF(H692=0,"No plan at start",M692/H692)</f>
        <v>No plan at start</v>
      </c>
    </row>
    <row r="693" spans="2:15" hidden="1" outlineLevel="2" x14ac:dyDescent="0.2">
      <c r="B693" s="49" t="s">
        <v>94</v>
      </c>
      <c r="C693" s="49" t="s">
        <v>58</v>
      </c>
      <c r="D693" s="49">
        <v>0</v>
      </c>
      <c r="E693" s="49">
        <v>0</v>
      </c>
      <c r="F693" s="49">
        <f>E693-D693</f>
        <v>0</v>
      </c>
      <c r="G693" s="50">
        <f>IF(D693=0,0,ABS(F693/D693))</f>
        <v>0</v>
      </c>
      <c r="H693" s="49">
        <v>0</v>
      </c>
      <c r="I693" s="49">
        <v>0</v>
      </c>
      <c r="J693" s="51" t="str">
        <f>IF(H693=0,"No plan at start",I693/H693)</f>
        <v>No plan at start</v>
      </c>
      <c r="K693" s="52">
        <f>H693-I693</f>
        <v>0</v>
      </c>
      <c r="L693" s="49">
        <v>0</v>
      </c>
      <c r="M693" s="49">
        <f>I693+L693</f>
        <v>0</v>
      </c>
      <c r="N693" s="49">
        <f>M693-H693</f>
        <v>0</v>
      </c>
      <c r="O693" s="50" t="str">
        <f>IF(H693=0,"No plan at start",M693/H693)</f>
        <v>No plan at start</v>
      </c>
    </row>
    <row r="694" spans="2:15" hidden="1" outlineLevel="2" x14ac:dyDescent="0.2">
      <c r="B694" s="49" t="s">
        <v>94</v>
      </c>
      <c r="C694" s="49" t="s">
        <v>59</v>
      </c>
      <c r="D694" s="49">
        <v>0</v>
      </c>
      <c r="E694" s="49">
        <v>0</v>
      </c>
      <c r="F694" s="49">
        <f>E694-D694</f>
        <v>0</v>
      </c>
      <c r="G694" s="50">
        <f>IF(D694=0,0,ABS(F694/D694))</f>
        <v>0</v>
      </c>
      <c r="H694" s="49">
        <v>0</v>
      </c>
      <c r="I694" s="49">
        <v>0</v>
      </c>
      <c r="J694" s="51" t="str">
        <f>IF(H694=0,"No plan at start",I694/H694)</f>
        <v>No plan at start</v>
      </c>
      <c r="K694" s="52">
        <f>H694-I694</f>
        <v>0</v>
      </c>
      <c r="L694" s="49">
        <v>0</v>
      </c>
      <c r="M694" s="49">
        <f>I694+L694</f>
        <v>0</v>
      </c>
      <c r="N694" s="49">
        <f>M694-H694</f>
        <v>0</v>
      </c>
      <c r="O694" s="50" t="str">
        <f>IF(H694=0,"No plan at start",M694/H694)</f>
        <v>No plan at start</v>
      </c>
    </row>
    <row r="695" spans="2:15" outlineLevel="1" collapsed="1" x14ac:dyDescent="0.2">
      <c r="B695" s="56" t="s">
        <v>133</v>
      </c>
      <c r="C695" s="49"/>
      <c r="D695" s="49">
        <f>SUBTOTAL(9,D687:D694)</f>
        <v>0</v>
      </c>
      <c r="E695" s="49">
        <f>SUBTOTAL(9,E687:E694)</f>
        <v>0</v>
      </c>
      <c r="F695" s="49">
        <f>SUBTOTAL(9,F687:F694)</f>
        <v>0</v>
      </c>
      <c r="G695" s="50">
        <f>IF(D695=0,0,ABS(F695/D695))</f>
        <v>0</v>
      </c>
      <c r="H695" s="49">
        <f>SUBTOTAL(9,H687:H694)</f>
        <v>0</v>
      </c>
      <c r="I695" s="49">
        <f>SUBTOTAL(9,I687:I694)</f>
        <v>0</v>
      </c>
      <c r="J695" s="51" t="str">
        <f>IF(H695=0,"No plan at start",I695/H695)</f>
        <v>No plan at start</v>
      </c>
      <c r="K695" s="52">
        <f>SUBTOTAL(9,K687:K694)</f>
        <v>0</v>
      </c>
      <c r="L695" s="49">
        <f>SUBTOTAL(9,L687:L694)</f>
        <v>0</v>
      </c>
      <c r="M695" s="49">
        <f>SUBTOTAL(9,M687:M694)</f>
        <v>0</v>
      </c>
      <c r="N695" s="49">
        <f>SUBTOTAL(9,N687:N694)</f>
        <v>0</v>
      </c>
      <c r="O695" s="50" t="str">
        <f>IF(H695=0,"No plan at start",M695/H695)</f>
        <v>No plan at start</v>
      </c>
    </row>
    <row r="696" spans="2:15" hidden="1" outlineLevel="2" x14ac:dyDescent="0.2">
      <c r="B696" s="49" t="s">
        <v>95</v>
      </c>
      <c r="C696" s="49" t="s">
        <v>52</v>
      </c>
      <c r="D696" s="49">
        <v>0</v>
      </c>
      <c r="E696" s="49">
        <v>0</v>
      </c>
      <c r="F696" s="49">
        <f>E696-D696</f>
        <v>0</v>
      </c>
      <c r="G696" s="50">
        <f>IF(D696=0,0,ABS(F696/D696))</f>
        <v>0</v>
      </c>
      <c r="H696" s="49">
        <v>0</v>
      </c>
      <c r="I696" s="49">
        <v>0</v>
      </c>
      <c r="J696" s="51" t="str">
        <f>IF(H696=0,"No plan at start",I696/H696)</f>
        <v>No plan at start</v>
      </c>
      <c r="K696" s="52">
        <f>H696-I696</f>
        <v>0</v>
      </c>
      <c r="L696" s="49">
        <v>0</v>
      </c>
      <c r="M696" s="49">
        <f>I696+L696</f>
        <v>0</v>
      </c>
      <c r="N696" s="49">
        <f>M696-H696</f>
        <v>0</v>
      </c>
      <c r="O696" s="50" t="str">
        <f>IF(H696=0,"No plan at start",M696/H696)</f>
        <v>No plan at start</v>
      </c>
    </row>
    <row r="697" spans="2:15" hidden="1" outlineLevel="2" x14ac:dyDescent="0.2">
      <c r="B697" s="49" t="s">
        <v>95</v>
      </c>
      <c r="C697" s="49" t="s">
        <v>53</v>
      </c>
      <c r="D697" s="49">
        <v>0</v>
      </c>
      <c r="E697" s="49">
        <v>0</v>
      </c>
      <c r="F697" s="49">
        <f>E697-D697</f>
        <v>0</v>
      </c>
      <c r="G697" s="50">
        <f>IF(D697=0,0,ABS(F697/D697))</f>
        <v>0</v>
      </c>
      <c r="H697" s="49">
        <v>0</v>
      </c>
      <c r="I697" s="49">
        <v>0</v>
      </c>
      <c r="J697" s="51" t="str">
        <f>IF(H697=0,"No plan at start",I697/H697)</f>
        <v>No plan at start</v>
      </c>
      <c r="K697" s="52">
        <f>H697-I697</f>
        <v>0</v>
      </c>
      <c r="L697" s="49">
        <v>0</v>
      </c>
      <c r="M697" s="49">
        <f>I697+L697</f>
        <v>0</v>
      </c>
      <c r="N697" s="49">
        <f>M697-H697</f>
        <v>0</v>
      </c>
      <c r="O697" s="50" t="str">
        <f>IF(H697=0,"No plan at start",M697/H697)</f>
        <v>No plan at start</v>
      </c>
    </row>
    <row r="698" spans="2:15" hidden="1" outlineLevel="2" x14ac:dyDescent="0.2">
      <c r="B698" s="49" t="s">
        <v>95</v>
      </c>
      <c r="C698" s="49" t="s">
        <v>54</v>
      </c>
      <c r="D698" s="49">
        <v>0</v>
      </c>
      <c r="E698" s="49">
        <v>0</v>
      </c>
      <c r="F698" s="49">
        <f>E698-D698</f>
        <v>0</v>
      </c>
      <c r="G698" s="50">
        <f>IF(D698=0,0,ABS(F698/D698))</f>
        <v>0</v>
      </c>
      <c r="H698" s="49">
        <v>0</v>
      </c>
      <c r="I698" s="49">
        <v>0</v>
      </c>
      <c r="J698" s="51" t="str">
        <f>IF(H698=0,"No plan at start",I698/H698)</f>
        <v>No plan at start</v>
      </c>
      <c r="K698" s="52">
        <f>H698-I698</f>
        <v>0</v>
      </c>
      <c r="L698" s="49">
        <v>0</v>
      </c>
      <c r="M698" s="49">
        <f>I698+L698</f>
        <v>0</v>
      </c>
      <c r="N698" s="49">
        <f>M698-H698</f>
        <v>0</v>
      </c>
      <c r="O698" s="50" t="str">
        <f>IF(H698=0,"No plan at start",M698/H698)</f>
        <v>No plan at start</v>
      </c>
    </row>
    <row r="699" spans="2:15" hidden="1" outlineLevel="2" x14ac:dyDescent="0.2">
      <c r="B699" s="49" t="s">
        <v>95</v>
      </c>
      <c r="C699" s="49" t="s">
        <v>55</v>
      </c>
      <c r="D699" s="49">
        <v>0</v>
      </c>
      <c r="E699" s="49">
        <v>0</v>
      </c>
      <c r="F699" s="49">
        <f>E699-D699</f>
        <v>0</v>
      </c>
      <c r="G699" s="50">
        <f>IF(D699=0,0,ABS(F699/D699))</f>
        <v>0</v>
      </c>
      <c r="H699" s="49">
        <v>0</v>
      </c>
      <c r="I699" s="49">
        <v>0</v>
      </c>
      <c r="J699" s="51" t="str">
        <f>IF(H699=0,"No plan at start",I699/H699)</f>
        <v>No plan at start</v>
      </c>
      <c r="K699" s="52">
        <f>H699-I699</f>
        <v>0</v>
      </c>
      <c r="L699" s="49">
        <v>0</v>
      </c>
      <c r="M699" s="49">
        <f>I699+L699</f>
        <v>0</v>
      </c>
      <c r="N699" s="49">
        <f>M699-H699</f>
        <v>0</v>
      </c>
      <c r="O699" s="50" t="str">
        <f>IF(H699=0,"No plan at start",M699/H699)</f>
        <v>No plan at start</v>
      </c>
    </row>
    <row r="700" spans="2:15" hidden="1" outlineLevel="2" x14ac:dyDescent="0.2">
      <c r="B700" s="49" t="s">
        <v>95</v>
      </c>
      <c r="C700" s="49" t="s">
        <v>56</v>
      </c>
      <c r="D700" s="49">
        <v>0</v>
      </c>
      <c r="E700" s="49">
        <v>0</v>
      </c>
      <c r="F700" s="49">
        <f>E700-D700</f>
        <v>0</v>
      </c>
      <c r="G700" s="50">
        <f>IF(D700=0,0,ABS(F700/D700))</f>
        <v>0</v>
      </c>
      <c r="H700" s="49">
        <v>0</v>
      </c>
      <c r="I700" s="49">
        <v>0</v>
      </c>
      <c r="J700" s="51" t="str">
        <f>IF(H700=0,"No plan at start",I700/H700)</f>
        <v>No plan at start</v>
      </c>
      <c r="K700" s="52">
        <f>H700-I700</f>
        <v>0</v>
      </c>
      <c r="L700" s="49">
        <v>0</v>
      </c>
      <c r="M700" s="49">
        <f>I700+L700</f>
        <v>0</v>
      </c>
      <c r="N700" s="49">
        <f>M700-H700</f>
        <v>0</v>
      </c>
      <c r="O700" s="50" t="str">
        <f>IF(H700=0,"No plan at start",M700/H700)</f>
        <v>No plan at start</v>
      </c>
    </row>
    <row r="701" spans="2:15" hidden="1" outlineLevel="2" x14ac:dyDescent="0.2">
      <c r="B701" s="49" t="s">
        <v>95</v>
      </c>
      <c r="C701" s="49" t="s">
        <v>57</v>
      </c>
      <c r="D701" s="49">
        <v>0</v>
      </c>
      <c r="E701" s="49">
        <v>0</v>
      </c>
      <c r="F701" s="49">
        <f>E701-D701</f>
        <v>0</v>
      </c>
      <c r="G701" s="50">
        <f>IF(D701=0,0,ABS(F701/D701))</f>
        <v>0</v>
      </c>
      <c r="H701" s="49">
        <v>0</v>
      </c>
      <c r="I701" s="49">
        <v>0</v>
      </c>
      <c r="J701" s="51" t="str">
        <f>IF(H701=0,"No plan at start",I701/H701)</f>
        <v>No plan at start</v>
      </c>
      <c r="K701" s="52">
        <f>H701-I701</f>
        <v>0</v>
      </c>
      <c r="L701" s="49">
        <v>0</v>
      </c>
      <c r="M701" s="49">
        <f>I701+L701</f>
        <v>0</v>
      </c>
      <c r="N701" s="49">
        <f>M701-H701</f>
        <v>0</v>
      </c>
      <c r="O701" s="50" t="str">
        <f>IF(H701=0,"No plan at start",M701/H701)</f>
        <v>No plan at start</v>
      </c>
    </row>
    <row r="702" spans="2:15" hidden="1" outlineLevel="2" x14ac:dyDescent="0.2">
      <c r="B702" s="49" t="s">
        <v>95</v>
      </c>
      <c r="C702" s="49" t="s">
        <v>58</v>
      </c>
      <c r="D702" s="49">
        <v>0</v>
      </c>
      <c r="E702" s="49">
        <v>0</v>
      </c>
      <c r="F702" s="49">
        <f>E702-D702</f>
        <v>0</v>
      </c>
      <c r="G702" s="50">
        <f>IF(D702=0,0,ABS(F702/D702))</f>
        <v>0</v>
      </c>
      <c r="H702" s="49">
        <v>0</v>
      </c>
      <c r="I702" s="49">
        <v>0</v>
      </c>
      <c r="J702" s="51" t="str">
        <f>IF(H702=0,"No plan at start",I702/H702)</f>
        <v>No plan at start</v>
      </c>
      <c r="K702" s="52">
        <f>H702-I702</f>
        <v>0</v>
      </c>
      <c r="L702" s="49">
        <v>0</v>
      </c>
      <c r="M702" s="49">
        <f>I702+L702</f>
        <v>0</v>
      </c>
      <c r="N702" s="49">
        <f>M702-H702</f>
        <v>0</v>
      </c>
      <c r="O702" s="50" t="str">
        <f>IF(H702=0,"No plan at start",M702/H702)</f>
        <v>No plan at start</v>
      </c>
    </row>
    <row r="703" spans="2:15" hidden="1" outlineLevel="2" x14ac:dyDescent="0.2">
      <c r="B703" s="49" t="s">
        <v>95</v>
      </c>
      <c r="C703" s="49" t="s">
        <v>59</v>
      </c>
      <c r="D703" s="49">
        <v>0</v>
      </c>
      <c r="E703" s="49">
        <v>0</v>
      </c>
      <c r="F703" s="49">
        <f>E703-D703</f>
        <v>0</v>
      </c>
      <c r="G703" s="50">
        <f>IF(D703=0,0,ABS(F703/D703))</f>
        <v>0</v>
      </c>
      <c r="H703" s="49">
        <v>0</v>
      </c>
      <c r="I703" s="49">
        <v>0</v>
      </c>
      <c r="J703" s="51" t="str">
        <f>IF(H703=0,"No plan at start",I703/H703)</f>
        <v>No plan at start</v>
      </c>
      <c r="K703" s="52">
        <f>H703-I703</f>
        <v>0</v>
      </c>
      <c r="L703" s="49">
        <v>0</v>
      </c>
      <c r="M703" s="49">
        <f>I703+L703</f>
        <v>0</v>
      </c>
      <c r="N703" s="49">
        <f>M703-H703</f>
        <v>0</v>
      </c>
      <c r="O703" s="50" t="str">
        <f>IF(H703=0,"No plan at start",M703/H703)</f>
        <v>No plan at start</v>
      </c>
    </row>
    <row r="704" spans="2:15" outlineLevel="1" collapsed="1" x14ac:dyDescent="0.2">
      <c r="B704" s="56" t="s">
        <v>134</v>
      </c>
      <c r="C704" s="49"/>
      <c r="D704" s="49">
        <f>SUBTOTAL(9,D696:D703)</f>
        <v>0</v>
      </c>
      <c r="E704" s="49">
        <f>SUBTOTAL(9,E696:E703)</f>
        <v>0</v>
      </c>
      <c r="F704" s="49">
        <f>SUBTOTAL(9,F696:F703)</f>
        <v>0</v>
      </c>
      <c r="G704" s="50">
        <f>IF(D704=0,0,ABS(F704/D704))</f>
        <v>0</v>
      </c>
      <c r="H704" s="49">
        <f>SUBTOTAL(9,H696:H703)</f>
        <v>0</v>
      </c>
      <c r="I704" s="49">
        <f>SUBTOTAL(9,I696:I703)</f>
        <v>0</v>
      </c>
      <c r="J704" s="51" t="str">
        <f>IF(H704=0,"No plan at start",I704/H704)</f>
        <v>No plan at start</v>
      </c>
      <c r="K704" s="52">
        <f>SUBTOTAL(9,K696:K703)</f>
        <v>0</v>
      </c>
      <c r="L704" s="49">
        <f>SUBTOTAL(9,L696:L703)</f>
        <v>0</v>
      </c>
      <c r="M704" s="49">
        <f>SUBTOTAL(9,M696:M703)</f>
        <v>0</v>
      </c>
      <c r="N704" s="49">
        <f>SUBTOTAL(9,N696:N703)</f>
        <v>0</v>
      </c>
      <c r="O704" s="50" t="str">
        <f>IF(H704=0,"No plan at start",M704/H704)</f>
        <v>No plan at start</v>
      </c>
    </row>
    <row r="705" spans="2:15" hidden="1" outlineLevel="2" x14ac:dyDescent="0.2">
      <c r="B705" s="49" t="s">
        <v>96</v>
      </c>
      <c r="C705" s="49" t="s">
        <v>52</v>
      </c>
      <c r="D705" s="49">
        <v>0</v>
      </c>
      <c r="E705" s="49">
        <v>0</v>
      </c>
      <c r="F705" s="49">
        <f>E705-D705</f>
        <v>0</v>
      </c>
      <c r="G705" s="50">
        <f>IF(D705=0,0,ABS(F705/D705))</f>
        <v>0</v>
      </c>
      <c r="H705" s="49">
        <v>0</v>
      </c>
      <c r="I705" s="49">
        <v>0</v>
      </c>
      <c r="J705" s="51" t="str">
        <f>IF(H705=0,"No plan at start",I705/H705)</f>
        <v>No plan at start</v>
      </c>
      <c r="K705" s="52">
        <f>H705-I705</f>
        <v>0</v>
      </c>
      <c r="L705" s="49">
        <v>0</v>
      </c>
      <c r="M705" s="49">
        <f>I705+L705</f>
        <v>0</v>
      </c>
      <c r="N705" s="49">
        <f>M705-H705</f>
        <v>0</v>
      </c>
      <c r="O705" s="50" t="str">
        <f>IF(H705=0,"No plan at start",M705/H705)</f>
        <v>No plan at start</v>
      </c>
    </row>
    <row r="706" spans="2:15" hidden="1" outlineLevel="2" x14ac:dyDescent="0.2">
      <c r="B706" s="49" t="s">
        <v>96</v>
      </c>
      <c r="C706" s="49" t="s">
        <v>53</v>
      </c>
      <c r="D706" s="49">
        <v>0</v>
      </c>
      <c r="E706" s="49">
        <v>0</v>
      </c>
      <c r="F706" s="49">
        <f>E706-D706</f>
        <v>0</v>
      </c>
      <c r="G706" s="50">
        <f>IF(D706=0,0,ABS(F706/D706))</f>
        <v>0</v>
      </c>
      <c r="H706" s="49">
        <v>0</v>
      </c>
      <c r="I706" s="49">
        <v>0</v>
      </c>
      <c r="J706" s="51" t="str">
        <f>IF(H706=0,"No plan at start",I706/H706)</f>
        <v>No plan at start</v>
      </c>
      <c r="K706" s="52">
        <f>H706-I706</f>
        <v>0</v>
      </c>
      <c r="L706" s="49">
        <v>0</v>
      </c>
      <c r="M706" s="49">
        <f>I706+L706</f>
        <v>0</v>
      </c>
      <c r="N706" s="49">
        <f>M706-H706</f>
        <v>0</v>
      </c>
      <c r="O706" s="50" t="str">
        <f>IF(H706=0,"No plan at start",M706/H706)</f>
        <v>No plan at start</v>
      </c>
    </row>
    <row r="707" spans="2:15" hidden="1" outlineLevel="2" x14ac:dyDescent="0.2">
      <c r="B707" s="49" t="s">
        <v>96</v>
      </c>
      <c r="C707" s="49" t="s">
        <v>54</v>
      </c>
      <c r="D707" s="49">
        <v>0</v>
      </c>
      <c r="E707" s="49">
        <v>0</v>
      </c>
      <c r="F707" s="49">
        <f>E707-D707</f>
        <v>0</v>
      </c>
      <c r="G707" s="50">
        <f>IF(D707=0,0,ABS(F707/D707))</f>
        <v>0</v>
      </c>
      <c r="H707" s="49">
        <v>0</v>
      </c>
      <c r="I707" s="49">
        <v>0</v>
      </c>
      <c r="J707" s="51" t="str">
        <f>IF(H707=0,"No plan at start",I707/H707)</f>
        <v>No plan at start</v>
      </c>
      <c r="K707" s="52">
        <f>H707-I707</f>
        <v>0</v>
      </c>
      <c r="L707" s="49">
        <v>0</v>
      </c>
      <c r="M707" s="49">
        <f>I707+L707</f>
        <v>0</v>
      </c>
      <c r="N707" s="49">
        <f>M707-H707</f>
        <v>0</v>
      </c>
      <c r="O707" s="50" t="str">
        <f>IF(H707=0,"No plan at start",M707/H707)</f>
        <v>No plan at start</v>
      </c>
    </row>
    <row r="708" spans="2:15" hidden="1" outlineLevel="2" x14ac:dyDescent="0.2">
      <c r="B708" s="49" t="s">
        <v>96</v>
      </c>
      <c r="C708" s="49" t="s">
        <v>55</v>
      </c>
      <c r="D708" s="49">
        <v>0</v>
      </c>
      <c r="E708" s="49">
        <v>0</v>
      </c>
      <c r="F708" s="49">
        <f>E708-D708</f>
        <v>0</v>
      </c>
      <c r="G708" s="50">
        <f>IF(D708=0,0,ABS(F708/D708))</f>
        <v>0</v>
      </c>
      <c r="H708" s="49">
        <v>0</v>
      </c>
      <c r="I708" s="49">
        <v>0</v>
      </c>
      <c r="J708" s="51" t="str">
        <f>IF(H708=0,"No plan at start",I708/H708)</f>
        <v>No plan at start</v>
      </c>
      <c r="K708" s="52">
        <f>H708-I708</f>
        <v>0</v>
      </c>
      <c r="L708" s="49">
        <v>0</v>
      </c>
      <c r="M708" s="49">
        <f>I708+L708</f>
        <v>0</v>
      </c>
      <c r="N708" s="49">
        <f>M708-H708</f>
        <v>0</v>
      </c>
      <c r="O708" s="50" t="str">
        <f>IF(H708=0,"No plan at start",M708/H708)</f>
        <v>No plan at start</v>
      </c>
    </row>
    <row r="709" spans="2:15" hidden="1" outlineLevel="2" x14ac:dyDescent="0.2">
      <c r="B709" s="49" t="s">
        <v>96</v>
      </c>
      <c r="C709" s="49" t="s">
        <v>56</v>
      </c>
      <c r="D709" s="49">
        <v>0</v>
      </c>
      <c r="E709" s="49">
        <v>0</v>
      </c>
      <c r="F709" s="49">
        <f>E709-D709</f>
        <v>0</v>
      </c>
      <c r="G709" s="50">
        <f>IF(D709=0,0,ABS(F709/D709))</f>
        <v>0</v>
      </c>
      <c r="H709" s="49">
        <v>0</v>
      </c>
      <c r="I709" s="49">
        <v>0</v>
      </c>
      <c r="J709" s="51" t="str">
        <f>IF(H709=0,"No plan at start",I709/H709)</f>
        <v>No plan at start</v>
      </c>
      <c r="K709" s="52">
        <f>H709-I709</f>
        <v>0</v>
      </c>
      <c r="L709" s="49">
        <v>0</v>
      </c>
      <c r="M709" s="49">
        <f>I709+L709</f>
        <v>0</v>
      </c>
      <c r="N709" s="49">
        <f>M709-H709</f>
        <v>0</v>
      </c>
      <c r="O709" s="50" t="str">
        <f>IF(H709=0,"No plan at start",M709/H709)</f>
        <v>No plan at start</v>
      </c>
    </row>
    <row r="710" spans="2:15" hidden="1" outlineLevel="2" x14ac:dyDescent="0.2">
      <c r="B710" s="49" t="s">
        <v>96</v>
      </c>
      <c r="C710" s="49" t="s">
        <v>57</v>
      </c>
      <c r="D710" s="49">
        <v>0</v>
      </c>
      <c r="E710" s="49">
        <v>0</v>
      </c>
      <c r="F710" s="49">
        <f>E710-D710</f>
        <v>0</v>
      </c>
      <c r="G710" s="50">
        <f>IF(D710=0,0,ABS(F710/D710))</f>
        <v>0</v>
      </c>
      <c r="H710" s="49">
        <v>0</v>
      </c>
      <c r="I710" s="49">
        <v>0</v>
      </c>
      <c r="J710" s="51" t="str">
        <f>IF(H710=0,"No plan at start",I710/H710)</f>
        <v>No plan at start</v>
      </c>
      <c r="K710" s="52">
        <f>H710-I710</f>
        <v>0</v>
      </c>
      <c r="L710" s="49">
        <v>0</v>
      </c>
      <c r="M710" s="49">
        <f>I710+L710</f>
        <v>0</v>
      </c>
      <c r="N710" s="49">
        <f>M710-H710</f>
        <v>0</v>
      </c>
      <c r="O710" s="50" t="str">
        <f>IF(H710=0,"No plan at start",M710/H710)</f>
        <v>No plan at start</v>
      </c>
    </row>
    <row r="711" spans="2:15" hidden="1" outlineLevel="2" x14ac:dyDescent="0.2">
      <c r="B711" s="49" t="s">
        <v>96</v>
      </c>
      <c r="C711" s="49" t="s">
        <v>58</v>
      </c>
      <c r="D711" s="49">
        <v>0</v>
      </c>
      <c r="E711" s="49">
        <v>0</v>
      </c>
      <c r="F711" s="49">
        <f>E711-D711</f>
        <v>0</v>
      </c>
      <c r="G711" s="50">
        <f>IF(D711=0,0,ABS(F711/D711))</f>
        <v>0</v>
      </c>
      <c r="H711" s="49">
        <v>0</v>
      </c>
      <c r="I711" s="49">
        <v>0</v>
      </c>
      <c r="J711" s="51" t="str">
        <f>IF(H711=0,"No plan at start",I711/H711)</f>
        <v>No plan at start</v>
      </c>
      <c r="K711" s="52">
        <f>H711-I711</f>
        <v>0</v>
      </c>
      <c r="L711" s="49">
        <v>0</v>
      </c>
      <c r="M711" s="49">
        <f>I711+L711</f>
        <v>0</v>
      </c>
      <c r="N711" s="49">
        <f>M711-H711</f>
        <v>0</v>
      </c>
      <c r="O711" s="50" t="str">
        <f>IF(H711=0,"No plan at start",M711/H711)</f>
        <v>No plan at start</v>
      </c>
    </row>
    <row r="712" spans="2:15" hidden="1" outlineLevel="2" x14ac:dyDescent="0.2">
      <c r="B712" s="49" t="s">
        <v>96</v>
      </c>
      <c r="C712" s="49" t="s">
        <v>59</v>
      </c>
      <c r="D712" s="49">
        <v>0</v>
      </c>
      <c r="E712" s="49">
        <v>0</v>
      </c>
      <c r="F712" s="49">
        <f>E712-D712</f>
        <v>0</v>
      </c>
      <c r="G712" s="50">
        <f>IF(D712=0,0,ABS(F712/D712))</f>
        <v>0</v>
      </c>
      <c r="H712" s="49">
        <v>0</v>
      </c>
      <c r="I712" s="49">
        <v>0</v>
      </c>
      <c r="J712" s="51" t="str">
        <f>IF(H712=0,"No plan at start",I712/H712)</f>
        <v>No plan at start</v>
      </c>
      <c r="K712" s="52">
        <f>H712-I712</f>
        <v>0</v>
      </c>
      <c r="L712" s="49">
        <v>0</v>
      </c>
      <c r="M712" s="49">
        <f>I712+L712</f>
        <v>0</v>
      </c>
      <c r="N712" s="49">
        <f>M712-H712</f>
        <v>0</v>
      </c>
      <c r="O712" s="50" t="str">
        <f>IF(H712=0,"No plan at start",M712/H712)</f>
        <v>No plan at start</v>
      </c>
    </row>
    <row r="713" spans="2:15" outlineLevel="1" collapsed="1" x14ac:dyDescent="0.2">
      <c r="B713" s="56" t="s">
        <v>135</v>
      </c>
      <c r="C713" s="49"/>
      <c r="D713" s="49">
        <f>SUBTOTAL(9,D705:D712)</f>
        <v>0</v>
      </c>
      <c r="E713" s="49">
        <f>SUBTOTAL(9,E705:E712)</f>
        <v>0</v>
      </c>
      <c r="F713" s="49">
        <f>SUBTOTAL(9,F705:F712)</f>
        <v>0</v>
      </c>
      <c r="G713" s="50">
        <f>IF(D713=0,0,ABS(F713/D713))</f>
        <v>0</v>
      </c>
      <c r="H713" s="49">
        <f>SUBTOTAL(9,H705:H712)</f>
        <v>0</v>
      </c>
      <c r="I713" s="49">
        <f>SUBTOTAL(9,I705:I712)</f>
        <v>0</v>
      </c>
      <c r="J713" s="51" t="str">
        <f>IF(H713=0,"No plan at start",I713/H713)</f>
        <v>No plan at start</v>
      </c>
      <c r="K713" s="52">
        <f>SUBTOTAL(9,K705:K712)</f>
        <v>0</v>
      </c>
      <c r="L713" s="49">
        <f>SUBTOTAL(9,L705:L712)</f>
        <v>0</v>
      </c>
      <c r="M713" s="49">
        <f>SUBTOTAL(9,M705:M712)</f>
        <v>0</v>
      </c>
      <c r="N713" s="49">
        <f>SUBTOTAL(9,N705:N712)</f>
        <v>0</v>
      </c>
      <c r="O713" s="50" t="str">
        <f>IF(H713=0,"No plan at start",M713/H713)</f>
        <v>No plan at start</v>
      </c>
    </row>
    <row r="714" spans="2:15" hidden="1" outlineLevel="2" x14ac:dyDescent="0.2">
      <c r="B714" s="49" t="s">
        <v>97</v>
      </c>
      <c r="C714" s="49" t="s">
        <v>52</v>
      </c>
      <c r="D714" s="49">
        <v>0</v>
      </c>
      <c r="E714" s="49">
        <v>44.72</v>
      </c>
      <c r="F714" s="49">
        <f>E714-D714</f>
        <v>44.72</v>
      </c>
      <c r="G714" s="50">
        <f>IF(D714=0,0,ABS(F714/D714))</f>
        <v>0</v>
      </c>
      <c r="H714" s="49">
        <v>0</v>
      </c>
      <c r="I714" s="49">
        <v>44.72</v>
      </c>
      <c r="J714" s="51" t="str">
        <f>IF(H714=0,"No plan at start",I714/H714)</f>
        <v>No plan at start</v>
      </c>
      <c r="K714" s="52">
        <f>H714-I714</f>
        <v>-44.72</v>
      </c>
      <c r="L714" s="49">
        <v>0</v>
      </c>
      <c r="M714" s="49">
        <f>I714+L714</f>
        <v>44.72</v>
      </c>
      <c r="N714" s="49">
        <f>M714-H714</f>
        <v>44.72</v>
      </c>
      <c r="O714" s="50" t="str">
        <f>IF(H714=0,"No plan at start",M714/H714)</f>
        <v>No plan at start</v>
      </c>
    </row>
    <row r="715" spans="2:15" hidden="1" outlineLevel="2" x14ac:dyDescent="0.2">
      <c r="B715" s="49" t="s">
        <v>97</v>
      </c>
      <c r="C715" s="49" t="s">
        <v>53</v>
      </c>
      <c r="D715" s="49">
        <v>0</v>
      </c>
      <c r="E715" s="49">
        <v>0</v>
      </c>
      <c r="F715" s="49">
        <f>E715-D715</f>
        <v>0</v>
      </c>
      <c r="G715" s="50">
        <f>IF(D715=0,0,ABS(F715/D715))</f>
        <v>0</v>
      </c>
      <c r="H715" s="49">
        <v>0</v>
      </c>
      <c r="I715" s="49">
        <v>0</v>
      </c>
      <c r="J715" s="51" t="str">
        <f>IF(H715=0,"No plan at start",I715/H715)</f>
        <v>No plan at start</v>
      </c>
      <c r="K715" s="52">
        <f>H715-I715</f>
        <v>0</v>
      </c>
      <c r="L715" s="49">
        <v>0</v>
      </c>
      <c r="M715" s="49">
        <f>I715+L715</f>
        <v>0</v>
      </c>
      <c r="N715" s="49">
        <f>M715-H715</f>
        <v>0</v>
      </c>
      <c r="O715" s="50" t="str">
        <f>IF(H715=0,"No plan at start",M715/H715)</f>
        <v>No plan at start</v>
      </c>
    </row>
    <row r="716" spans="2:15" hidden="1" outlineLevel="2" x14ac:dyDescent="0.2">
      <c r="B716" s="49" t="s">
        <v>97</v>
      </c>
      <c r="C716" s="49" t="s">
        <v>54</v>
      </c>
      <c r="D716" s="49">
        <v>0</v>
      </c>
      <c r="E716" s="49">
        <v>0</v>
      </c>
      <c r="F716" s="49">
        <f>E716-D716</f>
        <v>0</v>
      </c>
      <c r="G716" s="50">
        <f>IF(D716=0,0,ABS(F716/D716))</f>
        <v>0</v>
      </c>
      <c r="H716" s="49">
        <v>0</v>
      </c>
      <c r="I716" s="49">
        <v>0</v>
      </c>
      <c r="J716" s="51" t="str">
        <f>IF(H716=0,"No plan at start",I716/H716)</f>
        <v>No plan at start</v>
      </c>
      <c r="K716" s="52">
        <f>H716-I716</f>
        <v>0</v>
      </c>
      <c r="L716" s="49">
        <v>0</v>
      </c>
      <c r="M716" s="49">
        <f>I716+L716</f>
        <v>0</v>
      </c>
      <c r="N716" s="49">
        <f>M716-H716</f>
        <v>0</v>
      </c>
      <c r="O716" s="50" t="str">
        <f>IF(H716=0,"No plan at start",M716/H716)</f>
        <v>No plan at start</v>
      </c>
    </row>
    <row r="717" spans="2:15" hidden="1" outlineLevel="2" x14ac:dyDescent="0.2">
      <c r="B717" s="49" t="s">
        <v>97</v>
      </c>
      <c r="C717" s="49" t="s">
        <v>55</v>
      </c>
      <c r="D717" s="49">
        <v>0</v>
      </c>
      <c r="E717" s="49">
        <v>0</v>
      </c>
      <c r="F717" s="49">
        <f>E717-D717</f>
        <v>0</v>
      </c>
      <c r="G717" s="50">
        <f>IF(D717=0,0,ABS(F717/D717))</f>
        <v>0</v>
      </c>
      <c r="H717" s="49">
        <v>0</v>
      </c>
      <c r="I717" s="49">
        <v>0</v>
      </c>
      <c r="J717" s="51" t="str">
        <f>IF(H717=0,"No plan at start",I717/H717)</f>
        <v>No plan at start</v>
      </c>
      <c r="K717" s="52">
        <f>H717-I717</f>
        <v>0</v>
      </c>
      <c r="L717" s="49">
        <v>0</v>
      </c>
      <c r="M717" s="49">
        <f>I717+L717</f>
        <v>0</v>
      </c>
      <c r="N717" s="49">
        <f>M717-H717</f>
        <v>0</v>
      </c>
      <c r="O717" s="50" t="str">
        <f>IF(H717=0,"No plan at start",M717/H717)</f>
        <v>No plan at start</v>
      </c>
    </row>
    <row r="718" spans="2:15" hidden="1" outlineLevel="2" x14ac:dyDescent="0.2">
      <c r="B718" s="49" t="s">
        <v>97</v>
      </c>
      <c r="C718" s="49" t="s">
        <v>56</v>
      </c>
      <c r="D718" s="49">
        <v>0</v>
      </c>
      <c r="E718" s="49">
        <v>0</v>
      </c>
      <c r="F718" s="49">
        <f>E718-D718</f>
        <v>0</v>
      </c>
      <c r="G718" s="50">
        <f>IF(D718=0,0,ABS(F718/D718))</f>
        <v>0</v>
      </c>
      <c r="H718" s="49">
        <v>0</v>
      </c>
      <c r="I718" s="49">
        <v>0</v>
      </c>
      <c r="J718" s="51" t="str">
        <f>IF(H718=0,"No plan at start",I718/H718)</f>
        <v>No plan at start</v>
      </c>
      <c r="K718" s="52">
        <f>H718-I718</f>
        <v>0</v>
      </c>
      <c r="L718" s="49">
        <v>0</v>
      </c>
      <c r="M718" s="49">
        <f>I718+L718</f>
        <v>0</v>
      </c>
      <c r="N718" s="49">
        <f>M718-H718</f>
        <v>0</v>
      </c>
      <c r="O718" s="50" t="str">
        <f>IF(H718=0,"No plan at start",M718/H718)</f>
        <v>No plan at start</v>
      </c>
    </row>
    <row r="719" spans="2:15" hidden="1" outlineLevel="2" x14ac:dyDescent="0.2">
      <c r="B719" s="49" t="s">
        <v>97</v>
      </c>
      <c r="C719" s="49" t="s">
        <v>57</v>
      </c>
      <c r="D719" s="49">
        <v>0</v>
      </c>
      <c r="E719" s="49">
        <v>0</v>
      </c>
      <c r="F719" s="49">
        <f>E719-D719</f>
        <v>0</v>
      </c>
      <c r="G719" s="50">
        <f>IF(D719=0,0,ABS(F719/D719))</f>
        <v>0</v>
      </c>
      <c r="H719" s="49">
        <v>0</v>
      </c>
      <c r="I719" s="49">
        <v>0</v>
      </c>
      <c r="J719" s="51" t="str">
        <f>IF(H719=0,"No plan at start",I719/H719)</f>
        <v>No plan at start</v>
      </c>
      <c r="K719" s="52">
        <f>H719-I719</f>
        <v>0</v>
      </c>
      <c r="L719" s="49">
        <v>0</v>
      </c>
      <c r="M719" s="49">
        <f>I719+L719</f>
        <v>0</v>
      </c>
      <c r="N719" s="49">
        <f>M719-H719</f>
        <v>0</v>
      </c>
      <c r="O719" s="50" t="str">
        <f>IF(H719=0,"No plan at start",M719/H719)</f>
        <v>No plan at start</v>
      </c>
    </row>
    <row r="720" spans="2:15" hidden="1" outlineLevel="2" x14ac:dyDescent="0.2">
      <c r="B720" s="49" t="s">
        <v>97</v>
      </c>
      <c r="C720" s="49" t="s">
        <v>58</v>
      </c>
      <c r="D720" s="49">
        <v>0</v>
      </c>
      <c r="E720" s="49">
        <v>0</v>
      </c>
      <c r="F720" s="49">
        <f>E720-D720</f>
        <v>0</v>
      </c>
      <c r="G720" s="50">
        <f>IF(D720=0,0,ABS(F720/D720))</f>
        <v>0</v>
      </c>
      <c r="H720" s="49">
        <v>0</v>
      </c>
      <c r="I720" s="49">
        <v>0</v>
      </c>
      <c r="J720" s="51" t="str">
        <f>IF(H720=0,"No plan at start",I720/H720)</f>
        <v>No plan at start</v>
      </c>
      <c r="K720" s="52">
        <f>H720-I720</f>
        <v>0</v>
      </c>
      <c r="L720" s="49">
        <v>0</v>
      </c>
      <c r="M720" s="49">
        <f>I720+L720</f>
        <v>0</v>
      </c>
      <c r="N720" s="49">
        <f>M720-H720</f>
        <v>0</v>
      </c>
      <c r="O720" s="50" t="str">
        <f>IF(H720=0,"No plan at start",M720/H720)</f>
        <v>No plan at start</v>
      </c>
    </row>
    <row r="721" spans="2:15" hidden="1" outlineLevel="2" x14ac:dyDescent="0.2">
      <c r="B721" s="49" t="s">
        <v>97</v>
      </c>
      <c r="C721" s="49" t="s">
        <v>59</v>
      </c>
      <c r="D721" s="49">
        <v>0</v>
      </c>
      <c r="E721" s="49">
        <v>0</v>
      </c>
      <c r="F721" s="49">
        <f>E721-D721</f>
        <v>0</v>
      </c>
      <c r="G721" s="50">
        <f>IF(D721=0,0,ABS(F721/D721))</f>
        <v>0</v>
      </c>
      <c r="H721" s="49">
        <v>0</v>
      </c>
      <c r="I721" s="49">
        <v>0</v>
      </c>
      <c r="J721" s="51" t="str">
        <f t="shared" ref="J721:J722" si="1">IF(H721=0,"No plan at start",I721/H721)</f>
        <v>No plan at start</v>
      </c>
      <c r="K721" s="52">
        <f>H721-I721</f>
        <v>0</v>
      </c>
      <c r="L721" s="49">
        <v>0</v>
      </c>
      <c r="M721" s="49">
        <f>I721+L721</f>
        <v>0</v>
      </c>
      <c r="N721" s="49">
        <f>M721-H721</f>
        <v>0</v>
      </c>
      <c r="O721" s="50" t="str">
        <f>IF(H721=0,"No plan at start",M721/H721)</f>
        <v>No plan at start</v>
      </c>
    </row>
    <row r="722" spans="2:15" outlineLevel="1" collapsed="1" x14ac:dyDescent="0.2">
      <c r="B722" s="56" t="s">
        <v>136</v>
      </c>
      <c r="C722" s="49"/>
      <c r="D722" s="49">
        <f>SUBTOTAL(9,D714:D721)</f>
        <v>0</v>
      </c>
      <c r="E722" s="49">
        <f>SUBTOTAL(9,E714:E721)</f>
        <v>44.72</v>
      </c>
      <c r="F722" s="49">
        <f>SUBTOTAL(9,F714:F721)</f>
        <v>44.72</v>
      </c>
      <c r="G722" s="50">
        <f>IF(D722=0,0,ABS(F722/D722))</f>
        <v>0</v>
      </c>
      <c r="H722" s="49">
        <f>SUBTOTAL(9,H714:H721)</f>
        <v>0</v>
      </c>
      <c r="I722" s="49">
        <f>SUBTOTAL(9,I714:I721)</f>
        <v>44.72</v>
      </c>
      <c r="J722" s="51" t="str">
        <f t="shared" si="1"/>
        <v>No plan at start</v>
      </c>
      <c r="K722" s="52">
        <f>SUBTOTAL(9,K714:K721)</f>
        <v>-44.72</v>
      </c>
      <c r="L722" s="49">
        <f>SUBTOTAL(9,L714:L721)</f>
        <v>0</v>
      </c>
      <c r="M722" s="49">
        <f>SUBTOTAL(9,M714:M721)</f>
        <v>44.72</v>
      </c>
      <c r="N722" s="49">
        <f>SUBTOTAL(9,N714:N721)</f>
        <v>44.72</v>
      </c>
      <c r="O722" s="50" t="str">
        <f>IF(H722=0,"No plan at start",M722/H722)</f>
        <v>No plan at start</v>
      </c>
    </row>
    <row r="723" spans="2:15" x14ac:dyDescent="0.2"/>
    <row r="724" spans="2:15" x14ac:dyDescent="0.2"/>
    <row r="725" spans="2:15" x14ac:dyDescent="0.2"/>
    <row r="726" spans="2:15" x14ac:dyDescent="0.2"/>
    <row r="727" spans="2:15" x14ac:dyDescent="0.2"/>
    <row r="728" spans="2:15" x14ac:dyDescent="0.2"/>
    <row r="729" spans="2:15" x14ac:dyDescent="0.2"/>
    <row r="730" spans="2:15" x14ac:dyDescent="0.2"/>
    <row r="731" spans="2:15" x14ac:dyDescent="0.2"/>
    <row r="732" spans="2:15" x14ac:dyDescent="0.2"/>
    <row r="733" spans="2:15" x14ac:dyDescent="0.2"/>
    <row r="734" spans="2:15" x14ac:dyDescent="0.2"/>
    <row r="735" spans="2:15" x14ac:dyDescent="0.2"/>
    <row r="736" spans="2:15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ht="15" customHeight="1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3464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3463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3461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3453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2495" priority="3445" operator="lessThan">
      <formula>0</formula>
    </cfRule>
    <cfRule type="cellIs" dxfId="2494" priority="3446" operator="greaterThan">
      <formula>0</formula>
    </cfRule>
  </conditionalFormatting>
  <conditionalFormatting sqref="F16">
    <cfRule type="cellIs" dxfId="2493" priority="3443" operator="lessThan">
      <formula>0</formula>
    </cfRule>
    <cfRule type="cellIs" dxfId="2492" priority="3444" operator="greaterThan">
      <formula>0</formula>
    </cfRule>
  </conditionalFormatting>
  <conditionalFormatting sqref="U16">
    <cfRule type="iconSet" priority="3466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3467">
      <iconSet iconSet="3Symbols" showValue="0" reverse="1">
        <cfvo type="percent" val="0"/>
        <cfvo type="num" val="1"/>
        <cfvo type="num" val="1.05"/>
      </iconSet>
    </cfRule>
  </conditionalFormatting>
  <conditionalFormatting sqref="N365:N366">
    <cfRule type="cellIs" dxfId="2491" priority="3421" operator="lessThan">
      <formula>0</formula>
    </cfRule>
    <cfRule type="cellIs" dxfId="2490" priority="3422" operator="greaterThan">
      <formula>0</formula>
    </cfRule>
  </conditionalFormatting>
  <conditionalFormatting sqref="F365:F366">
    <cfRule type="cellIs" dxfId="2489" priority="3419" operator="lessThan">
      <formula>0</formula>
    </cfRule>
    <cfRule type="cellIs" dxfId="2488" priority="3420" operator="greaterThan">
      <formula>0</formula>
    </cfRule>
  </conditionalFormatting>
  <conditionalFormatting sqref="N372">
    <cfRule type="cellIs" dxfId="2487" priority="3417" operator="lessThan">
      <formula>0</formula>
    </cfRule>
    <cfRule type="cellIs" dxfId="2486" priority="3418" operator="greaterThan">
      <formula>0</formula>
    </cfRule>
  </conditionalFormatting>
  <conditionalFormatting sqref="F372">
    <cfRule type="cellIs" dxfId="2485" priority="3415" operator="lessThan">
      <formula>0</formula>
    </cfRule>
    <cfRule type="cellIs" dxfId="2484" priority="3416" operator="greaterThan">
      <formula>0</formula>
    </cfRule>
  </conditionalFormatting>
  <conditionalFormatting sqref="N721:N722">
    <cfRule type="cellIs" dxfId="2483" priority="3413" operator="lessThan">
      <formula>0</formula>
    </cfRule>
    <cfRule type="cellIs" dxfId="2482" priority="3414" operator="greaterThan">
      <formula>0</formula>
    </cfRule>
  </conditionalFormatting>
  <conditionalFormatting sqref="F721:F722">
    <cfRule type="cellIs" dxfId="2481" priority="3411" operator="lessThan">
      <formula>0</formula>
    </cfRule>
    <cfRule type="cellIs" dxfId="2480" priority="3412" operator="greaterThan">
      <formula>0</formula>
    </cfRule>
  </conditionalFormatting>
  <conditionalFormatting sqref="Q364">
    <cfRule type="iconSet" priority="3408">
      <iconSet iconSet="3Symbols" showValue="0" reverse="1">
        <cfvo type="percent" val="0"/>
        <cfvo type="num" val="1"/>
        <cfvo type="num" val="1.05"/>
      </iconSet>
    </cfRule>
  </conditionalFormatting>
  <conditionalFormatting sqref="N364">
    <cfRule type="cellIs" dxfId="2479" priority="3406" operator="lessThan">
      <formula>0</formula>
    </cfRule>
    <cfRule type="cellIs" dxfId="2478" priority="3407" operator="greaterThan">
      <formula>0</formula>
    </cfRule>
  </conditionalFormatting>
  <conditionalFormatting sqref="F364">
    <cfRule type="cellIs" dxfId="2477" priority="3404" operator="lessThan">
      <formula>0</formula>
    </cfRule>
    <cfRule type="cellIs" dxfId="2476" priority="3405" operator="greaterThan">
      <formula>0</formula>
    </cfRule>
  </conditionalFormatting>
  <conditionalFormatting sqref="U364">
    <cfRule type="iconSet" priority="3409">
      <iconSet iconSet="3Symbols" showValue="0" reverse="1">
        <cfvo type="percent" val="0"/>
        <cfvo type="num" val="1"/>
        <cfvo type="num" val="1.05"/>
      </iconSet>
    </cfRule>
  </conditionalFormatting>
  <conditionalFormatting sqref="P364">
    <cfRule type="iconSet" priority="3410">
      <iconSet iconSet="3Symbols" showValue="0" reverse="1">
        <cfvo type="percent" val="0"/>
        <cfvo type="num" val="1"/>
        <cfvo type="num" val="1.05"/>
      </iconSet>
    </cfRule>
  </conditionalFormatting>
  <conditionalFormatting sqref="Q363">
    <cfRule type="iconSet" priority="3401">
      <iconSet iconSet="3Symbols" showValue="0" reverse="1">
        <cfvo type="percent" val="0"/>
        <cfvo type="num" val="1"/>
        <cfvo type="num" val="1.05"/>
      </iconSet>
    </cfRule>
  </conditionalFormatting>
  <conditionalFormatting sqref="N363">
    <cfRule type="cellIs" dxfId="2475" priority="3399" operator="lessThan">
      <formula>0</formula>
    </cfRule>
    <cfRule type="cellIs" dxfId="2474" priority="3400" operator="greaterThan">
      <formula>0</formula>
    </cfRule>
  </conditionalFormatting>
  <conditionalFormatting sqref="F363">
    <cfRule type="cellIs" dxfId="2473" priority="3397" operator="lessThan">
      <formula>0</formula>
    </cfRule>
    <cfRule type="cellIs" dxfId="2472" priority="3398" operator="greaterThan">
      <formula>0</formula>
    </cfRule>
  </conditionalFormatting>
  <conditionalFormatting sqref="U363">
    <cfRule type="iconSet" priority="3402">
      <iconSet iconSet="3Symbols" showValue="0" reverse="1">
        <cfvo type="percent" val="0"/>
        <cfvo type="num" val="1"/>
        <cfvo type="num" val="1.05"/>
      </iconSet>
    </cfRule>
  </conditionalFormatting>
  <conditionalFormatting sqref="P363">
    <cfRule type="iconSet" priority="3403">
      <iconSet iconSet="3Symbols" showValue="0" reverse="1">
        <cfvo type="percent" val="0"/>
        <cfvo type="num" val="1"/>
        <cfvo type="num" val="1.05"/>
      </iconSet>
    </cfRule>
  </conditionalFormatting>
  <conditionalFormatting sqref="Q362">
    <cfRule type="iconSet" priority="3394">
      <iconSet iconSet="3Symbols" showValue="0" reverse="1">
        <cfvo type="percent" val="0"/>
        <cfvo type="num" val="1"/>
        <cfvo type="num" val="1.05"/>
      </iconSet>
    </cfRule>
  </conditionalFormatting>
  <conditionalFormatting sqref="N362">
    <cfRule type="cellIs" dxfId="2471" priority="3392" operator="lessThan">
      <formula>0</formula>
    </cfRule>
    <cfRule type="cellIs" dxfId="2470" priority="3393" operator="greaterThan">
      <formula>0</formula>
    </cfRule>
  </conditionalFormatting>
  <conditionalFormatting sqref="F362">
    <cfRule type="cellIs" dxfId="2469" priority="3390" operator="lessThan">
      <formula>0</formula>
    </cfRule>
    <cfRule type="cellIs" dxfId="2468" priority="3391" operator="greaterThan">
      <formula>0</formula>
    </cfRule>
  </conditionalFormatting>
  <conditionalFormatting sqref="U362">
    <cfRule type="iconSet" priority="3395">
      <iconSet iconSet="3Symbols" showValue="0" reverse="1">
        <cfvo type="percent" val="0"/>
        <cfvo type="num" val="1"/>
        <cfvo type="num" val="1.05"/>
      </iconSet>
    </cfRule>
  </conditionalFormatting>
  <conditionalFormatting sqref="P362">
    <cfRule type="iconSet" priority="3396">
      <iconSet iconSet="3Symbols" showValue="0" reverse="1">
        <cfvo type="percent" val="0"/>
        <cfvo type="num" val="1"/>
        <cfvo type="num" val="1.05"/>
      </iconSet>
    </cfRule>
  </conditionalFormatting>
  <conditionalFormatting sqref="Q361">
    <cfRule type="iconSet" priority="3387">
      <iconSet iconSet="3Symbols" showValue="0" reverse="1">
        <cfvo type="percent" val="0"/>
        <cfvo type="num" val="1"/>
        <cfvo type="num" val="1.05"/>
      </iconSet>
    </cfRule>
  </conditionalFormatting>
  <conditionalFormatting sqref="N361">
    <cfRule type="cellIs" dxfId="2467" priority="3385" operator="lessThan">
      <formula>0</formula>
    </cfRule>
    <cfRule type="cellIs" dxfId="2466" priority="3386" operator="greaterThan">
      <formula>0</formula>
    </cfRule>
  </conditionalFormatting>
  <conditionalFormatting sqref="F361">
    <cfRule type="cellIs" dxfId="2465" priority="3383" operator="lessThan">
      <formula>0</formula>
    </cfRule>
    <cfRule type="cellIs" dxfId="2464" priority="3384" operator="greaterThan">
      <formula>0</formula>
    </cfRule>
  </conditionalFormatting>
  <conditionalFormatting sqref="U361">
    <cfRule type="iconSet" priority="3388">
      <iconSet iconSet="3Symbols" showValue="0" reverse="1">
        <cfvo type="percent" val="0"/>
        <cfvo type="num" val="1"/>
        <cfvo type="num" val="1.05"/>
      </iconSet>
    </cfRule>
  </conditionalFormatting>
  <conditionalFormatting sqref="P361">
    <cfRule type="iconSet" priority="3389">
      <iconSet iconSet="3Symbols" showValue="0" reverse="1">
        <cfvo type="percent" val="0"/>
        <cfvo type="num" val="1"/>
        <cfvo type="num" val="1.05"/>
      </iconSet>
    </cfRule>
  </conditionalFormatting>
  <conditionalFormatting sqref="Q360">
    <cfRule type="iconSet" priority="3380">
      <iconSet iconSet="3Symbols" showValue="0" reverse="1">
        <cfvo type="percent" val="0"/>
        <cfvo type="num" val="1"/>
        <cfvo type="num" val="1.05"/>
      </iconSet>
    </cfRule>
  </conditionalFormatting>
  <conditionalFormatting sqref="N360">
    <cfRule type="cellIs" dxfId="2463" priority="3378" operator="lessThan">
      <formula>0</formula>
    </cfRule>
    <cfRule type="cellIs" dxfId="2462" priority="3379" operator="greaterThan">
      <formula>0</formula>
    </cfRule>
  </conditionalFormatting>
  <conditionalFormatting sqref="F360">
    <cfRule type="cellIs" dxfId="2461" priority="3376" operator="lessThan">
      <formula>0</formula>
    </cfRule>
    <cfRule type="cellIs" dxfId="2460" priority="3377" operator="greaterThan">
      <formula>0</formula>
    </cfRule>
  </conditionalFormatting>
  <conditionalFormatting sqref="U360">
    <cfRule type="iconSet" priority="3381">
      <iconSet iconSet="3Symbols" showValue="0" reverse="1">
        <cfvo type="percent" val="0"/>
        <cfvo type="num" val="1"/>
        <cfvo type="num" val="1.05"/>
      </iconSet>
    </cfRule>
  </conditionalFormatting>
  <conditionalFormatting sqref="P360">
    <cfRule type="iconSet" priority="3382">
      <iconSet iconSet="3Symbols" showValue="0" reverse="1">
        <cfvo type="percent" val="0"/>
        <cfvo type="num" val="1"/>
        <cfvo type="num" val="1.05"/>
      </iconSet>
    </cfRule>
  </conditionalFormatting>
  <conditionalFormatting sqref="Q359">
    <cfRule type="iconSet" priority="3373">
      <iconSet iconSet="3Symbols" showValue="0" reverse="1">
        <cfvo type="percent" val="0"/>
        <cfvo type="num" val="1"/>
        <cfvo type="num" val="1.05"/>
      </iconSet>
    </cfRule>
  </conditionalFormatting>
  <conditionalFormatting sqref="N359">
    <cfRule type="cellIs" dxfId="2459" priority="3371" operator="lessThan">
      <formula>0</formula>
    </cfRule>
    <cfRule type="cellIs" dxfId="2458" priority="3372" operator="greaterThan">
      <formula>0</formula>
    </cfRule>
  </conditionalFormatting>
  <conditionalFormatting sqref="F359">
    <cfRule type="cellIs" dxfId="2457" priority="3369" operator="lessThan">
      <formula>0</formula>
    </cfRule>
    <cfRule type="cellIs" dxfId="2456" priority="3370" operator="greaterThan">
      <formula>0</formula>
    </cfRule>
  </conditionalFormatting>
  <conditionalFormatting sqref="U359">
    <cfRule type="iconSet" priority="3374">
      <iconSet iconSet="3Symbols" showValue="0" reverse="1">
        <cfvo type="percent" val="0"/>
        <cfvo type="num" val="1"/>
        <cfvo type="num" val="1.05"/>
      </iconSet>
    </cfRule>
  </conditionalFormatting>
  <conditionalFormatting sqref="P359">
    <cfRule type="iconSet" priority="3375">
      <iconSet iconSet="3Symbols" showValue="0" reverse="1">
        <cfvo type="percent" val="0"/>
        <cfvo type="num" val="1"/>
        <cfvo type="num" val="1.05"/>
      </iconSet>
    </cfRule>
  </conditionalFormatting>
  <conditionalFormatting sqref="Q358">
    <cfRule type="iconSet" priority="3366">
      <iconSet iconSet="3Symbols" showValue="0" reverse="1">
        <cfvo type="percent" val="0"/>
        <cfvo type="num" val="1"/>
        <cfvo type="num" val="1.05"/>
      </iconSet>
    </cfRule>
  </conditionalFormatting>
  <conditionalFormatting sqref="N358">
    <cfRule type="cellIs" dxfId="2455" priority="3364" operator="lessThan">
      <formula>0</formula>
    </cfRule>
    <cfRule type="cellIs" dxfId="2454" priority="3365" operator="greaterThan">
      <formula>0</formula>
    </cfRule>
  </conditionalFormatting>
  <conditionalFormatting sqref="F358">
    <cfRule type="cellIs" dxfId="2453" priority="3362" operator="lessThan">
      <formula>0</formula>
    </cfRule>
    <cfRule type="cellIs" dxfId="2452" priority="3363" operator="greaterThan">
      <formula>0</formula>
    </cfRule>
  </conditionalFormatting>
  <conditionalFormatting sqref="U358">
    <cfRule type="iconSet" priority="3367">
      <iconSet iconSet="3Symbols" showValue="0" reverse="1">
        <cfvo type="percent" val="0"/>
        <cfvo type="num" val="1"/>
        <cfvo type="num" val="1.05"/>
      </iconSet>
    </cfRule>
  </conditionalFormatting>
  <conditionalFormatting sqref="P358">
    <cfRule type="iconSet" priority="3368">
      <iconSet iconSet="3Symbols" showValue="0" reverse="1">
        <cfvo type="percent" val="0"/>
        <cfvo type="num" val="1"/>
        <cfvo type="num" val="1.05"/>
      </iconSet>
    </cfRule>
  </conditionalFormatting>
  <conditionalFormatting sqref="Q356:Q357">
    <cfRule type="iconSet" priority="3359">
      <iconSet iconSet="3Symbols" showValue="0" reverse="1">
        <cfvo type="percent" val="0"/>
        <cfvo type="num" val="1"/>
        <cfvo type="num" val="1.05"/>
      </iconSet>
    </cfRule>
  </conditionalFormatting>
  <conditionalFormatting sqref="N356:N357">
    <cfRule type="cellIs" dxfId="2451" priority="3357" operator="lessThan">
      <formula>0</formula>
    </cfRule>
    <cfRule type="cellIs" dxfId="2450" priority="3358" operator="greaterThan">
      <formula>0</formula>
    </cfRule>
  </conditionalFormatting>
  <conditionalFormatting sqref="F356:F357">
    <cfRule type="cellIs" dxfId="2449" priority="3355" operator="lessThan">
      <formula>0</formula>
    </cfRule>
    <cfRule type="cellIs" dxfId="2448" priority="3356" operator="greaterThan">
      <formula>0</formula>
    </cfRule>
  </conditionalFormatting>
  <conditionalFormatting sqref="U356:U357">
    <cfRule type="iconSet" priority="3360">
      <iconSet iconSet="3Symbols" showValue="0" reverse="1">
        <cfvo type="percent" val="0"/>
        <cfvo type="num" val="1"/>
        <cfvo type="num" val="1.05"/>
      </iconSet>
    </cfRule>
  </conditionalFormatting>
  <conditionalFormatting sqref="P356:P357">
    <cfRule type="iconSet" priority="3361">
      <iconSet iconSet="3Symbols" showValue="0" reverse="1">
        <cfvo type="percent" val="0"/>
        <cfvo type="num" val="1"/>
        <cfvo type="num" val="1.05"/>
      </iconSet>
    </cfRule>
  </conditionalFormatting>
  <conditionalFormatting sqref="Q355">
    <cfRule type="iconSet" priority="3352">
      <iconSet iconSet="3Symbols" showValue="0" reverse="1">
        <cfvo type="percent" val="0"/>
        <cfvo type="num" val="1"/>
        <cfvo type="num" val="1.05"/>
      </iconSet>
    </cfRule>
  </conditionalFormatting>
  <conditionalFormatting sqref="N355">
    <cfRule type="cellIs" dxfId="2447" priority="3350" operator="lessThan">
      <formula>0</formula>
    </cfRule>
    <cfRule type="cellIs" dxfId="2446" priority="3351" operator="greaterThan">
      <formula>0</formula>
    </cfRule>
  </conditionalFormatting>
  <conditionalFormatting sqref="F355">
    <cfRule type="cellIs" dxfId="2445" priority="3348" operator="lessThan">
      <formula>0</formula>
    </cfRule>
    <cfRule type="cellIs" dxfId="2444" priority="3349" operator="greaterThan">
      <formula>0</formula>
    </cfRule>
  </conditionalFormatting>
  <conditionalFormatting sqref="U355">
    <cfRule type="iconSet" priority="3353">
      <iconSet iconSet="3Symbols" showValue="0" reverse="1">
        <cfvo type="percent" val="0"/>
        <cfvo type="num" val="1"/>
        <cfvo type="num" val="1.05"/>
      </iconSet>
    </cfRule>
  </conditionalFormatting>
  <conditionalFormatting sqref="P355">
    <cfRule type="iconSet" priority="3354">
      <iconSet iconSet="3Symbols" showValue="0" reverse="1">
        <cfvo type="percent" val="0"/>
        <cfvo type="num" val="1"/>
        <cfvo type="num" val="1.05"/>
      </iconSet>
    </cfRule>
  </conditionalFormatting>
  <conditionalFormatting sqref="Q354">
    <cfRule type="iconSet" priority="3345">
      <iconSet iconSet="3Symbols" showValue="0" reverse="1">
        <cfvo type="percent" val="0"/>
        <cfvo type="num" val="1"/>
        <cfvo type="num" val="1.05"/>
      </iconSet>
    </cfRule>
  </conditionalFormatting>
  <conditionalFormatting sqref="N354">
    <cfRule type="cellIs" dxfId="2443" priority="3343" operator="lessThan">
      <formula>0</formula>
    </cfRule>
    <cfRule type="cellIs" dxfId="2442" priority="3344" operator="greaterThan">
      <formula>0</formula>
    </cfRule>
  </conditionalFormatting>
  <conditionalFormatting sqref="F354">
    <cfRule type="cellIs" dxfId="2441" priority="3341" operator="lessThan">
      <formula>0</formula>
    </cfRule>
    <cfRule type="cellIs" dxfId="2440" priority="3342" operator="greaterThan">
      <formula>0</formula>
    </cfRule>
  </conditionalFormatting>
  <conditionalFormatting sqref="U354">
    <cfRule type="iconSet" priority="3346">
      <iconSet iconSet="3Symbols" showValue="0" reverse="1">
        <cfvo type="percent" val="0"/>
        <cfvo type="num" val="1"/>
        <cfvo type="num" val="1.05"/>
      </iconSet>
    </cfRule>
  </conditionalFormatting>
  <conditionalFormatting sqref="P354">
    <cfRule type="iconSet" priority="3347">
      <iconSet iconSet="3Symbols" showValue="0" reverse="1">
        <cfvo type="percent" val="0"/>
        <cfvo type="num" val="1"/>
        <cfvo type="num" val="1.05"/>
      </iconSet>
    </cfRule>
  </conditionalFormatting>
  <conditionalFormatting sqref="Q353">
    <cfRule type="iconSet" priority="3338">
      <iconSet iconSet="3Symbols" showValue="0" reverse="1">
        <cfvo type="percent" val="0"/>
        <cfvo type="num" val="1"/>
        <cfvo type="num" val="1.05"/>
      </iconSet>
    </cfRule>
  </conditionalFormatting>
  <conditionalFormatting sqref="N353">
    <cfRule type="cellIs" dxfId="2439" priority="3336" operator="lessThan">
      <formula>0</formula>
    </cfRule>
    <cfRule type="cellIs" dxfId="2438" priority="3337" operator="greaterThan">
      <formula>0</formula>
    </cfRule>
  </conditionalFormatting>
  <conditionalFormatting sqref="F353">
    <cfRule type="cellIs" dxfId="2437" priority="3334" operator="lessThan">
      <formula>0</formula>
    </cfRule>
    <cfRule type="cellIs" dxfId="2436" priority="3335" operator="greaterThan">
      <formula>0</formula>
    </cfRule>
  </conditionalFormatting>
  <conditionalFormatting sqref="U353">
    <cfRule type="iconSet" priority="3339">
      <iconSet iconSet="3Symbols" showValue="0" reverse="1">
        <cfvo type="percent" val="0"/>
        <cfvo type="num" val="1"/>
        <cfvo type="num" val="1.05"/>
      </iconSet>
    </cfRule>
  </conditionalFormatting>
  <conditionalFormatting sqref="P353">
    <cfRule type="iconSet" priority="3340">
      <iconSet iconSet="3Symbols" showValue="0" reverse="1">
        <cfvo type="percent" val="0"/>
        <cfvo type="num" val="1"/>
        <cfvo type="num" val="1.05"/>
      </iconSet>
    </cfRule>
  </conditionalFormatting>
  <conditionalFormatting sqref="Q352">
    <cfRule type="iconSet" priority="3331">
      <iconSet iconSet="3Symbols" showValue="0" reverse="1">
        <cfvo type="percent" val="0"/>
        <cfvo type="num" val="1"/>
        <cfvo type="num" val="1.05"/>
      </iconSet>
    </cfRule>
  </conditionalFormatting>
  <conditionalFormatting sqref="N352">
    <cfRule type="cellIs" dxfId="2435" priority="3329" operator="lessThan">
      <formula>0</formula>
    </cfRule>
    <cfRule type="cellIs" dxfId="2434" priority="3330" operator="greaterThan">
      <formula>0</formula>
    </cfRule>
  </conditionalFormatting>
  <conditionalFormatting sqref="F352">
    <cfRule type="cellIs" dxfId="2433" priority="3327" operator="lessThan">
      <formula>0</formula>
    </cfRule>
    <cfRule type="cellIs" dxfId="2432" priority="3328" operator="greaterThan">
      <formula>0</formula>
    </cfRule>
  </conditionalFormatting>
  <conditionalFormatting sqref="U352">
    <cfRule type="iconSet" priority="3332">
      <iconSet iconSet="3Symbols" showValue="0" reverse="1">
        <cfvo type="percent" val="0"/>
        <cfvo type="num" val="1"/>
        <cfvo type="num" val="1.05"/>
      </iconSet>
    </cfRule>
  </conditionalFormatting>
  <conditionalFormatting sqref="P352">
    <cfRule type="iconSet" priority="3333">
      <iconSet iconSet="3Symbols" showValue="0" reverse="1">
        <cfvo type="percent" val="0"/>
        <cfvo type="num" val="1"/>
        <cfvo type="num" val="1.05"/>
      </iconSet>
    </cfRule>
  </conditionalFormatting>
  <conditionalFormatting sqref="Q351">
    <cfRule type="iconSet" priority="3324">
      <iconSet iconSet="3Symbols" showValue="0" reverse="1">
        <cfvo type="percent" val="0"/>
        <cfvo type="num" val="1"/>
        <cfvo type="num" val="1.05"/>
      </iconSet>
    </cfRule>
  </conditionalFormatting>
  <conditionalFormatting sqref="N351">
    <cfRule type="cellIs" dxfId="2431" priority="3322" operator="lessThan">
      <formula>0</formula>
    </cfRule>
    <cfRule type="cellIs" dxfId="2430" priority="3323" operator="greaterThan">
      <formula>0</formula>
    </cfRule>
  </conditionalFormatting>
  <conditionalFormatting sqref="F351">
    <cfRule type="cellIs" dxfId="2429" priority="3320" operator="lessThan">
      <formula>0</formula>
    </cfRule>
    <cfRule type="cellIs" dxfId="2428" priority="3321" operator="greaterThan">
      <formula>0</formula>
    </cfRule>
  </conditionalFormatting>
  <conditionalFormatting sqref="U351">
    <cfRule type="iconSet" priority="3325">
      <iconSet iconSet="3Symbols" showValue="0" reverse="1">
        <cfvo type="percent" val="0"/>
        <cfvo type="num" val="1"/>
        <cfvo type="num" val="1.05"/>
      </iconSet>
    </cfRule>
  </conditionalFormatting>
  <conditionalFormatting sqref="P351">
    <cfRule type="iconSet" priority="3326">
      <iconSet iconSet="3Symbols" showValue="0" reverse="1">
        <cfvo type="percent" val="0"/>
        <cfvo type="num" val="1"/>
        <cfvo type="num" val="1.05"/>
      </iconSet>
    </cfRule>
  </conditionalFormatting>
  <conditionalFormatting sqref="Q350">
    <cfRule type="iconSet" priority="3317">
      <iconSet iconSet="3Symbols" showValue="0" reverse="1">
        <cfvo type="percent" val="0"/>
        <cfvo type="num" val="1"/>
        <cfvo type="num" val="1.05"/>
      </iconSet>
    </cfRule>
  </conditionalFormatting>
  <conditionalFormatting sqref="N350">
    <cfRule type="cellIs" dxfId="2427" priority="3315" operator="lessThan">
      <formula>0</formula>
    </cfRule>
    <cfRule type="cellIs" dxfId="2426" priority="3316" operator="greaterThan">
      <formula>0</formula>
    </cfRule>
  </conditionalFormatting>
  <conditionalFormatting sqref="F350">
    <cfRule type="cellIs" dxfId="2425" priority="3313" operator="lessThan">
      <formula>0</formula>
    </cfRule>
    <cfRule type="cellIs" dxfId="2424" priority="3314" operator="greaterThan">
      <formula>0</formula>
    </cfRule>
  </conditionalFormatting>
  <conditionalFormatting sqref="U350">
    <cfRule type="iconSet" priority="3318">
      <iconSet iconSet="3Symbols" showValue="0" reverse="1">
        <cfvo type="percent" val="0"/>
        <cfvo type="num" val="1"/>
        <cfvo type="num" val="1.05"/>
      </iconSet>
    </cfRule>
  </conditionalFormatting>
  <conditionalFormatting sqref="P350">
    <cfRule type="iconSet" priority="3319">
      <iconSet iconSet="3Symbols" showValue="0" reverse="1">
        <cfvo type="percent" val="0"/>
        <cfvo type="num" val="1"/>
        <cfvo type="num" val="1.05"/>
      </iconSet>
    </cfRule>
  </conditionalFormatting>
  <conditionalFormatting sqref="Q349">
    <cfRule type="iconSet" priority="3310">
      <iconSet iconSet="3Symbols" showValue="0" reverse="1">
        <cfvo type="percent" val="0"/>
        <cfvo type="num" val="1"/>
        <cfvo type="num" val="1.05"/>
      </iconSet>
    </cfRule>
  </conditionalFormatting>
  <conditionalFormatting sqref="N349">
    <cfRule type="cellIs" dxfId="2423" priority="3308" operator="lessThan">
      <formula>0</formula>
    </cfRule>
    <cfRule type="cellIs" dxfId="2422" priority="3309" operator="greaterThan">
      <formula>0</formula>
    </cfRule>
  </conditionalFormatting>
  <conditionalFormatting sqref="F349">
    <cfRule type="cellIs" dxfId="2421" priority="3306" operator="lessThan">
      <formula>0</formula>
    </cfRule>
    <cfRule type="cellIs" dxfId="2420" priority="3307" operator="greaterThan">
      <formula>0</formula>
    </cfRule>
  </conditionalFormatting>
  <conditionalFormatting sqref="U349">
    <cfRule type="iconSet" priority="3311">
      <iconSet iconSet="3Symbols" showValue="0" reverse="1">
        <cfvo type="percent" val="0"/>
        <cfvo type="num" val="1"/>
        <cfvo type="num" val="1.05"/>
      </iconSet>
    </cfRule>
  </conditionalFormatting>
  <conditionalFormatting sqref="P349">
    <cfRule type="iconSet" priority="3312">
      <iconSet iconSet="3Symbols" showValue="0" reverse="1">
        <cfvo type="percent" val="0"/>
        <cfvo type="num" val="1"/>
        <cfvo type="num" val="1.05"/>
      </iconSet>
    </cfRule>
  </conditionalFormatting>
  <conditionalFormatting sqref="Q347:Q348">
    <cfRule type="iconSet" priority="3303">
      <iconSet iconSet="3Symbols" showValue="0" reverse="1">
        <cfvo type="percent" val="0"/>
        <cfvo type="num" val="1"/>
        <cfvo type="num" val="1.05"/>
      </iconSet>
    </cfRule>
  </conditionalFormatting>
  <conditionalFormatting sqref="N347:N348">
    <cfRule type="cellIs" dxfId="2419" priority="3301" operator="lessThan">
      <formula>0</formula>
    </cfRule>
    <cfRule type="cellIs" dxfId="2418" priority="3302" operator="greaterThan">
      <formula>0</formula>
    </cfRule>
  </conditionalFormatting>
  <conditionalFormatting sqref="F347:F348">
    <cfRule type="cellIs" dxfId="2417" priority="3299" operator="lessThan">
      <formula>0</formula>
    </cfRule>
    <cfRule type="cellIs" dxfId="2416" priority="3300" operator="greaterThan">
      <formula>0</formula>
    </cfRule>
  </conditionalFormatting>
  <conditionalFormatting sqref="U347:U348">
    <cfRule type="iconSet" priority="3304">
      <iconSet iconSet="3Symbols" showValue="0" reverse="1">
        <cfvo type="percent" val="0"/>
        <cfvo type="num" val="1"/>
        <cfvo type="num" val="1.05"/>
      </iconSet>
    </cfRule>
  </conditionalFormatting>
  <conditionalFormatting sqref="P347:P348">
    <cfRule type="iconSet" priority="3305">
      <iconSet iconSet="3Symbols" showValue="0" reverse="1">
        <cfvo type="percent" val="0"/>
        <cfvo type="num" val="1"/>
        <cfvo type="num" val="1.05"/>
      </iconSet>
    </cfRule>
  </conditionalFormatting>
  <conditionalFormatting sqref="Q346">
    <cfRule type="iconSet" priority="3296">
      <iconSet iconSet="3Symbols" showValue="0" reverse="1">
        <cfvo type="percent" val="0"/>
        <cfvo type="num" val="1"/>
        <cfvo type="num" val="1.05"/>
      </iconSet>
    </cfRule>
  </conditionalFormatting>
  <conditionalFormatting sqref="N346">
    <cfRule type="cellIs" dxfId="2415" priority="3294" operator="lessThan">
      <formula>0</formula>
    </cfRule>
    <cfRule type="cellIs" dxfId="2414" priority="3295" operator="greaterThan">
      <formula>0</formula>
    </cfRule>
  </conditionalFormatting>
  <conditionalFormatting sqref="F346">
    <cfRule type="cellIs" dxfId="2413" priority="3292" operator="lessThan">
      <formula>0</formula>
    </cfRule>
    <cfRule type="cellIs" dxfId="2412" priority="3293" operator="greaterThan">
      <formula>0</formula>
    </cfRule>
  </conditionalFormatting>
  <conditionalFormatting sqref="U346">
    <cfRule type="iconSet" priority="3297">
      <iconSet iconSet="3Symbols" showValue="0" reverse="1">
        <cfvo type="percent" val="0"/>
        <cfvo type="num" val="1"/>
        <cfvo type="num" val="1.05"/>
      </iconSet>
    </cfRule>
  </conditionalFormatting>
  <conditionalFormatting sqref="P346">
    <cfRule type="iconSet" priority="3298">
      <iconSet iconSet="3Symbols" showValue="0" reverse="1">
        <cfvo type="percent" val="0"/>
        <cfvo type="num" val="1"/>
        <cfvo type="num" val="1.05"/>
      </iconSet>
    </cfRule>
  </conditionalFormatting>
  <conditionalFormatting sqref="Q345">
    <cfRule type="iconSet" priority="3289">
      <iconSet iconSet="3Symbols" showValue="0" reverse="1">
        <cfvo type="percent" val="0"/>
        <cfvo type="num" val="1"/>
        <cfvo type="num" val="1.05"/>
      </iconSet>
    </cfRule>
  </conditionalFormatting>
  <conditionalFormatting sqref="N345">
    <cfRule type="cellIs" dxfId="2411" priority="3287" operator="lessThan">
      <formula>0</formula>
    </cfRule>
    <cfRule type="cellIs" dxfId="2410" priority="3288" operator="greaterThan">
      <formula>0</formula>
    </cfRule>
  </conditionalFormatting>
  <conditionalFormatting sqref="F345">
    <cfRule type="cellIs" dxfId="2409" priority="3285" operator="lessThan">
      <formula>0</formula>
    </cfRule>
    <cfRule type="cellIs" dxfId="2408" priority="3286" operator="greaterThan">
      <formula>0</formula>
    </cfRule>
  </conditionalFormatting>
  <conditionalFormatting sqref="U345">
    <cfRule type="iconSet" priority="3290">
      <iconSet iconSet="3Symbols" showValue="0" reverse="1">
        <cfvo type="percent" val="0"/>
        <cfvo type="num" val="1"/>
        <cfvo type="num" val="1.05"/>
      </iconSet>
    </cfRule>
  </conditionalFormatting>
  <conditionalFormatting sqref="P345">
    <cfRule type="iconSet" priority="3291">
      <iconSet iconSet="3Symbols" showValue="0" reverse="1">
        <cfvo type="percent" val="0"/>
        <cfvo type="num" val="1"/>
        <cfvo type="num" val="1.05"/>
      </iconSet>
    </cfRule>
  </conditionalFormatting>
  <conditionalFormatting sqref="Q344">
    <cfRule type="iconSet" priority="3282">
      <iconSet iconSet="3Symbols" showValue="0" reverse="1">
        <cfvo type="percent" val="0"/>
        <cfvo type="num" val="1"/>
        <cfvo type="num" val="1.05"/>
      </iconSet>
    </cfRule>
  </conditionalFormatting>
  <conditionalFormatting sqref="N344">
    <cfRule type="cellIs" dxfId="2407" priority="3280" operator="lessThan">
      <formula>0</formula>
    </cfRule>
    <cfRule type="cellIs" dxfId="2406" priority="3281" operator="greaterThan">
      <formula>0</formula>
    </cfRule>
  </conditionalFormatting>
  <conditionalFormatting sqref="F344">
    <cfRule type="cellIs" dxfId="2405" priority="3278" operator="lessThan">
      <formula>0</formula>
    </cfRule>
    <cfRule type="cellIs" dxfId="2404" priority="3279" operator="greaterThan">
      <formula>0</formula>
    </cfRule>
  </conditionalFormatting>
  <conditionalFormatting sqref="U344">
    <cfRule type="iconSet" priority="3283">
      <iconSet iconSet="3Symbols" showValue="0" reverse="1">
        <cfvo type="percent" val="0"/>
        <cfvo type="num" val="1"/>
        <cfvo type="num" val="1.05"/>
      </iconSet>
    </cfRule>
  </conditionalFormatting>
  <conditionalFormatting sqref="P344">
    <cfRule type="iconSet" priority="3284">
      <iconSet iconSet="3Symbols" showValue="0" reverse="1">
        <cfvo type="percent" val="0"/>
        <cfvo type="num" val="1"/>
        <cfvo type="num" val="1.05"/>
      </iconSet>
    </cfRule>
  </conditionalFormatting>
  <conditionalFormatting sqref="Q343">
    <cfRule type="iconSet" priority="3275">
      <iconSet iconSet="3Symbols" showValue="0" reverse="1">
        <cfvo type="percent" val="0"/>
        <cfvo type="num" val="1"/>
        <cfvo type="num" val="1.05"/>
      </iconSet>
    </cfRule>
  </conditionalFormatting>
  <conditionalFormatting sqref="N343">
    <cfRule type="cellIs" dxfId="2403" priority="3273" operator="lessThan">
      <formula>0</formula>
    </cfRule>
    <cfRule type="cellIs" dxfId="2402" priority="3274" operator="greaterThan">
      <formula>0</formula>
    </cfRule>
  </conditionalFormatting>
  <conditionalFormatting sqref="F343">
    <cfRule type="cellIs" dxfId="2401" priority="3271" operator="lessThan">
      <formula>0</formula>
    </cfRule>
    <cfRule type="cellIs" dxfId="2400" priority="3272" operator="greaterThan">
      <formula>0</formula>
    </cfRule>
  </conditionalFormatting>
  <conditionalFormatting sqref="U343">
    <cfRule type="iconSet" priority="3276">
      <iconSet iconSet="3Symbols" showValue="0" reverse="1">
        <cfvo type="percent" val="0"/>
        <cfvo type="num" val="1"/>
        <cfvo type="num" val="1.05"/>
      </iconSet>
    </cfRule>
  </conditionalFormatting>
  <conditionalFormatting sqref="P343">
    <cfRule type="iconSet" priority="3277">
      <iconSet iconSet="3Symbols" showValue="0" reverse="1">
        <cfvo type="percent" val="0"/>
        <cfvo type="num" val="1"/>
        <cfvo type="num" val="1.05"/>
      </iconSet>
    </cfRule>
  </conditionalFormatting>
  <conditionalFormatting sqref="Q342">
    <cfRule type="iconSet" priority="3268">
      <iconSet iconSet="3Symbols" showValue="0" reverse="1">
        <cfvo type="percent" val="0"/>
        <cfvo type="num" val="1"/>
        <cfvo type="num" val="1.05"/>
      </iconSet>
    </cfRule>
  </conditionalFormatting>
  <conditionalFormatting sqref="N342">
    <cfRule type="cellIs" dxfId="2399" priority="3266" operator="lessThan">
      <formula>0</formula>
    </cfRule>
    <cfRule type="cellIs" dxfId="2398" priority="3267" operator="greaterThan">
      <formula>0</formula>
    </cfRule>
  </conditionalFormatting>
  <conditionalFormatting sqref="F342">
    <cfRule type="cellIs" dxfId="2397" priority="3264" operator="lessThan">
      <formula>0</formula>
    </cfRule>
    <cfRule type="cellIs" dxfId="2396" priority="3265" operator="greaterThan">
      <formula>0</formula>
    </cfRule>
  </conditionalFormatting>
  <conditionalFormatting sqref="U342">
    <cfRule type="iconSet" priority="3269">
      <iconSet iconSet="3Symbols" showValue="0" reverse="1">
        <cfvo type="percent" val="0"/>
        <cfvo type="num" val="1"/>
        <cfvo type="num" val="1.05"/>
      </iconSet>
    </cfRule>
  </conditionalFormatting>
  <conditionalFormatting sqref="P342">
    <cfRule type="iconSet" priority="3270">
      <iconSet iconSet="3Symbols" showValue="0" reverse="1">
        <cfvo type="percent" val="0"/>
        <cfvo type="num" val="1"/>
        <cfvo type="num" val="1.05"/>
      </iconSet>
    </cfRule>
  </conditionalFormatting>
  <conditionalFormatting sqref="Q341">
    <cfRule type="iconSet" priority="3261">
      <iconSet iconSet="3Symbols" showValue="0" reverse="1">
        <cfvo type="percent" val="0"/>
        <cfvo type="num" val="1"/>
        <cfvo type="num" val="1.05"/>
      </iconSet>
    </cfRule>
  </conditionalFormatting>
  <conditionalFormatting sqref="N341">
    <cfRule type="cellIs" dxfId="2395" priority="3259" operator="lessThan">
      <formula>0</formula>
    </cfRule>
    <cfRule type="cellIs" dxfId="2394" priority="3260" operator="greaterThan">
      <formula>0</formula>
    </cfRule>
  </conditionalFormatting>
  <conditionalFormatting sqref="F341">
    <cfRule type="cellIs" dxfId="2393" priority="3257" operator="lessThan">
      <formula>0</formula>
    </cfRule>
    <cfRule type="cellIs" dxfId="2392" priority="3258" operator="greaterThan">
      <formula>0</formula>
    </cfRule>
  </conditionalFormatting>
  <conditionalFormatting sqref="U341">
    <cfRule type="iconSet" priority="3262">
      <iconSet iconSet="3Symbols" showValue="0" reverse="1">
        <cfvo type="percent" val="0"/>
        <cfvo type="num" val="1"/>
        <cfvo type="num" val="1.05"/>
      </iconSet>
    </cfRule>
  </conditionalFormatting>
  <conditionalFormatting sqref="P341">
    <cfRule type="iconSet" priority="3263">
      <iconSet iconSet="3Symbols" showValue="0" reverse="1">
        <cfvo type="percent" val="0"/>
        <cfvo type="num" val="1"/>
        <cfvo type="num" val="1.05"/>
      </iconSet>
    </cfRule>
  </conditionalFormatting>
  <conditionalFormatting sqref="Q340">
    <cfRule type="iconSet" priority="3254">
      <iconSet iconSet="3Symbols" showValue="0" reverse="1">
        <cfvo type="percent" val="0"/>
        <cfvo type="num" val="1"/>
        <cfvo type="num" val="1.05"/>
      </iconSet>
    </cfRule>
  </conditionalFormatting>
  <conditionalFormatting sqref="N340">
    <cfRule type="cellIs" dxfId="2391" priority="3252" operator="lessThan">
      <formula>0</formula>
    </cfRule>
    <cfRule type="cellIs" dxfId="2390" priority="3253" operator="greaterThan">
      <formula>0</formula>
    </cfRule>
  </conditionalFormatting>
  <conditionalFormatting sqref="F340">
    <cfRule type="cellIs" dxfId="2389" priority="3250" operator="lessThan">
      <formula>0</formula>
    </cfRule>
    <cfRule type="cellIs" dxfId="2388" priority="3251" operator="greaterThan">
      <formula>0</formula>
    </cfRule>
  </conditionalFormatting>
  <conditionalFormatting sqref="U340">
    <cfRule type="iconSet" priority="3255">
      <iconSet iconSet="3Symbols" showValue="0" reverse="1">
        <cfvo type="percent" val="0"/>
        <cfvo type="num" val="1"/>
        <cfvo type="num" val="1.05"/>
      </iconSet>
    </cfRule>
  </conditionalFormatting>
  <conditionalFormatting sqref="P340">
    <cfRule type="iconSet" priority="3256">
      <iconSet iconSet="3Symbols" showValue="0" reverse="1">
        <cfvo type="percent" val="0"/>
        <cfvo type="num" val="1"/>
        <cfvo type="num" val="1.05"/>
      </iconSet>
    </cfRule>
  </conditionalFormatting>
  <conditionalFormatting sqref="Q338:Q339">
    <cfRule type="iconSet" priority="3247">
      <iconSet iconSet="3Symbols" showValue="0" reverse="1">
        <cfvo type="percent" val="0"/>
        <cfvo type="num" val="1"/>
        <cfvo type="num" val="1.05"/>
      </iconSet>
    </cfRule>
  </conditionalFormatting>
  <conditionalFormatting sqref="N338:N339">
    <cfRule type="cellIs" dxfId="2387" priority="3245" operator="lessThan">
      <formula>0</formula>
    </cfRule>
    <cfRule type="cellIs" dxfId="2386" priority="3246" operator="greaterThan">
      <formula>0</formula>
    </cfRule>
  </conditionalFormatting>
  <conditionalFormatting sqref="F338:F339">
    <cfRule type="cellIs" dxfId="2385" priority="3243" operator="lessThan">
      <formula>0</formula>
    </cfRule>
    <cfRule type="cellIs" dxfId="2384" priority="3244" operator="greaterThan">
      <formula>0</formula>
    </cfRule>
  </conditionalFormatting>
  <conditionalFormatting sqref="U338:U339">
    <cfRule type="iconSet" priority="3248">
      <iconSet iconSet="3Symbols" showValue="0" reverse="1">
        <cfvo type="percent" val="0"/>
        <cfvo type="num" val="1"/>
        <cfvo type="num" val="1.05"/>
      </iconSet>
    </cfRule>
  </conditionalFormatting>
  <conditionalFormatting sqref="P338:P339">
    <cfRule type="iconSet" priority="3249">
      <iconSet iconSet="3Symbols" showValue="0" reverse="1">
        <cfvo type="percent" val="0"/>
        <cfvo type="num" val="1"/>
        <cfvo type="num" val="1.05"/>
      </iconSet>
    </cfRule>
  </conditionalFormatting>
  <conditionalFormatting sqref="Q337">
    <cfRule type="iconSet" priority="3240">
      <iconSet iconSet="3Symbols" showValue="0" reverse="1">
        <cfvo type="percent" val="0"/>
        <cfvo type="num" val="1"/>
        <cfvo type="num" val="1.05"/>
      </iconSet>
    </cfRule>
  </conditionalFormatting>
  <conditionalFormatting sqref="N337">
    <cfRule type="cellIs" dxfId="2383" priority="3238" operator="lessThan">
      <formula>0</formula>
    </cfRule>
    <cfRule type="cellIs" dxfId="2382" priority="3239" operator="greaterThan">
      <formula>0</formula>
    </cfRule>
  </conditionalFormatting>
  <conditionalFormatting sqref="F337">
    <cfRule type="cellIs" dxfId="2381" priority="3236" operator="lessThan">
      <formula>0</formula>
    </cfRule>
    <cfRule type="cellIs" dxfId="2380" priority="3237" operator="greaterThan">
      <formula>0</formula>
    </cfRule>
  </conditionalFormatting>
  <conditionalFormatting sqref="U337">
    <cfRule type="iconSet" priority="3241">
      <iconSet iconSet="3Symbols" showValue="0" reverse="1">
        <cfvo type="percent" val="0"/>
        <cfvo type="num" val="1"/>
        <cfvo type="num" val="1.05"/>
      </iconSet>
    </cfRule>
  </conditionalFormatting>
  <conditionalFormatting sqref="P337">
    <cfRule type="iconSet" priority="3242">
      <iconSet iconSet="3Symbols" showValue="0" reverse="1">
        <cfvo type="percent" val="0"/>
        <cfvo type="num" val="1"/>
        <cfvo type="num" val="1.05"/>
      </iconSet>
    </cfRule>
  </conditionalFormatting>
  <conditionalFormatting sqref="Q336">
    <cfRule type="iconSet" priority="3233">
      <iconSet iconSet="3Symbols" showValue="0" reverse="1">
        <cfvo type="percent" val="0"/>
        <cfvo type="num" val="1"/>
        <cfvo type="num" val="1.05"/>
      </iconSet>
    </cfRule>
  </conditionalFormatting>
  <conditionalFormatting sqref="N336">
    <cfRule type="cellIs" dxfId="2379" priority="3231" operator="lessThan">
      <formula>0</formula>
    </cfRule>
    <cfRule type="cellIs" dxfId="2378" priority="3232" operator="greaterThan">
      <formula>0</formula>
    </cfRule>
  </conditionalFormatting>
  <conditionalFormatting sqref="F336">
    <cfRule type="cellIs" dxfId="2377" priority="3229" operator="lessThan">
      <formula>0</formula>
    </cfRule>
    <cfRule type="cellIs" dxfId="2376" priority="3230" operator="greaterThan">
      <formula>0</formula>
    </cfRule>
  </conditionalFormatting>
  <conditionalFormatting sqref="U336">
    <cfRule type="iconSet" priority="3234">
      <iconSet iconSet="3Symbols" showValue="0" reverse="1">
        <cfvo type="percent" val="0"/>
        <cfvo type="num" val="1"/>
        <cfvo type="num" val="1.05"/>
      </iconSet>
    </cfRule>
  </conditionalFormatting>
  <conditionalFormatting sqref="P336">
    <cfRule type="iconSet" priority="3235">
      <iconSet iconSet="3Symbols" showValue="0" reverse="1">
        <cfvo type="percent" val="0"/>
        <cfvo type="num" val="1"/>
        <cfvo type="num" val="1.05"/>
      </iconSet>
    </cfRule>
  </conditionalFormatting>
  <conditionalFormatting sqref="Q335">
    <cfRule type="iconSet" priority="3226">
      <iconSet iconSet="3Symbols" showValue="0" reverse="1">
        <cfvo type="percent" val="0"/>
        <cfvo type="num" val="1"/>
        <cfvo type="num" val="1.05"/>
      </iconSet>
    </cfRule>
  </conditionalFormatting>
  <conditionalFormatting sqref="N335">
    <cfRule type="cellIs" dxfId="2375" priority="3224" operator="lessThan">
      <formula>0</formula>
    </cfRule>
    <cfRule type="cellIs" dxfId="2374" priority="3225" operator="greaterThan">
      <formula>0</formula>
    </cfRule>
  </conditionalFormatting>
  <conditionalFormatting sqref="F335">
    <cfRule type="cellIs" dxfId="2373" priority="3222" operator="lessThan">
      <formula>0</formula>
    </cfRule>
    <cfRule type="cellIs" dxfId="2372" priority="3223" operator="greaterThan">
      <formula>0</formula>
    </cfRule>
  </conditionalFormatting>
  <conditionalFormatting sqref="U335">
    <cfRule type="iconSet" priority="3227">
      <iconSet iconSet="3Symbols" showValue="0" reverse="1">
        <cfvo type="percent" val="0"/>
        <cfvo type="num" val="1"/>
        <cfvo type="num" val="1.05"/>
      </iconSet>
    </cfRule>
  </conditionalFormatting>
  <conditionalFormatting sqref="P335">
    <cfRule type="iconSet" priority="3228">
      <iconSet iconSet="3Symbols" showValue="0" reverse="1">
        <cfvo type="percent" val="0"/>
        <cfvo type="num" val="1"/>
        <cfvo type="num" val="1.05"/>
      </iconSet>
    </cfRule>
  </conditionalFormatting>
  <conditionalFormatting sqref="Q334">
    <cfRule type="iconSet" priority="3219">
      <iconSet iconSet="3Symbols" showValue="0" reverse="1">
        <cfvo type="percent" val="0"/>
        <cfvo type="num" val="1"/>
        <cfvo type="num" val="1.05"/>
      </iconSet>
    </cfRule>
  </conditionalFormatting>
  <conditionalFormatting sqref="N334">
    <cfRule type="cellIs" dxfId="2371" priority="3217" operator="lessThan">
      <formula>0</formula>
    </cfRule>
    <cfRule type="cellIs" dxfId="2370" priority="3218" operator="greaterThan">
      <formula>0</formula>
    </cfRule>
  </conditionalFormatting>
  <conditionalFormatting sqref="F334">
    <cfRule type="cellIs" dxfId="2369" priority="3215" operator="lessThan">
      <formula>0</formula>
    </cfRule>
    <cfRule type="cellIs" dxfId="2368" priority="3216" operator="greaterThan">
      <formula>0</formula>
    </cfRule>
  </conditionalFormatting>
  <conditionalFormatting sqref="U334">
    <cfRule type="iconSet" priority="3220">
      <iconSet iconSet="3Symbols" showValue="0" reverse="1">
        <cfvo type="percent" val="0"/>
        <cfvo type="num" val="1"/>
        <cfvo type="num" val="1.05"/>
      </iconSet>
    </cfRule>
  </conditionalFormatting>
  <conditionalFormatting sqref="P334">
    <cfRule type="iconSet" priority="3221">
      <iconSet iconSet="3Symbols" showValue="0" reverse="1">
        <cfvo type="percent" val="0"/>
        <cfvo type="num" val="1"/>
        <cfvo type="num" val="1.05"/>
      </iconSet>
    </cfRule>
  </conditionalFormatting>
  <conditionalFormatting sqref="Q333">
    <cfRule type="iconSet" priority="3212">
      <iconSet iconSet="3Symbols" showValue="0" reverse="1">
        <cfvo type="percent" val="0"/>
        <cfvo type="num" val="1"/>
        <cfvo type="num" val="1.05"/>
      </iconSet>
    </cfRule>
  </conditionalFormatting>
  <conditionalFormatting sqref="N333">
    <cfRule type="cellIs" dxfId="2367" priority="3210" operator="lessThan">
      <formula>0</formula>
    </cfRule>
    <cfRule type="cellIs" dxfId="2366" priority="3211" operator="greaterThan">
      <formula>0</formula>
    </cfRule>
  </conditionalFormatting>
  <conditionalFormatting sqref="F333">
    <cfRule type="cellIs" dxfId="2365" priority="3208" operator="lessThan">
      <formula>0</formula>
    </cfRule>
    <cfRule type="cellIs" dxfId="2364" priority="3209" operator="greaterThan">
      <formula>0</formula>
    </cfRule>
  </conditionalFormatting>
  <conditionalFormatting sqref="U333">
    <cfRule type="iconSet" priority="3213">
      <iconSet iconSet="3Symbols" showValue="0" reverse="1">
        <cfvo type="percent" val="0"/>
        <cfvo type="num" val="1"/>
        <cfvo type="num" val="1.05"/>
      </iconSet>
    </cfRule>
  </conditionalFormatting>
  <conditionalFormatting sqref="P333">
    <cfRule type="iconSet" priority="3214">
      <iconSet iconSet="3Symbols" showValue="0" reverse="1">
        <cfvo type="percent" val="0"/>
        <cfvo type="num" val="1"/>
        <cfvo type="num" val="1.05"/>
      </iconSet>
    </cfRule>
  </conditionalFormatting>
  <conditionalFormatting sqref="Q332">
    <cfRule type="iconSet" priority="3205">
      <iconSet iconSet="3Symbols" showValue="0" reverse="1">
        <cfvo type="percent" val="0"/>
        <cfvo type="num" val="1"/>
        <cfvo type="num" val="1.05"/>
      </iconSet>
    </cfRule>
  </conditionalFormatting>
  <conditionalFormatting sqref="N332">
    <cfRule type="cellIs" dxfId="2363" priority="3203" operator="lessThan">
      <formula>0</formula>
    </cfRule>
    <cfRule type="cellIs" dxfId="2362" priority="3204" operator="greaterThan">
      <formula>0</formula>
    </cfRule>
  </conditionalFormatting>
  <conditionalFormatting sqref="F332">
    <cfRule type="cellIs" dxfId="2361" priority="3201" operator="lessThan">
      <formula>0</formula>
    </cfRule>
    <cfRule type="cellIs" dxfId="2360" priority="3202" operator="greaterThan">
      <formula>0</formula>
    </cfRule>
  </conditionalFormatting>
  <conditionalFormatting sqref="U332">
    <cfRule type="iconSet" priority="3206">
      <iconSet iconSet="3Symbols" showValue="0" reverse="1">
        <cfvo type="percent" val="0"/>
        <cfvo type="num" val="1"/>
        <cfvo type="num" val="1.05"/>
      </iconSet>
    </cfRule>
  </conditionalFormatting>
  <conditionalFormatting sqref="P332">
    <cfRule type="iconSet" priority="3207">
      <iconSet iconSet="3Symbols" showValue="0" reverse="1">
        <cfvo type="percent" val="0"/>
        <cfvo type="num" val="1"/>
        <cfvo type="num" val="1.05"/>
      </iconSet>
    </cfRule>
  </conditionalFormatting>
  <conditionalFormatting sqref="Q331">
    <cfRule type="iconSet" priority="3198">
      <iconSet iconSet="3Symbols" showValue="0" reverse="1">
        <cfvo type="percent" val="0"/>
        <cfvo type="num" val="1"/>
        <cfvo type="num" val="1.05"/>
      </iconSet>
    </cfRule>
  </conditionalFormatting>
  <conditionalFormatting sqref="N331">
    <cfRule type="cellIs" dxfId="2359" priority="3196" operator="lessThan">
      <formula>0</formula>
    </cfRule>
    <cfRule type="cellIs" dxfId="2358" priority="3197" operator="greaterThan">
      <formula>0</formula>
    </cfRule>
  </conditionalFormatting>
  <conditionalFormatting sqref="F331">
    <cfRule type="cellIs" dxfId="2357" priority="3194" operator="lessThan">
      <formula>0</formula>
    </cfRule>
    <cfRule type="cellIs" dxfId="2356" priority="3195" operator="greaterThan">
      <formula>0</formula>
    </cfRule>
  </conditionalFormatting>
  <conditionalFormatting sqref="U331">
    <cfRule type="iconSet" priority="3199">
      <iconSet iconSet="3Symbols" showValue="0" reverse="1">
        <cfvo type="percent" val="0"/>
        <cfvo type="num" val="1"/>
        <cfvo type="num" val="1.05"/>
      </iconSet>
    </cfRule>
  </conditionalFormatting>
  <conditionalFormatting sqref="P331">
    <cfRule type="iconSet" priority="3200">
      <iconSet iconSet="3Symbols" showValue="0" reverse="1">
        <cfvo type="percent" val="0"/>
        <cfvo type="num" val="1"/>
        <cfvo type="num" val="1.05"/>
      </iconSet>
    </cfRule>
  </conditionalFormatting>
  <conditionalFormatting sqref="Q329:Q330">
    <cfRule type="iconSet" priority="3191">
      <iconSet iconSet="3Symbols" showValue="0" reverse="1">
        <cfvo type="percent" val="0"/>
        <cfvo type="num" val="1"/>
        <cfvo type="num" val="1.05"/>
      </iconSet>
    </cfRule>
  </conditionalFormatting>
  <conditionalFormatting sqref="N329:N330">
    <cfRule type="cellIs" dxfId="2355" priority="3189" operator="lessThan">
      <formula>0</formula>
    </cfRule>
    <cfRule type="cellIs" dxfId="2354" priority="3190" operator="greaterThan">
      <formula>0</formula>
    </cfRule>
  </conditionalFormatting>
  <conditionalFormatting sqref="F329:F330">
    <cfRule type="cellIs" dxfId="2353" priority="3187" operator="lessThan">
      <formula>0</formula>
    </cfRule>
    <cfRule type="cellIs" dxfId="2352" priority="3188" operator="greaterThan">
      <formula>0</formula>
    </cfRule>
  </conditionalFormatting>
  <conditionalFormatting sqref="U329:U330">
    <cfRule type="iconSet" priority="3192">
      <iconSet iconSet="3Symbols" showValue="0" reverse="1">
        <cfvo type="percent" val="0"/>
        <cfvo type="num" val="1"/>
        <cfvo type="num" val="1.05"/>
      </iconSet>
    </cfRule>
  </conditionalFormatting>
  <conditionalFormatting sqref="P329:P330">
    <cfRule type="iconSet" priority="3193">
      <iconSet iconSet="3Symbols" showValue="0" reverse="1">
        <cfvo type="percent" val="0"/>
        <cfvo type="num" val="1"/>
        <cfvo type="num" val="1.05"/>
      </iconSet>
    </cfRule>
  </conditionalFormatting>
  <conditionalFormatting sqref="Q328">
    <cfRule type="iconSet" priority="3184">
      <iconSet iconSet="3Symbols" showValue="0" reverse="1">
        <cfvo type="percent" val="0"/>
        <cfvo type="num" val="1"/>
        <cfvo type="num" val="1.05"/>
      </iconSet>
    </cfRule>
  </conditionalFormatting>
  <conditionalFormatting sqref="N328">
    <cfRule type="cellIs" dxfId="2351" priority="3182" operator="lessThan">
      <formula>0</formula>
    </cfRule>
    <cfRule type="cellIs" dxfId="2350" priority="3183" operator="greaterThan">
      <formula>0</formula>
    </cfRule>
  </conditionalFormatting>
  <conditionalFormatting sqref="F328">
    <cfRule type="cellIs" dxfId="2349" priority="3180" operator="lessThan">
      <formula>0</formula>
    </cfRule>
    <cfRule type="cellIs" dxfId="2348" priority="3181" operator="greaterThan">
      <formula>0</formula>
    </cfRule>
  </conditionalFormatting>
  <conditionalFormatting sqref="U328">
    <cfRule type="iconSet" priority="3185">
      <iconSet iconSet="3Symbols" showValue="0" reverse="1">
        <cfvo type="percent" val="0"/>
        <cfvo type="num" val="1"/>
        <cfvo type="num" val="1.05"/>
      </iconSet>
    </cfRule>
  </conditionalFormatting>
  <conditionalFormatting sqref="P328">
    <cfRule type="iconSet" priority="3186">
      <iconSet iconSet="3Symbols" showValue="0" reverse="1">
        <cfvo type="percent" val="0"/>
        <cfvo type="num" val="1"/>
        <cfvo type="num" val="1.05"/>
      </iconSet>
    </cfRule>
  </conditionalFormatting>
  <conditionalFormatting sqref="Q327">
    <cfRule type="iconSet" priority="3177">
      <iconSet iconSet="3Symbols" showValue="0" reverse="1">
        <cfvo type="percent" val="0"/>
        <cfvo type="num" val="1"/>
        <cfvo type="num" val="1.05"/>
      </iconSet>
    </cfRule>
  </conditionalFormatting>
  <conditionalFormatting sqref="N327">
    <cfRule type="cellIs" dxfId="2347" priority="3175" operator="lessThan">
      <formula>0</formula>
    </cfRule>
    <cfRule type="cellIs" dxfId="2346" priority="3176" operator="greaterThan">
      <formula>0</formula>
    </cfRule>
  </conditionalFormatting>
  <conditionalFormatting sqref="F327">
    <cfRule type="cellIs" dxfId="2345" priority="3173" operator="lessThan">
      <formula>0</formula>
    </cfRule>
    <cfRule type="cellIs" dxfId="2344" priority="3174" operator="greaterThan">
      <formula>0</formula>
    </cfRule>
  </conditionalFormatting>
  <conditionalFormatting sqref="U327">
    <cfRule type="iconSet" priority="3178">
      <iconSet iconSet="3Symbols" showValue="0" reverse="1">
        <cfvo type="percent" val="0"/>
        <cfvo type="num" val="1"/>
        <cfvo type="num" val="1.05"/>
      </iconSet>
    </cfRule>
  </conditionalFormatting>
  <conditionalFormatting sqref="P327">
    <cfRule type="iconSet" priority="3179">
      <iconSet iconSet="3Symbols" showValue="0" reverse="1">
        <cfvo type="percent" val="0"/>
        <cfvo type="num" val="1"/>
        <cfvo type="num" val="1.05"/>
      </iconSet>
    </cfRule>
  </conditionalFormatting>
  <conditionalFormatting sqref="Q326">
    <cfRule type="iconSet" priority="3170">
      <iconSet iconSet="3Symbols" showValue="0" reverse="1">
        <cfvo type="percent" val="0"/>
        <cfvo type="num" val="1"/>
        <cfvo type="num" val="1.05"/>
      </iconSet>
    </cfRule>
  </conditionalFormatting>
  <conditionalFormatting sqref="N326">
    <cfRule type="cellIs" dxfId="2343" priority="3168" operator="lessThan">
      <formula>0</formula>
    </cfRule>
    <cfRule type="cellIs" dxfId="2342" priority="3169" operator="greaterThan">
      <formula>0</formula>
    </cfRule>
  </conditionalFormatting>
  <conditionalFormatting sqref="F326">
    <cfRule type="cellIs" dxfId="2341" priority="3166" operator="lessThan">
      <formula>0</formula>
    </cfRule>
    <cfRule type="cellIs" dxfId="2340" priority="3167" operator="greaterThan">
      <formula>0</formula>
    </cfRule>
  </conditionalFormatting>
  <conditionalFormatting sqref="U326">
    <cfRule type="iconSet" priority="3171">
      <iconSet iconSet="3Symbols" showValue="0" reverse="1">
        <cfvo type="percent" val="0"/>
        <cfvo type="num" val="1"/>
        <cfvo type="num" val="1.05"/>
      </iconSet>
    </cfRule>
  </conditionalFormatting>
  <conditionalFormatting sqref="P326">
    <cfRule type="iconSet" priority="3172">
      <iconSet iconSet="3Symbols" showValue="0" reverse="1">
        <cfvo type="percent" val="0"/>
        <cfvo type="num" val="1"/>
        <cfvo type="num" val="1.05"/>
      </iconSet>
    </cfRule>
  </conditionalFormatting>
  <conditionalFormatting sqref="Q325">
    <cfRule type="iconSet" priority="3163">
      <iconSet iconSet="3Symbols" showValue="0" reverse="1">
        <cfvo type="percent" val="0"/>
        <cfvo type="num" val="1"/>
        <cfvo type="num" val="1.05"/>
      </iconSet>
    </cfRule>
  </conditionalFormatting>
  <conditionalFormatting sqref="N325">
    <cfRule type="cellIs" dxfId="2339" priority="3161" operator="lessThan">
      <formula>0</formula>
    </cfRule>
    <cfRule type="cellIs" dxfId="2338" priority="3162" operator="greaterThan">
      <formula>0</formula>
    </cfRule>
  </conditionalFormatting>
  <conditionalFormatting sqref="F325">
    <cfRule type="cellIs" dxfId="2337" priority="3159" operator="lessThan">
      <formula>0</formula>
    </cfRule>
    <cfRule type="cellIs" dxfId="2336" priority="3160" operator="greaterThan">
      <formula>0</formula>
    </cfRule>
  </conditionalFormatting>
  <conditionalFormatting sqref="U325">
    <cfRule type="iconSet" priority="3164">
      <iconSet iconSet="3Symbols" showValue="0" reverse="1">
        <cfvo type="percent" val="0"/>
        <cfvo type="num" val="1"/>
        <cfvo type="num" val="1.05"/>
      </iconSet>
    </cfRule>
  </conditionalFormatting>
  <conditionalFormatting sqref="P325">
    <cfRule type="iconSet" priority="3165">
      <iconSet iconSet="3Symbols" showValue="0" reverse="1">
        <cfvo type="percent" val="0"/>
        <cfvo type="num" val="1"/>
        <cfvo type="num" val="1.05"/>
      </iconSet>
    </cfRule>
  </conditionalFormatting>
  <conditionalFormatting sqref="Q324">
    <cfRule type="iconSet" priority="3156">
      <iconSet iconSet="3Symbols" showValue="0" reverse="1">
        <cfvo type="percent" val="0"/>
        <cfvo type="num" val="1"/>
        <cfvo type="num" val="1.05"/>
      </iconSet>
    </cfRule>
  </conditionalFormatting>
  <conditionalFormatting sqref="N324">
    <cfRule type="cellIs" dxfId="2335" priority="3154" operator="lessThan">
      <formula>0</formula>
    </cfRule>
    <cfRule type="cellIs" dxfId="2334" priority="3155" operator="greaterThan">
      <formula>0</formula>
    </cfRule>
  </conditionalFormatting>
  <conditionalFormatting sqref="F324">
    <cfRule type="cellIs" dxfId="2333" priority="3152" operator="lessThan">
      <formula>0</formula>
    </cfRule>
    <cfRule type="cellIs" dxfId="2332" priority="3153" operator="greaterThan">
      <formula>0</formula>
    </cfRule>
  </conditionalFormatting>
  <conditionalFormatting sqref="U324">
    <cfRule type="iconSet" priority="3157">
      <iconSet iconSet="3Symbols" showValue="0" reverse="1">
        <cfvo type="percent" val="0"/>
        <cfvo type="num" val="1"/>
        <cfvo type="num" val="1.05"/>
      </iconSet>
    </cfRule>
  </conditionalFormatting>
  <conditionalFormatting sqref="P324">
    <cfRule type="iconSet" priority="3158">
      <iconSet iconSet="3Symbols" showValue="0" reverse="1">
        <cfvo type="percent" val="0"/>
        <cfvo type="num" val="1"/>
        <cfvo type="num" val="1.05"/>
      </iconSet>
    </cfRule>
  </conditionalFormatting>
  <conditionalFormatting sqref="Q323">
    <cfRule type="iconSet" priority="3149">
      <iconSet iconSet="3Symbols" showValue="0" reverse="1">
        <cfvo type="percent" val="0"/>
        <cfvo type="num" val="1"/>
        <cfvo type="num" val="1.05"/>
      </iconSet>
    </cfRule>
  </conditionalFormatting>
  <conditionalFormatting sqref="N323">
    <cfRule type="cellIs" dxfId="2331" priority="3147" operator="lessThan">
      <formula>0</formula>
    </cfRule>
    <cfRule type="cellIs" dxfId="2330" priority="3148" operator="greaterThan">
      <formula>0</formula>
    </cfRule>
  </conditionalFormatting>
  <conditionalFormatting sqref="F323">
    <cfRule type="cellIs" dxfId="2329" priority="3145" operator="lessThan">
      <formula>0</formula>
    </cfRule>
    <cfRule type="cellIs" dxfId="2328" priority="3146" operator="greaterThan">
      <formula>0</formula>
    </cfRule>
  </conditionalFormatting>
  <conditionalFormatting sqref="U323">
    <cfRule type="iconSet" priority="3150">
      <iconSet iconSet="3Symbols" showValue="0" reverse="1">
        <cfvo type="percent" val="0"/>
        <cfvo type="num" val="1"/>
        <cfvo type="num" val="1.05"/>
      </iconSet>
    </cfRule>
  </conditionalFormatting>
  <conditionalFormatting sqref="P323">
    <cfRule type="iconSet" priority="3151">
      <iconSet iconSet="3Symbols" showValue="0" reverse="1">
        <cfvo type="percent" val="0"/>
        <cfvo type="num" val="1"/>
        <cfvo type="num" val="1.05"/>
      </iconSet>
    </cfRule>
  </conditionalFormatting>
  <conditionalFormatting sqref="Q322">
    <cfRule type="iconSet" priority="3142">
      <iconSet iconSet="3Symbols" showValue="0" reverse="1">
        <cfvo type="percent" val="0"/>
        <cfvo type="num" val="1"/>
        <cfvo type="num" val="1.05"/>
      </iconSet>
    </cfRule>
  </conditionalFormatting>
  <conditionalFormatting sqref="N322">
    <cfRule type="cellIs" dxfId="2327" priority="3140" operator="lessThan">
      <formula>0</formula>
    </cfRule>
    <cfRule type="cellIs" dxfId="2326" priority="3141" operator="greaterThan">
      <formula>0</formula>
    </cfRule>
  </conditionalFormatting>
  <conditionalFormatting sqref="F322">
    <cfRule type="cellIs" dxfId="2325" priority="3138" operator="lessThan">
      <formula>0</formula>
    </cfRule>
    <cfRule type="cellIs" dxfId="2324" priority="3139" operator="greaterThan">
      <formula>0</formula>
    </cfRule>
  </conditionalFormatting>
  <conditionalFormatting sqref="U322">
    <cfRule type="iconSet" priority="3143">
      <iconSet iconSet="3Symbols" showValue="0" reverse="1">
        <cfvo type="percent" val="0"/>
        <cfvo type="num" val="1"/>
        <cfvo type="num" val="1.05"/>
      </iconSet>
    </cfRule>
  </conditionalFormatting>
  <conditionalFormatting sqref="P322">
    <cfRule type="iconSet" priority="3144">
      <iconSet iconSet="3Symbols" showValue="0" reverse="1">
        <cfvo type="percent" val="0"/>
        <cfvo type="num" val="1"/>
        <cfvo type="num" val="1.05"/>
      </iconSet>
    </cfRule>
  </conditionalFormatting>
  <conditionalFormatting sqref="Q320:Q321">
    <cfRule type="iconSet" priority="3135">
      <iconSet iconSet="3Symbols" showValue="0" reverse="1">
        <cfvo type="percent" val="0"/>
        <cfvo type="num" val="1"/>
        <cfvo type="num" val="1.05"/>
      </iconSet>
    </cfRule>
  </conditionalFormatting>
  <conditionalFormatting sqref="N320:N321">
    <cfRule type="cellIs" dxfId="2323" priority="3133" operator="lessThan">
      <formula>0</formula>
    </cfRule>
    <cfRule type="cellIs" dxfId="2322" priority="3134" operator="greaterThan">
      <formula>0</formula>
    </cfRule>
  </conditionalFormatting>
  <conditionalFormatting sqref="F320:F321">
    <cfRule type="cellIs" dxfId="2321" priority="3131" operator="lessThan">
      <formula>0</formula>
    </cfRule>
    <cfRule type="cellIs" dxfId="2320" priority="3132" operator="greaterThan">
      <formula>0</formula>
    </cfRule>
  </conditionalFormatting>
  <conditionalFormatting sqref="U320:U321">
    <cfRule type="iconSet" priority="3136">
      <iconSet iconSet="3Symbols" showValue="0" reverse="1">
        <cfvo type="percent" val="0"/>
        <cfvo type="num" val="1"/>
        <cfvo type="num" val="1.05"/>
      </iconSet>
    </cfRule>
  </conditionalFormatting>
  <conditionalFormatting sqref="P320:P321">
    <cfRule type="iconSet" priority="3137">
      <iconSet iconSet="3Symbols" showValue="0" reverse="1">
        <cfvo type="percent" val="0"/>
        <cfvo type="num" val="1"/>
        <cfvo type="num" val="1.05"/>
      </iconSet>
    </cfRule>
  </conditionalFormatting>
  <conditionalFormatting sqref="Q319">
    <cfRule type="iconSet" priority="3128">
      <iconSet iconSet="3Symbols" showValue="0" reverse="1">
        <cfvo type="percent" val="0"/>
        <cfvo type="num" val="1"/>
        <cfvo type="num" val="1.05"/>
      </iconSet>
    </cfRule>
  </conditionalFormatting>
  <conditionalFormatting sqref="N319">
    <cfRule type="cellIs" dxfId="2319" priority="3126" operator="lessThan">
      <formula>0</formula>
    </cfRule>
    <cfRule type="cellIs" dxfId="2318" priority="3127" operator="greaterThan">
      <formula>0</formula>
    </cfRule>
  </conditionalFormatting>
  <conditionalFormatting sqref="F319">
    <cfRule type="cellIs" dxfId="2317" priority="3124" operator="lessThan">
      <formula>0</formula>
    </cfRule>
    <cfRule type="cellIs" dxfId="2316" priority="3125" operator="greaterThan">
      <formula>0</formula>
    </cfRule>
  </conditionalFormatting>
  <conditionalFormatting sqref="U319">
    <cfRule type="iconSet" priority="3129">
      <iconSet iconSet="3Symbols" showValue="0" reverse="1">
        <cfvo type="percent" val="0"/>
        <cfvo type="num" val="1"/>
        <cfvo type="num" val="1.05"/>
      </iconSet>
    </cfRule>
  </conditionalFormatting>
  <conditionalFormatting sqref="P319">
    <cfRule type="iconSet" priority="3130">
      <iconSet iconSet="3Symbols" showValue="0" reverse="1">
        <cfvo type="percent" val="0"/>
        <cfvo type="num" val="1"/>
        <cfvo type="num" val="1.05"/>
      </iconSet>
    </cfRule>
  </conditionalFormatting>
  <conditionalFormatting sqref="Q318">
    <cfRule type="iconSet" priority="3121">
      <iconSet iconSet="3Symbols" showValue="0" reverse="1">
        <cfvo type="percent" val="0"/>
        <cfvo type="num" val="1"/>
        <cfvo type="num" val="1.05"/>
      </iconSet>
    </cfRule>
  </conditionalFormatting>
  <conditionalFormatting sqref="N318">
    <cfRule type="cellIs" dxfId="2315" priority="3119" operator="lessThan">
      <formula>0</formula>
    </cfRule>
    <cfRule type="cellIs" dxfId="2314" priority="3120" operator="greaterThan">
      <formula>0</formula>
    </cfRule>
  </conditionalFormatting>
  <conditionalFormatting sqref="F318">
    <cfRule type="cellIs" dxfId="2313" priority="3117" operator="lessThan">
      <formula>0</formula>
    </cfRule>
    <cfRule type="cellIs" dxfId="2312" priority="3118" operator="greaterThan">
      <formula>0</formula>
    </cfRule>
  </conditionalFormatting>
  <conditionalFormatting sqref="U318">
    <cfRule type="iconSet" priority="3122">
      <iconSet iconSet="3Symbols" showValue="0" reverse="1">
        <cfvo type="percent" val="0"/>
        <cfvo type="num" val="1"/>
        <cfvo type="num" val="1.05"/>
      </iconSet>
    </cfRule>
  </conditionalFormatting>
  <conditionalFormatting sqref="P318">
    <cfRule type="iconSet" priority="3123">
      <iconSet iconSet="3Symbols" showValue="0" reverse="1">
        <cfvo type="percent" val="0"/>
        <cfvo type="num" val="1"/>
        <cfvo type="num" val="1.05"/>
      </iconSet>
    </cfRule>
  </conditionalFormatting>
  <conditionalFormatting sqref="Q317">
    <cfRule type="iconSet" priority="3114">
      <iconSet iconSet="3Symbols" showValue="0" reverse="1">
        <cfvo type="percent" val="0"/>
        <cfvo type="num" val="1"/>
        <cfvo type="num" val="1.05"/>
      </iconSet>
    </cfRule>
  </conditionalFormatting>
  <conditionalFormatting sqref="N317">
    <cfRule type="cellIs" dxfId="2311" priority="3112" operator="lessThan">
      <formula>0</formula>
    </cfRule>
    <cfRule type="cellIs" dxfId="2310" priority="3113" operator="greaterThan">
      <formula>0</formula>
    </cfRule>
  </conditionalFormatting>
  <conditionalFormatting sqref="F317">
    <cfRule type="cellIs" dxfId="2309" priority="3110" operator="lessThan">
      <formula>0</formula>
    </cfRule>
    <cfRule type="cellIs" dxfId="2308" priority="3111" operator="greaterThan">
      <formula>0</formula>
    </cfRule>
  </conditionalFormatting>
  <conditionalFormatting sqref="U317">
    <cfRule type="iconSet" priority="3115">
      <iconSet iconSet="3Symbols" showValue="0" reverse="1">
        <cfvo type="percent" val="0"/>
        <cfvo type="num" val="1"/>
        <cfvo type="num" val="1.05"/>
      </iconSet>
    </cfRule>
  </conditionalFormatting>
  <conditionalFormatting sqref="P317">
    <cfRule type="iconSet" priority="3116">
      <iconSet iconSet="3Symbols" showValue="0" reverse="1">
        <cfvo type="percent" val="0"/>
        <cfvo type="num" val="1"/>
        <cfvo type="num" val="1.05"/>
      </iconSet>
    </cfRule>
  </conditionalFormatting>
  <conditionalFormatting sqref="Q316">
    <cfRule type="iconSet" priority="3107">
      <iconSet iconSet="3Symbols" showValue="0" reverse="1">
        <cfvo type="percent" val="0"/>
        <cfvo type="num" val="1"/>
        <cfvo type="num" val="1.05"/>
      </iconSet>
    </cfRule>
  </conditionalFormatting>
  <conditionalFormatting sqref="N316">
    <cfRule type="cellIs" dxfId="2307" priority="3105" operator="lessThan">
      <formula>0</formula>
    </cfRule>
    <cfRule type="cellIs" dxfId="2306" priority="3106" operator="greaterThan">
      <formula>0</formula>
    </cfRule>
  </conditionalFormatting>
  <conditionalFormatting sqref="F316">
    <cfRule type="cellIs" dxfId="2305" priority="3103" operator="lessThan">
      <formula>0</formula>
    </cfRule>
    <cfRule type="cellIs" dxfId="2304" priority="3104" operator="greaterThan">
      <formula>0</formula>
    </cfRule>
  </conditionalFormatting>
  <conditionalFormatting sqref="U316">
    <cfRule type="iconSet" priority="3108">
      <iconSet iconSet="3Symbols" showValue="0" reverse="1">
        <cfvo type="percent" val="0"/>
        <cfvo type="num" val="1"/>
        <cfvo type="num" val="1.05"/>
      </iconSet>
    </cfRule>
  </conditionalFormatting>
  <conditionalFormatting sqref="P316">
    <cfRule type="iconSet" priority="3109">
      <iconSet iconSet="3Symbols" showValue="0" reverse="1">
        <cfvo type="percent" val="0"/>
        <cfvo type="num" val="1"/>
        <cfvo type="num" val="1.05"/>
      </iconSet>
    </cfRule>
  </conditionalFormatting>
  <conditionalFormatting sqref="Q315">
    <cfRule type="iconSet" priority="3100">
      <iconSet iconSet="3Symbols" showValue="0" reverse="1">
        <cfvo type="percent" val="0"/>
        <cfvo type="num" val="1"/>
        <cfvo type="num" val="1.05"/>
      </iconSet>
    </cfRule>
  </conditionalFormatting>
  <conditionalFormatting sqref="N315">
    <cfRule type="cellIs" dxfId="2303" priority="3098" operator="lessThan">
      <formula>0</formula>
    </cfRule>
    <cfRule type="cellIs" dxfId="2302" priority="3099" operator="greaterThan">
      <formula>0</formula>
    </cfRule>
  </conditionalFormatting>
  <conditionalFormatting sqref="F315">
    <cfRule type="cellIs" dxfId="2301" priority="3096" operator="lessThan">
      <formula>0</formula>
    </cfRule>
    <cfRule type="cellIs" dxfId="2300" priority="3097" operator="greaterThan">
      <formula>0</formula>
    </cfRule>
  </conditionalFormatting>
  <conditionalFormatting sqref="U315">
    <cfRule type="iconSet" priority="3101">
      <iconSet iconSet="3Symbols" showValue="0" reverse="1">
        <cfvo type="percent" val="0"/>
        <cfvo type="num" val="1"/>
        <cfvo type="num" val="1.05"/>
      </iconSet>
    </cfRule>
  </conditionalFormatting>
  <conditionalFormatting sqref="P315">
    <cfRule type="iconSet" priority="3102">
      <iconSet iconSet="3Symbols" showValue="0" reverse="1">
        <cfvo type="percent" val="0"/>
        <cfvo type="num" val="1"/>
        <cfvo type="num" val="1.05"/>
      </iconSet>
    </cfRule>
  </conditionalFormatting>
  <conditionalFormatting sqref="Q314">
    <cfRule type="iconSet" priority="3093">
      <iconSet iconSet="3Symbols" showValue="0" reverse="1">
        <cfvo type="percent" val="0"/>
        <cfvo type="num" val="1"/>
        <cfvo type="num" val="1.05"/>
      </iconSet>
    </cfRule>
  </conditionalFormatting>
  <conditionalFormatting sqref="N314">
    <cfRule type="cellIs" dxfId="2299" priority="3091" operator="lessThan">
      <formula>0</formula>
    </cfRule>
    <cfRule type="cellIs" dxfId="2298" priority="3092" operator="greaterThan">
      <formula>0</formula>
    </cfRule>
  </conditionalFormatting>
  <conditionalFormatting sqref="F314">
    <cfRule type="cellIs" dxfId="2297" priority="3089" operator="lessThan">
      <formula>0</formula>
    </cfRule>
    <cfRule type="cellIs" dxfId="2296" priority="3090" operator="greaterThan">
      <formula>0</formula>
    </cfRule>
  </conditionalFormatting>
  <conditionalFormatting sqref="U314">
    <cfRule type="iconSet" priority="3094">
      <iconSet iconSet="3Symbols" showValue="0" reverse="1">
        <cfvo type="percent" val="0"/>
        <cfvo type="num" val="1"/>
        <cfvo type="num" val="1.05"/>
      </iconSet>
    </cfRule>
  </conditionalFormatting>
  <conditionalFormatting sqref="P314">
    <cfRule type="iconSet" priority="3095">
      <iconSet iconSet="3Symbols" showValue="0" reverse="1">
        <cfvo type="percent" val="0"/>
        <cfvo type="num" val="1"/>
        <cfvo type="num" val="1.05"/>
      </iconSet>
    </cfRule>
  </conditionalFormatting>
  <conditionalFormatting sqref="Q313">
    <cfRule type="iconSet" priority="3086">
      <iconSet iconSet="3Symbols" showValue="0" reverse="1">
        <cfvo type="percent" val="0"/>
        <cfvo type="num" val="1"/>
        <cfvo type="num" val="1.05"/>
      </iconSet>
    </cfRule>
  </conditionalFormatting>
  <conditionalFormatting sqref="N313">
    <cfRule type="cellIs" dxfId="2295" priority="3084" operator="lessThan">
      <formula>0</formula>
    </cfRule>
    <cfRule type="cellIs" dxfId="2294" priority="3085" operator="greaterThan">
      <formula>0</formula>
    </cfRule>
  </conditionalFormatting>
  <conditionalFormatting sqref="F313">
    <cfRule type="cellIs" dxfId="2293" priority="3082" operator="lessThan">
      <formula>0</formula>
    </cfRule>
    <cfRule type="cellIs" dxfId="2292" priority="3083" operator="greaterThan">
      <formula>0</formula>
    </cfRule>
  </conditionalFormatting>
  <conditionalFormatting sqref="U313">
    <cfRule type="iconSet" priority="3087">
      <iconSet iconSet="3Symbols" showValue="0" reverse="1">
        <cfvo type="percent" val="0"/>
        <cfvo type="num" val="1"/>
        <cfvo type="num" val="1.05"/>
      </iconSet>
    </cfRule>
  </conditionalFormatting>
  <conditionalFormatting sqref="P313">
    <cfRule type="iconSet" priority="3088">
      <iconSet iconSet="3Symbols" showValue="0" reverse="1">
        <cfvo type="percent" val="0"/>
        <cfvo type="num" val="1"/>
        <cfvo type="num" val="1.05"/>
      </iconSet>
    </cfRule>
  </conditionalFormatting>
  <conditionalFormatting sqref="Q311:Q312">
    <cfRule type="iconSet" priority="3079">
      <iconSet iconSet="3Symbols" showValue="0" reverse="1">
        <cfvo type="percent" val="0"/>
        <cfvo type="num" val="1"/>
        <cfvo type="num" val="1.05"/>
      </iconSet>
    </cfRule>
  </conditionalFormatting>
  <conditionalFormatting sqref="N311:N312">
    <cfRule type="cellIs" dxfId="2291" priority="3077" operator="lessThan">
      <formula>0</formula>
    </cfRule>
    <cfRule type="cellIs" dxfId="2290" priority="3078" operator="greaterThan">
      <formula>0</formula>
    </cfRule>
  </conditionalFormatting>
  <conditionalFormatting sqref="F311:F312">
    <cfRule type="cellIs" dxfId="2289" priority="3075" operator="lessThan">
      <formula>0</formula>
    </cfRule>
    <cfRule type="cellIs" dxfId="2288" priority="3076" operator="greaterThan">
      <formula>0</formula>
    </cfRule>
  </conditionalFormatting>
  <conditionalFormatting sqref="U311:U312">
    <cfRule type="iconSet" priority="3080">
      <iconSet iconSet="3Symbols" showValue="0" reverse="1">
        <cfvo type="percent" val="0"/>
        <cfvo type="num" val="1"/>
        <cfvo type="num" val="1.05"/>
      </iconSet>
    </cfRule>
  </conditionalFormatting>
  <conditionalFormatting sqref="P311:P312">
    <cfRule type="iconSet" priority="3081">
      <iconSet iconSet="3Symbols" showValue="0" reverse="1">
        <cfvo type="percent" val="0"/>
        <cfvo type="num" val="1"/>
        <cfvo type="num" val="1.05"/>
      </iconSet>
    </cfRule>
  </conditionalFormatting>
  <conditionalFormatting sqref="Q310">
    <cfRule type="iconSet" priority="3072">
      <iconSet iconSet="3Symbols" showValue="0" reverse="1">
        <cfvo type="percent" val="0"/>
        <cfvo type="num" val="1"/>
        <cfvo type="num" val="1.05"/>
      </iconSet>
    </cfRule>
  </conditionalFormatting>
  <conditionalFormatting sqref="N310">
    <cfRule type="cellIs" dxfId="2287" priority="3070" operator="lessThan">
      <formula>0</formula>
    </cfRule>
    <cfRule type="cellIs" dxfId="2286" priority="3071" operator="greaterThan">
      <formula>0</formula>
    </cfRule>
  </conditionalFormatting>
  <conditionalFormatting sqref="F310">
    <cfRule type="cellIs" dxfId="2285" priority="3068" operator="lessThan">
      <formula>0</formula>
    </cfRule>
    <cfRule type="cellIs" dxfId="2284" priority="3069" operator="greaterThan">
      <formula>0</formula>
    </cfRule>
  </conditionalFormatting>
  <conditionalFormatting sqref="U310">
    <cfRule type="iconSet" priority="3073">
      <iconSet iconSet="3Symbols" showValue="0" reverse="1">
        <cfvo type="percent" val="0"/>
        <cfvo type="num" val="1"/>
        <cfvo type="num" val="1.05"/>
      </iconSet>
    </cfRule>
  </conditionalFormatting>
  <conditionalFormatting sqref="P310">
    <cfRule type="iconSet" priority="3074">
      <iconSet iconSet="3Symbols" showValue="0" reverse="1">
        <cfvo type="percent" val="0"/>
        <cfvo type="num" val="1"/>
        <cfvo type="num" val="1.05"/>
      </iconSet>
    </cfRule>
  </conditionalFormatting>
  <conditionalFormatting sqref="Q309">
    <cfRule type="iconSet" priority="3065">
      <iconSet iconSet="3Symbols" showValue="0" reverse="1">
        <cfvo type="percent" val="0"/>
        <cfvo type="num" val="1"/>
        <cfvo type="num" val="1.05"/>
      </iconSet>
    </cfRule>
  </conditionalFormatting>
  <conditionalFormatting sqref="N309">
    <cfRule type="cellIs" dxfId="2283" priority="3063" operator="lessThan">
      <formula>0</formula>
    </cfRule>
    <cfRule type="cellIs" dxfId="2282" priority="3064" operator="greaterThan">
      <formula>0</formula>
    </cfRule>
  </conditionalFormatting>
  <conditionalFormatting sqref="F309">
    <cfRule type="cellIs" dxfId="2281" priority="3061" operator="lessThan">
      <formula>0</formula>
    </cfRule>
    <cfRule type="cellIs" dxfId="2280" priority="3062" operator="greaterThan">
      <formula>0</formula>
    </cfRule>
  </conditionalFormatting>
  <conditionalFormatting sqref="U309">
    <cfRule type="iconSet" priority="3066">
      <iconSet iconSet="3Symbols" showValue="0" reverse="1">
        <cfvo type="percent" val="0"/>
        <cfvo type="num" val="1"/>
        <cfvo type="num" val="1.05"/>
      </iconSet>
    </cfRule>
  </conditionalFormatting>
  <conditionalFormatting sqref="P309">
    <cfRule type="iconSet" priority="3067">
      <iconSet iconSet="3Symbols" showValue="0" reverse="1">
        <cfvo type="percent" val="0"/>
        <cfvo type="num" val="1"/>
        <cfvo type="num" val="1.05"/>
      </iconSet>
    </cfRule>
  </conditionalFormatting>
  <conditionalFormatting sqref="Q308">
    <cfRule type="iconSet" priority="3058">
      <iconSet iconSet="3Symbols" showValue="0" reverse="1">
        <cfvo type="percent" val="0"/>
        <cfvo type="num" val="1"/>
        <cfvo type="num" val="1.05"/>
      </iconSet>
    </cfRule>
  </conditionalFormatting>
  <conditionalFormatting sqref="N308">
    <cfRule type="cellIs" dxfId="2279" priority="3056" operator="lessThan">
      <formula>0</formula>
    </cfRule>
    <cfRule type="cellIs" dxfId="2278" priority="3057" operator="greaterThan">
      <formula>0</formula>
    </cfRule>
  </conditionalFormatting>
  <conditionalFormatting sqref="F308">
    <cfRule type="cellIs" dxfId="2277" priority="3054" operator="lessThan">
      <formula>0</formula>
    </cfRule>
    <cfRule type="cellIs" dxfId="2276" priority="3055" operator="greaterThan">
      <formula>0</formula>
    </cfRule>
  </conditionalFormatting>
  <conditionalFormatting sqref="U308">
    <cfRule type="iconSet" priority="3059">
      <iconSet iconSet="3Symbols" showValue="0" reverse="1">
        <cfvo type="percent" val="0"/>
        <cfvo type="num" val="1"/>
        <cfvo type="num" val="1.05"/>
      </iconSet>
    </cfRule>
  </conditionalFormatting>
  <conditionalFormatting sqref="P308">
    <cfRule type="iconSet" priority="3060">
      <iconSet iconSet="3Symbols" showValue="0" reverse="1">
        <cfvo type="percent" val="0"/>
        <cfvo type="num" val="1"/>
        <cfvo type="num" val="1.05"/>
      </iconSet>
    </cfRule>
  </conditionalFormatting>
  <conditionalFormatting sqref="Q307">
    <cfRule type="iconSet" priority="3051">
      <iconSet iconSet="3Symbols" showValue="0" reverse="1">
        <cfvo type="percent" val="0"/>
        <cfvo type="num" val="1"/>
        <cfvo type="num" val="1.05"/>
      </iconSet>
    </cfRule>
  </conditionalFormatting>
  <conditionalFormatting sqref="N307">
    <cfRule type="cellIs" dxfId="2275" priority="3049" operator="lessThan">
      <formula>0</formula>
    </cfRule>
    <cfRule type="cellIs" dxfId="2274" priority="3050" operator="greaterThan">
      <formula>0</formula>
    </cfRule>
  </conditionalFormatting>
  <conditionalFormatting sqref="F307">
    <cfRule type="cellIs" dxfId="2273" priority="3047" operator="lessThan">
      <formula>0</formula>
    </cfRule>
    <cfRule type="cellIs" dxfId="2272" priority="3048" operator="greaterThan">
      <formula>0</formula>
    </cfRule>
  </conditionalFormatting>
  <conditionalFormatting sqref="U307">
    <cfRule type="iconSet" priority="3052">
      <iconSet iconSet="3Symbols" showValue="0" reverse="1">
        <cfvo type="percent" val="0"/>
        <cfvo type="num" val="1"/>
        <cfvo type="num" val="1.05"/>
      </iconSet>
    </cfRule>
  </conditionalFormatting>
  <conditionalFormatting sqref="P307">
    <cfRule type="iconSet" priority="3053">
      <iconSet iconSet="3Symbols" showValue="0" reverse="1">
        <cfvo type="percent" val="0"/>
        <cfvo type="num" val="1"/>
        <cfvo type="num" val="1.05"/>
      </iconSet>
    </cfRule>
  </conditionalFormatting>
  <conditionalFormatting sqref="Q306">
    <cfRule type="iconSet" priority="3044">
      <iconSet iconSet="3Symbols" showValue="0" reverse="1">
        <cfvo type="percent" val="0"/>
        <cfvo type="num" val="1"/>
        <cfvo type="num" val="1.05"/>
      </iconSet>
    </cfRule>
  </conditionalFormatting>
  <conditionalFormatting sqref="N306">
    <cfRule type="cellIs" dxfId="2271" priority="3042" operator="lessThan">
      <formula>0</formula>
    </cfRule>
    <cfRule type="cellIs" dxfId="2270" priority="3043" operator="greaterThan">
      <formula>0</formula>
    </cfRule>
  </conditionalFormatting>
  <conditionalFormatting sqref="F306">
    <cfRule type="cellIs" dxfId="2269" priority="3040" operator="lessThan">
      <formula>0</formula>
    </cfRule>
    <cfRule type="cellIs" dxfId="2268" priority="3041" operator="greaterThan">
      <formula>0</formula>
    </cfRule>
  </conditionalFormatting>
  <conditionalFormatting sqref="U306">
    <cfRule type="iconSet" priority="3045">
      <iconSet iconSet="3Symbols" showValue="0" reverse="1">
        <cfvo type="percent" val="0"/>
        <cfvo type="num" val="1"/>
        <cfvo type="num" val="1.05"/>
      </iconSet>
    </cfRule>
  </conditionalFormatting>
  <conditionalFormatting sqref="P306">
    <cfRule type="iconSet" priority="3046">
      <iconSet iconSet="3Symbols" showValue="0" reverse="1">
        <cfvo type="percent" val="0"/>
        <cfvo type="num" val="1"/>
        <cfvo type="num" val="1.05"/>
      </iconSet>
    </cfRule>
  </conditionalFormatting>
  <conditionalFormatting sqref="Q305">
    <cfRule type="iconSet" priority="3037">
      <iconSet iconSet="3Symbols" showValue="0" reverse="1">
        <cfvo type="percent" val="0"/>
        <cfvo type="num" val="1"/>
        <cfvo type="num" val="1.05"/>
      </iconSet>
    </cfRule>
  </conditionalFormatting>
  <conditionalFormatting sqref="N305">
    <cfRule type="cellIs" dxfId="2267" priority="3035" operator="lessThan">
      <formula>0</formula>
    </cfRule>
    <cfRule type="cellIs" dxfId="2266" priority="3036" operator="greaterThan">
      <formula>0</formula>
    </cfRule>
  </conditionalFormatting>
  <conditionalFormatting sqref="F305">
    <cfRule type="cellIs" dxfId="2265" priority="3033" operator="lessThan">
      <formula>0</formula>
    </cfRule>
    <cfRule type="cellIs" dxfId="2264" priority="3034" operator="greaterThan">
      <formula>0</formula>
    </cfRule>
  </conditionalFormatting>
  <conditionalFormatting sqref="U305">
    <cfRule type="iconSet" priority="3038">
      <iconSet iconSet="3Symbols" showValue="0" reverse="1">
        <cfvo type="percent" val="0"/>
        <cfvo type="num" val="1"/>
        <cfvo type="num" val="1.05"/>
      </iconSet>
    </cfRule>
  </conditionalFormatting>
  <conditionalFormatting sqref="P305">
    <cfRule type="iconSet" priority="3039">
      <iconSet iconSet="3Symbols" showValue="0" reverse="1">
        <cfvo type="percent" val="0"/>
        <cfvo type="num" val="1"/>
        <cfvo type="num" val="1.05"/>
      </iconSet>
    </cfRule>
  </conditionalFormatting>
  <conditionalFormatting sqref="Q304">
    <cfRule type="iconSet" priority="3030">
      <iconSet iconSet="3Symbols" showValue="0" reverse="1">
        <cfvo type="percent" val="0"/>
        <cfvo type="num" val="1"/>
        <cfvo type="num" val="1.05"/>
      </iconSet>
    </cfRule>
  </conditionalFormatting>
  <conditionalFormatting sqref="N304">
    <cfRule type="cellIs" dxfId="2263" priority="3028" operator="lessThan">
      <formula>0</formula>
    </cfRule>
    <cfRule type="cellIs" dxfId="2262" priority="3029" operator="greaterThan">
      <formula>0</formula>
    </cfRule>
  </conditionalFormatting>
  <conditionalFormatting sqref="F304">
    <cfRule type="cellIs" dxfId="2261" priority="3026" operator="lessThan">
      <formula>0</formula>
    </cfRule>
    <cfRule type="cellIs" dxfId="2260" priority="3027" operator="greaterThan">
      <formula>0</formula>
    </cfRule>
  </conditionalFormatting>
  <conditionalFormatting sqref="U304">
    <cfRule type="iconSet" priority="3031">
      <iconSet iconSet="3Symbols" showValue="0" reverse="1">
        <cfvo type="percent" val="0"/>
        <cfvo type="num" val="1"/>
        <cfvo type="num" val="1.05"/>
      </iconSet>
    </cfRule>
  </conditionalFormatting>
  <conditionalFormatting sqref="P304">
    <cfRule type="iconSet" priority="3032">
      <iconSet iconSet="3Symbols" showValue="0" reverse="1">
        <cfvo type="percent" val="0"/>
        <cfvo type="num" val="1"/>
        <cfvo type="num" val="1.05"/>
      </iconSet>
    </cfRule>
  </conditionalFormatting>
  <conditionalFormatting sqref="Q302:Q303">
    <cfRule type="iconSet" priority="3023">
      <iconSet iconSet="3Symbols" showValue="0" reverse="1">
        <cfvo type="percent" val="0"/>
        <cfvo type="num" val="1"/>
        <cfvo type="num" val="1.05"/>
      </iconSet>
    </cfRule>
  </conditionalFormatting>
  <conditionalFormatting sqref="N302:N303">
    <cfRule type="cellIs" dxfId="2259" priority="3021" operator="lessThan">
      <formula>0</formula>
    </cfRule>
    <cfRule type="cellIs" dxfId="2258" priority="3022" operator="greaterThan">
      <formula>0</formula>
    </cfRule>
  </conditionalFormatting>
  <conditionalFormatting sqref="F302:F303">
    <cfRule type="cellIs" dxfId="2257" priority="3019" operator="lessThan">
      <formula>0</formula>
    </cfRule>
    <cfRule type="cellIs" dxfId="2256" priority="3020" operator="greaterThan">
      <formula>0</formula>
    </cfRule>
  </conditionalFormatting>
  <conditionalFormatting sqref="U302:U303">
    <cfRule type="iconSet" priority="3024">
      <iconSet iconSet="3Symbols" showValue="0" reverse="1">
        <cfvo type="percent" val="0"/>
        <cfvo type="num" val="1"/>
        <cfvo type="num" val="1.05"/>
      </iconSet>
    </cfRule>
  </conditionalFormatting>
  <conditionalFormatting sqref="P302:P303">
    <cfRule type="iconSet" priority="3025">
      <iconSet iconSet="3Symbols" showValue="0" reverse="1">
        <cfvo type="percent" val="0"/>
        <cfvo type="num" val="1"/>
        <cfvo type="num" val="1.05"/>
      </iconSet>
    </cfRule>
  </conditionalFormatting>
  <conditionalFormatting sqref="Q301">
    <cfRule type="iconSet" priority="3016">
      <iconSet iconSet="3Symbols" showValue="0" reverse="1">
        <cfvo type="percent" val="0"/>
        <cfvo type="num" val="1"/>
        <cfvo type="num" val="1.05"/>
      </iconSet>
    </cfRule>
  </conditionalFormatting>
  <conditionalFormatting sqref="N301">
    <cfRule type="cellIs" dxfId="2255" priority="3014" operator="lessThan">
      <formula>0</formula>
    </cfRule>
    <cfRule type="cellIs" dxfId="2254" priority="3015" operator="greaterThan">
      <formula>0</formula>
    </cfRule>
  </conditionalFormatting>
  <conditionalFormatting sqref="F301">
    <cfRule type="cellIs" dxfId="2253" priority="3012" operator="lessThan">
      <formula>0</formula>
    </cfRule>
    <cfRule type="cellIs" dxfId="2252" priority="3013" operator="greaterThan">
      <formula>0</formula>
    </cfRule>
  </conditionalFormatting>
  <conditionalFormatting sqref="U301">
    <cfRule type="iconSet" priority="3017">
      <iconSet iconSet="3Symbols" showValue="0" reverse="1">
        <cfvo type="percent" val="0"/>
        <cfvo type="num" val="1"/>
        <cfvo type="num" val="1.05"/>
      </iconSet>
    </cfRule>
  </conditionalFormatting>
  <conditionalFormatting sqref="P301">
    <cfRule type="iconSet" priority="3018">
      <iconSet iconSet="3Symbols" showValue="0" reverse="1">
        <cfvo type="percent" val="0"/>
        <cfvo type="num" val="1"/>
        <cfvo type="num" val="1.05"/>
      </iconSet>
    </cfRule>
  </conditionalFormatting>
  <conditionalFormatting sqref="Q300">
    <cfRule type="iconSet" priority="3009">
      <iconSet iconSet="3Symbols" showValue="0" reverse="1">
        <cfvo type="percent" val="0"/>
        <cfvo type="num" val="1"/>
        <cfvo type="num" val="1.05"/>
      </iconSet>
    </cfRule>
  </conditionalFormatting>
  <conditionalFormatting sqref="N300">
    <cfRule type="cellIs" dxfId="2251" priority="3007" operator="lessThan">
      <formula>0</formula>
    </cfRule>
    <cfRule type="cellIs" dxfId="2250" priority="3008" operator="greaterThan">
      <formula>0</formula>
    </cfRule>
  </conditionalFormatting>
  <conditionalFormatting sqref="F300">
    <cfRule type="cellIs" dxfId="2249" priority="3005" operator="lessThan">
      <formula>0</formula>
    </cfRule>
    <cfRule type="cellIs" dxfId="2248" priority="3006" operator="greaterThan">
      <formula>0</formula>
    </cfRule>
  </conditionalFormatting>
  <conditionalFormatting sqref="U300">
    <cfRule type="iconSet" priority="3010">
      <iconSet iconSet="3Symbols" showValue="0" reverse="1">
        <cfvo type="percent" val="0"/>
        <cfvo type="num" val="1"/>
        <cfvo type="num" val="1.05"/>
      </iconSet>
    </cfRule>
  </conditionalFormatting>
  <conditionalFormatting sqref="P300">
    <cfRule type="iconSet" priority="3011">
      <iconSet iconSet="3Symbols" showValue="0" reverse="1">
        <cfvo type="percent" val="0"/>
        <cfvo type="num" val="1"/>
        <cfvo type="num" val="1.05"/>
      </iconSet>
    </cfRule>
  </conditionalFormatting>
  <conditionalFormatting sqref="Q299">
    <cfRule type="iconSet" priority="3002">
      <iconSet iconSet="3Symbols" showValue="0" reverse="1">
        <cfvo type="percent" val="0"/>
        <cfvo type="num" val="1"/>
        <cfvo type="num" val="1.05"/>
      </iconSet>
    </cfRule>
  </conditionalFormatting>
  <conditionalFormatting sqref="N299">
    <cfRule type="cellIs" dxfId="2247" priority="3000" operator="lessThan">
      <formula>0</formula>
    </cfRule>
    <cfRule type="cellIs" dxfId="2246" priority="3001" operator="greaterThan">
      <formula>0</formula>
    </cfRule>
  </conditionalFormatting>
  <conditionalFormatting sqref="F299">
    <cfRule type="cellIs" dxfId="2245" priority="2998" operator="lessThan">
      <formula>0</formula>
    </cfRule>
    <cfRule type="cellIs" dxfId="2244" priority="2999" operator="greaterThan">
      <formula>0</formula>
    </cfRule>
  </conditionalFormatting>
  <conditionalFormatting sqref="U299">
    <cfRule type="iconSet" priority="3003">
      <iconSet iconSet="3Symbols" showValue="0" reverse="1">
        <cfvo type="percent" val="0"/>
        <cfvo type="num" val="1"/>
        <cfvo type="num" val="1.05"/>
      </iconSet>
    </cfRule>
  </conditionalFormatting>
  <conditionalFormatting sqref="P299">
    <cfRule type="iconSet" priority="3004">
      <iconSet iconSet="3Symbols" showValue="0" reverse="1">
        <cfvo type="percent" val="0"/>
        <cfvo type="num" val="1"/>
        <cfvo type="num" val="1.05"/>
      </iconSet>
    </cfRule>
  </conditionalFormatting>
  <conditionalFormatting sqref="Q298">
    <cfRule type="iconSet" priority="2995">
      <iconSet iconSet="3Symbols" showValue="0" reverse="1">
        <cfvo type="percent" val="0"/>
        <cfvo type="num" val="1"/>
        <cfvo type="num" val="1.05"/>
      </iconSet>
    </cfRule>
  </conditionalFormatting>
  <conditionalFormatting sqref="N298">
    <cfRule type="cellIs" dxfId="2243" priority="2993" operator="lessThan">
      <formula>0</formula>
    </cfRule>
    <cfRule type="cellIs" dxfId="2242" priority="2994" operator="greaterThan">
      <formula>0</formula>
    </cfRule>
  </conditionalFormatting>
  <conditionalFormatting sqref="F298">
    <cfRule type="cellIs" dxfId="2241" priority="2991" operator="lessThan">
      <formula>0</formula>
    </cfRule>
    <cfRule type="cellIs" dxfId="2240" priority="2992" operator="greaterThan">
      <formula>0</formula>
    </cfRule>
  </conditionalFormatting>
  <conditionalFormatting sqref="U298">
    <cfRule type="iconSet" priority="2996">
      <iconSet iconSet="3Symbols" showValue="0" reverse="1">
        <cfvo type="percent" val="0"/>
        <cfvo type="num" val="1"/>
        <cfvo type="num" val="1.05"/>
      </iconSet>
    </cfRule>
  </conditionalFormatting>
  <conditionalFormatting sqref="P298">
    <cfRule type="iconSet" priority="2997">
      <iconSet iconSet="3Symbols" showValue="0" reverse="1">
        <cfvo type="percent" val="0"/>
        <cfvo type="num" val="1"/>
        <cfvo type="num" val="1.05"/>
      </iconSet>
    </cfRule>
  </conditionalFormatting>
  <conditionalFormatting sqref="Q297">
    <cfRule type="iconSet" priority="2988">
      <iconSet iconSet="3Symbols" showValue="0" reverse="1">
        <cfvo type="percent" val="0"/>
        <cfvo type="num" val="1"/>
        <cfvo type="num" val="1.05"/>
      </iconSet>
    </cfRule>
  </conditionalFormatting>
  <conditionalFormatting sqref="N297">
    <cfRule type="cellIs" dxfId="2239" priority="2986" operator="lessThan">
      <formula>0</formula>
    </cfRule>
    <cfRule type="cellIs" dxfId="2238" priority="2987" operator="greaterThan">
      <formula>0</formula>
    </cfRule>
  </conditionalFormatting>
  <conditionalFormatting sqref="F297">
    <cfRule type="cellIs" dxfId="2237" priority="2984" operator="lessThan">
      <formula>0</formula>
    </cfRule>
    <cfRule type="cellIs" dxfId="2236" priority="2985" operator="greaterThan">
      <formula>0</formula>
    </cfRule>
  </conditionalFormatting>
  <conditionalFormatting sqref="U297">
    <cfRule type="iconSet" priority="2989">
      <iconSet iconSet="3Symbols" showValue="0" reverse="1">
        <cfvo type="percent" val="0"/>
        <cfvo type="num" val="1"/>
        <cfvo type="num" val="1.05"/>
      </iconSet>
    </cfRule>
  </conditionalFormatting>
  <conditionalFormatting sqref="P297">
    <cfRule type="iconSet" priority="2990">
      <iconSet iconSet="3Symbols" showValue="0" reverse="1">
        <cfvo type="percent" val="0"/>
        <cfvo type="num" val="1"/>
        <cfvo type="num" val="1.05"/>
      </iconSet>
    </cfRule>
  </conditionalFormatting>
  <conditionalFormatting sqref="Q296">
    <cfRule type="iconSet" priority="2981">
      <iconSet iconSet="3Symbols" showValue="0" reverse="1">
        <cfvo type="percent" val="0"/>
        <cfvo type="num" val="1"/>
        <cfvo type="num" val="1.05"/>
      </iconSet>
    </cfRule>
  </conditionalFormatting>
  <conditionalFormatting sqref="N296">
    <cfRule type="cellIs" dxfId="2235" priority="2979" operator="lessThan">
      <formula>0</formula>
    </cfRule>
    <cfRule type="cellIs" dxfId="2234" priority="2980" operator="greaterThan">
      <formula>0</formula>
    </cfRule>
  </conditionalFormatting>
  <conditionalFormatting sqref="F296">
    <cfRule type="cellIs" dxfId="2233" priority="2977" operator="lessThan">
      <formula>0</formula>
    </cfRule>
    <cfRule type="cellIs" dxfId="2232" priority="2978" operator="greaterThan">
      <formula>0</formula>
    </cfRule>
  </conditionalFormatting>
  <conditionalFormatting sqref="U296">
    <cfRule type="iconSet" priority="2982">
      <iconSet iconSet="3Symbols" showValue="0" reverse="1">
        <cfvo type="percent" val="0"/>
        <cfvo type="num" val="1"/>
        <cfvo type="num" val="1.05"/>
      </iconSet>
    </cfRule>
  </conditionalFormatting>
  <conditionalFormatting sqref="P296">
    <cfRule type="iconSet" priority="2983">
      <iconSet iconSet="3Symbols" showValue="0" reverse="1">
        <cfvo type="percent" val="0"/>
        <cfvo type="num" val="1"/>
        <cfvo type="num" val="1.05"/>
      </iconSet>
    </cfRule>
  </conditionalFormatting>
  <conditionalFormatting sqref="Q295">
    <cfRule type="iconSet" priority="2974">
      <iconSet iconSet="3Symbols" showValue="0" reverse="1">
        <cfvo type="percent" val="0"/>
        <cfvo type="num" val="1"/>
        <cfvo type="num" val="1.05"/>
      </iconSet>
    </cfRule>
  </conditionalFormatting>
  <conditionalFormatting sqref="N295">
    <cfRule type="cellIs" dxfId="2231" priority="2972" operator="lessThan">
      <formula>0</formula>
    </cfRule>
    <cfRule type="cellIs" dxfId="2230" priority="2973" operator="greaterThan">
      <formula>0</formula>
    </cfRule>
  </conditionalFormatting>
  <conditionalFormatting sqref="F295">
    <cfRule type="cellIs" dxfId="2229" priority="2970" operator="lessThan">
      <formula>0</formula>
    </cfRule>
    <cfRule type="cellIs" dxfId="2228" priority="2971" operator="greaterThan">
      <formula>0</formula>
    </cfRule>
  </conditionalFormatting>
  <conditionalFormatting sqref="U295">
    <cfRule type="iconSet" priority="2975">
      <iconSet iconSet="3Symbols" showValue="0" reverse="1">
        <cfvo type="percent" val="0"/>
        <cfvo type="num" val="1"/>
        <cfvo type="num" val="1.05"/>
      </iconSet>
    </cfRule>
  </conditionalFormatting>
  <conditionalFormatting sqref="P295">
    <cfRule type="iconSet" priority="2976">
      <iconSet iconSet="3Symbols" showValue="0" reverse="1">
        <cfvo type="percent" val="0"/>
        <cfvo type="num" val="1"/>
        <cfvo type="num" val="1.05"/>
      </iconSet>
    </cfRule>
  </conditionalFormatting>
  <conditionalFormatting sqref="Q293:Q294">
    <cfRule type="iconSet" priority="2967">
      <iconSet iconSet="3Symbols" showValue="0" reverse="1">
        <cfvo type="percent" val="0"/>
        <cfvo type="num" val="1"/>
        <cfvo type="num" val="1.05"/>
      </iconSet>
    </cfRule>
  </conditionalFormatting>
  <conditionalFormatting sqref="N293:N294">
    <cfRule type="cellIs" dxfId="2227" priority="2965" operator="lessThan">
      <formula>0</formula>
    </cfRule>
    <cfRule type="cellIs" dxfId="2226" priority="2966" operator="greaterThan">
      <formula>0</formula>
    </cfRule>
  </conditionalFormatting>
  <conditionalFormatting sqref="F293:F294">
    <cfRule type="cellIs" dxfId="2225" priority="2963" operator="lessThan">
      <formula>0</formula>
    </cfRule>
    <cfRule type="cellIs" dxfId="2224" priority="2964" operator="greaterThan">
      <formula>0</formula>
    </cfRule>
  </conditionalFormatting>
  <conditionalFormatting sqref="U293:U294">
    <cfRule type="iconSet" priority="2968">
      <iconSet iconSet="3Symbols" showValue="0" reverse="1">
        <cfvo type="percent" val="0"/>
        <cfvo type="num" val="1"/>
        <cfvo type="num" val="1.05"/>
      </iconSet>
    </cfRule>
  </conditionalFormatting>
  <conditionalFormatting sqref="P293:P294">
    <cfRule type="iconSet" priority="2969">
      <iconSet iconSet="3Symbols" showValue="0" reverse="1">
        <cfvo type="percent" val="0"/>
        <cfvo type="num" val="1"/>
        <cfvo type="num" val="1.05"/>
      </iconSet>
    </cfRule>
  </conditionalFormatting>
  <conditionalFormatting sqref="Q292">
    <cfRule type="iconSet" priority="2960">
      <iconSet iconSet="3Symbols" showValue="0" reverse="1">
        <cfvo type="percent" val="0"/>
        <cfvo type="num" val="1"/>
        <cfvo type="num" val="1.05"/>
      </iconSet>
    </cfRule>
  </conditionalFormatting>
  <conditionalFormatting sqref="N292">
    <cfRule type="cellIs" dxfId="2223" priority="2958" operator="lessThan">
      <formula>0</formula>
    </cfRule>
    <cfRule type="cellIs" dxfId="2222" priority="2959" operator="greaterThan">
      <formula>0</formula>
    </cfRule>
  </conditionalFormatting>
  <conditionalFormatting sqref="F292">
    <cfRule type="cellIs" dxfId="2221" priority="2956" operator="lessThan">
      <formula>0</formula>
    </cfRule>
    <cfRule type="cellIs" dxfId="2220" priority="2957" operator="greaterThan">
      <formula>0</formula>
    </cfRule>
  </conditionalFormatting>
  <conditionalFormatting sqref="U292">
    <cfRule type="iconSet" priority="2961">
      <iconSet iconSet="3Symbols" showValue="0" reverse="1">
        <cfvo type="percent" val="0"/>
        <cfvo type="num" val="1"/>
        <cfvo type="num" val="1.05"/>
      </iconSet>
    </cfRule>
  </conditionalFormatting>
  <conditionalFormatting sqref="P292">
    <cfRule type="iconSet" priority="2962">
      <iconSet iconSet="3Symbols" showValue="0" reverse="1">
        <cfvo type="percent" val="0"/>
        <cfvo type="num" val="1"/>
        <cfvo type="num" val="1.05"/>
      </iconSet>
    </cfRule>
  </conditionalFormatting>
  <conditionalFormatting sqref="Q291">
    <cfRule type="iconSet" priority="2953">
      <iconSet iconSet="3Symbols" showValue="0" reverse="1">
        <cfvo type="percent" val="0"/>
        <cfvo type="num" val="1"/>
        <cfvo type="num" val="1.05"/>
      </iconSet>
    </cfRule>
  </conditionalFormatting>
  <conditionalFormatting sqref="N291">
    <cfRule type="cellIs" dxfId="2219" priority="2951" operator="lessThan">
      <formula>0</formula>
    </cfRule>
    <cfRule type="cellIs" dxfId="2218" priority="2952" operator="greaterThan">
      <formula>0</formula>
    </cfRule>
  </conditionalFormatting>
  <conditionalFormatting sqref="F291">
    <cfRule type="cellIs" dxfId="2217" priority="2949" operator="lessThan">
      <formula>0</formula>
    </cfRule>
    <cfRule type="cellIs" dxfId="2216" priority="2950" operator="greaterThan">
      <formula>0</formula>
    </cfRule>
  </conditionalFormatting>
  <conditionalFormatting sqref="U291">
    <cfRule type="iconSet" priority="2954">
      <iconSet iconSet="3Symbols" showValue="0" reverse="1">
        <cfvo type="percent" val="0"/>
        <cfvo type="num" val="1"/>
        <cfvo type="num" val="1.05"/>
      </iconSet>
    </cfRule>
  </conditionalFormatting>
  <conditionalFormatting sqref="P291">
    <cfRule type="iconSet" priority="2955">
      <iconSet iconSet="3Symbols" showValue="0" reverse="1">
        <cfvo type="percent" val="0"/>
        <cfvo type="num" val="1"/>
        <cfvo type="num" val="1.05"/>
      </iconSet>
    </cfRule>
  </conditionalFormatting>
  <conditionalFormatting sqref="Q290">
    <cfRule type="iconSet" priority="2946">
      <iconSet iconSet="3Symbols" showValue="0" reverse="1">
        <cfvo type="percent" val="0"/>
        <cfvo type="num" val="1"/>
        <cfvo type="num" val="1.05"/>
      </iconSet>
    </cfRule>
  </conditionalFormatting>
  <conditionalFormatting sqref="N290">
    <cfRule type="cellIs" dxfId="2215" priority="2944" operator="lessThan">
      <formula>0</formula>
    </cfRule>
    <cfRule type="cellIs" dxfId="2214" priority="2945" operator="greaterThan">
      <formula>0</formula>
    </cfRule>
  </conditionalFormatting>
  <conditionalFormatting sqref="F290">
    <cfRule type="cellIs" dxfId="2213" priority="2942" operator="lessThan">
      <formula>0</formula>
    </cfRule>
    <cfRule type="cellIs" dxfId="2212" priority="2943" operator="greaterThan">
      <formula>0</formula>
    </cfRule>
  </conditionalFormatting>
  <conditionalFormatting sqref="U290">
    <cfRule type="iconSet" priority="2947">
      <iconSet iconSet="3Symbols" showValue="0" reverse="1">
        <cfvo type="percent" val="0"/>
        <cfvo type="num" val="1"/>
        <cfvo type="num" val="1.05"/>
      </iconSet>
    </cfRule>
  </conditionalFormatting>
  <conditionalFormatting sqref="P290">
    <cfRule type="iconSet" priority="2948">
      <iconSet iconSet="3Symbols" showValue="0" reverse="1">
        <cfvo type="percent" val="0"/>
        <cfvo type="num" val="1"/>
        <cfvo type="num" val="1.05"/>
      </iconSet>
    </cfRule>
  </conditionalFormatting>
  <conditionalFormatting sqref="Q289">
    <cfRule type="iconSet" priority="2939">
      <iconSet iconSet="3Symbols" showValue="0" reverse="1">
        <cfvo type="percent" val="0"/>
        <cfvo type="num" val="1"/>
        <cfvo type="num" val="1.05"/>
      </iconSet>
    </cfRule>
  </conditionalFormatting>
  <conditionalFormatting sqref="N289">
    <cfRule type="cellIs" dxfId="2211" priority="2937" operator="lessThan">
      <formula>0</formula>
    </cfRule>
    <cfRule type="cellIs" dxfId="2210" priority="2938" operator="greaterThan">
      <formula>0</formula>
    </cfRule>
  </conditionalFormatting>
  <conditionalFormatting sqref="F289">
    <cfRule type="cellIs" dxfId="2209" priority="2935" operator="lessThan">
      <formula>0</formula>
    </cfRule>
    <cfRule type="cellIs" dxfId="2208" priority="2936" operator="greaterThan">
      <formula>0</formula>
    </cfRule>
  </conditionalFormatting>
  <conditionalFormatting sqref="U289">
    <cfRule type="iconSet" priority="2940">
      <iconSet iconSet="3Symbols" showValue="0" reverse="1">
        <cfvo type="percent" val="0"/>
        <cfvo type="num" val="1"/>
        <cfvo type="num" val="1.05"/>
      </iconSet>
    </cfRule>
  </conditionalFormatting>
  <conditionalFormatting sqref="P289">
    <cfRule type="iconSet" priority="2941">
      <iconSet iconSet="3Symbols" showValue="0" reverse="1">
        <cfvo type="percent" val="0"/>
        <cfvo type="num" val="1"/>
        <cfvo type="num" val="1.05"/>
      </iconSet>
    </cfRule>
  </conditionalFormatting>
  <conditionalFormatting sqref="Q288">
    <cfRule type="iconSet" priority="2932">
      <iconSet iconSet="3Symbols" showValue="0" reverse="1">
        <cfvo type="percent" val="0"/>
        <cfvo type="num" val="1"/>
        <cfvo type="num" val="1.05"/>
      </iconSet>
    </cfRule>
  </conditionalFormatting>
  <conditionalFormatting sqref="N288">
    <cfRule type="cellIs" dxfId="2207" priority="2930" operator="lessThan">
      <formula>0</formula>
    </cfRule>
    <cfRule type="cellIs" dxfId="2206" priority="2931" operator="greaterThan">
      <formula>0</formula>
    </cfRule>
  </conditionalFormatting>
  <conditionalFormatting sqref="F288">
    <cfRule type="cellIs" dxfId="2205" priority="2928" operator="lessThan">
      <formula>0</formula>
    </cfRule>
    <cfRule type="cellIs" dxfId="2204" priority="2929" operator="greaterThan">
      <formula>0</formula>
    </cfRule>
  </conditionalFormatting>
  <conditionalFormatting sqref="U288">
    <cfRule type="iconSet" priority="2933">
      <iconSet iconSet="3Symbols" showValue="0" reverse="1">
        <cfvo type="percent" val="0"/>
        <cfvo type="num" val="1"/>
        <cfvo type="num" val="1.05"/>
      </iconSet>
    </cfRule>
  </conditionalFormatting>
  <conditionalFormatting sqref="P288">
    <cfRule type="iconSet" priority="2934">
      <iconSet iconSet="3Symbols" showValue="0" reverse="1">
        <cfvo type="percent" val="0"/>
        <cfvo type="num" val="1"/>
        <cfvo type="num" val="1.05"/>
      </iconSet>
    </cfRule>
  </conditionalFormatting>
  <conditionalFormatting sqref="Q287">
    <cfRule type="iconSet" priority="2925">
      <iconSet iconSet="3Symbols" showValue="0" reverse="1">
        <cfvo type="percent" val="0"/>
        <cfvo type="num" val="1"/>
        <cfvo type="num" val="1.05"/>
      </iconSet>
    </cfRule>
  </conditionalFormatting>
  <conditionalFormatting sqref="N287">
    <cfRule type="cellIs" dxfId="2203" priority="2923" operator="lessThan">
      <formula>0</formula>
    </cfRule>
    <cfRule type="cellIs" dxfId="2202" priority="2924" operator="greaterThan">
      <formula>0</formula>
    </cfRule>
  </conditionalFormatting>
  <conditionalFormatting sqref="F287">
    <cfRule type="cellIs" dxfId="2201" priority="2921" operator="lessThan">
      <formula>0</formula>
    </cfRule>
    <cfRule type="cellIs" dxfId="2200" priority="2922" operator="greaterThan">
      <formula>0</formula>
    </cfRule>
  </conditionalFormatting>
  <conditionalFormatting sqref="U287">
    <cfRule type="iconSet" priority="2926">
      <iconSet iconSet="3Symbols" showValue="0" reverse="1">
        <cfvo type="percent" val="0"/>
        <cfvo type="num" val="1"/>
        <cfvo type="num" val="1.05"/>
      </iconSet>
    </cfRule>
  </conditionalFormatting>
  <conditionalFormatting sqref="P287">
    <cfRule type="iconSet" priority="2927">
      <iconSet iconSet="3Symbols" showValue="0" reverse="1">
        <cfvo type="percent" val="0"/>
        <cfvo type="num" val="1"/>
        <cfvo type="num" val="1.05"/>
      </iconSet>
    </cfRule>
  </conditionalFormatting>
  <conditionalFormatting sqref="Q286">
    <cfRule type="iconSet" priority="2918">
      <iconSet iconSet="3Symbols" showValue="0" reverse="1">
        <cfvo type="percent" val="0"/>
        <cfvo type="num" val="1"/>
        <cfvo type="num" val="1.05"/>
      </iconSet>
    </cfRule>
  </conditionalFormatting>
  <conditionalFormatting sqref="N286">
    <cfRule type="cellIs" dxfId="2199" priority="2916" operator="lessThan">
      <formula>0</formula>
    </cfRule>
    <cfRule type="cellIs" dxfId="2198" priority="2917" operator="greaterThan">
      <formula>0</formula>
    </cfRule>
  </conditionalFormatting>
  <conditionalFormatting sqref="F286">
    <cfRule type="cellIs" dxfId="2197" priority="2914" operator="lessThan">
      <formula>0</formula>
    </cfRule>
    <cfRule type="cellIs" dxfId="2196" priority="2915" operator="greaterThan">
      <formula>0</formula>
    </cfRule>
  </conditionalFormatting>
  <conditionalFormatting sqref="U286">
    <cfRule type="iconSet" priority="2919">
      <iconSet iconSet="3Symbols" showValue="0" reverse="1">
        <cfvo type="percent" val="0"/>
        <cfvo type="num" val="1"/>
        <cfvo type="num" val="1.05"/>
      </iconSet>
    </cfRule>
  </conditionalFormatting>
  <conditionalFormatting sqref="P286">
    <cfRule type="iconSet" priority="2920">
      <iconSet iconSet="3Symbols" showValue="0" reverse="1">
        <cfvo type="percent" val="0"/>
        <cfvo type="num" val="1"/>
        <cfvo type="num" val="1.05"/>
      </iconSet>
    </cfRule>
  </conditionalFormatting>
  <conditionalFormatting sqref="Q284:Q285">
    <cfRule type="iconSet" priority="2911">
      <iconSet iconSet="3Symbols" showValue="0" reverse="1">
        <cfvo type="percent" val="0"/>
        <cfvo type="num" val="1"/>
        <cfvo type="num" val="1.05"/>
      </iconSet>
    </cfRule>
  </conditionalFormatting>
  <conditionalFormatting sqref="N284:N285">
    <cfRule type="cellIs" dxfId="2195" priority="2909" operator="lessThan">
      <formula>0</formula>
    </cfRule>
    <cfRule type="cellIs" dxfId="2194" priority="2910" operator="greaterThan">
      <formula>0</formula>
    </cfRule>
  </conditionalFormatting>
  <conditionalFormatting sqref="F284:F285">
    <cfRule type="cellIs" dxfId="2193" priority="2907" operator="lessThan">
      <formula>0</formula>
    </cfRule>
    <cfRule type="cellIs" dxfId="2192" priority="2908" operator="greaterThan">
      <formula>0</formula>
    </cfRule>
  </conditionalFormatting>
  <conditionalFormatting sqref="U284:U285">
    <cfRule type="iconSet" priority="2912">
      <iconSet iconSet="3Symbols" showValue="0" reverse="1">
        <cfvo type="percent" val="0"/>
        <cfvo type="num" val="1"/>
        <cfvo type="num" val="1.05"/>
      </iconSet>
    </cfRule>
  </conditionalFormatting>
  <conditionalFormatting sqref="P284:P285">
    <cfRule type="iconSet" priority="2913">
      <iconSet iconSet="3Symbols" showValue="0" reverse="1">
        <cfvo type="percent" val="0"/>
        <cfvo type="num" val="1"/>
        <cfvo type="num" val="1.05"/>
      </iconSet>
    </cfRule>
  </conditionalFormatting>
  <conditionalFormatting sqref="Q283">
    <cfRule type="iconSet" priority="2904">
      <iconSet iconSet="3Symbols" showValue="0" reverse="1">
        <cfvo type="percent" val="0"/>
        <cfvo type="num" val="1"/>
        <cfvo type="num" val="1.05"/>
      </iconSet>
    </cfRule>
  </conditionalFormatting>
  <conditionalFormatting sqref="N283">
    <cfRule type="cellIs" dxfId="2191" priority="2902" operator="lessThan">
      <formula>0</formula>
    </cfRule>
    <cfRule type="cellIs" dxfId="2190" priority="2903" operator="greaterThan">
      <formula>0</formula>
    </cfRule>
  </conditionalFormatting>
  <conditionalFormatting sqref="F283">
    <cfRule type="cellIs" dxfId="2189" priority="2900" operator="lessThan">
      <formula>0</formula>
    </cfRule>
    <cfRule type="cellIs" dxfId="2188" priority="2901" operator="greaterThan">
      <formula>0</formula>
    </cfRule>
  </conditionalFormatting>
  <conditionalFormatting sqref="U283">
    <cfRule type="iconSet" priority="2905">
      <iconSet iconSet="3Symbols" showValue="0" reverse="1">
        <cfvo type="percent" val="0"/>
        <cfvo type="num" val="1"/>
        <cfvo type="num" val="1.05"/>
      </iconSet>
    </cfRule>
  </conditionalFormatting>
  <conditionalFormatting sqref="P283">
    <cfRule type="iconSet" priority="2906">
      <iconSet iconSet="3Symbols" showValue="0" reverse="1">
        <cfvo type="percent" val="0"/>
        <cfvo type="num" val="1"/>
        <cfvo type="num" val="1.05"/>
      </iconSet>
    </cfRule>
  </conditionalFormatting>
  <conditionalFormatting sqref="Q282">
    <cfRule type="iconSet" priority="2897">
      <iconSet iconSet="3Symbols" showValue="0" reverse="1">
        <cfvo type="percent" val="0"/>
        <cfvo type="num" val="1"/>
        <cfvo type="num" val="1.05"/>
      </iconSet>
    </cfRule>
  </conditionalFormatting>
  <conditionalFormatting sqref="N282">
    <cfRule type="cellIs" dxfId="2187" priority="2895" operator="lessThan">
      <formula>0</formula>
    </cfRule>
    <cfRule type="cellIs" dxfId="2186" priority="2896" operator="greaterThan">
      <formula>0</formula>
    </cfRule>
  </conditionalFormatting>
  <conditionalFormatting sqref="F282">
    <cfRule type="cellIs" dxfId="2185" priority="2893" operator="lessThan">
      <formula>0</formula>
    </cfRule>
    <cfRule type="cellIs" dxfId="2184" priority="2894" operator="greaterThan">
      <formula>0</formula>
    </cfRule>
  </conditionalFormatting>
  <conditionalFormatting sqref="U282">
    <cfRule type="iconSet" priority="2898">
      <iconSet iconSet="3Symbols" showValue="0" reverse="1">
        <cfvo type="percent" val="0"/>
        <cfvo type="num" val="1"/>
        <cfvo type="num" val="1.05"/>
      </iconSet>
    </cfRule>
  </conditionalFormatting>
  <conditionalFormatting sqref="P282">
    <cfRule type="iconSet" priority="2899">
      <iconSet iconSet="3Symbols" showValue="0" reverse="1">
        <cfvo type="percent" val="0"/>
        <cfvo type="num" val="1"/>
        <cfvo type="num" val="1.05"/>
      </iconSet>
    </cfRule>
  </conditionalFormatting>
  <conditionalFormatting sqref="Q281">
    <cfRule type="iconSet" priority="2890">
      <iconSet iconSet="3Symbols" showValue="0" reverse="1">
        <cfvo type="percent" val="0"/>
        <cfvo type="num" val="1"/>
        <cfvo type="num" val="1.05"/>
      </iconSet>
    </cfRule>
  </conditionalFormatting>
  <conditionalFormatting sqref="N281">
    <cfRule type="cellIs" dxfId="2183" priority="2888" operator="lessThan">
      <formula>0</formula>
    </cfRule>
    <cfRule type="cellIs" dxfId="2182" priority="2889" operator="greaterThan">
      <formula>0</formula>
    </cfRule>
  </conditionalFormatting>
  <conditionalFormatting sqref="F281">
    <cfRule type="cellIs" dxfId="2181" priority="2886" operator="lessThan">
      <formula>0</formula>
    </cfRule>
    <cfRule type="cellIs" dxfId="2180" priority="2887" operator="greaterThan">
      <formula>0</formula>
    </cfRule>
  </conditionalFormatting>
  <conditionalFormatting sqref="U281">
    <cfRule type="iconSet" priority="2891">
      <iconSet iconSet="3Symbols" showValue="0" reverse="1">
        <cfvo type="percent" val="0"/>
        <cfvo type="num" val="1"/>
        <cfvo type="num" val="1.05"/>
      </iconSet>
    </cfRule>
  </conditionalFormatting>
  <conditionalFormatting sqref="P281">
    <cfRule type="iconSet" priority="2892">
      <iconSet iconSet="3Symbols" showValue="0" reverse="1">
        <cfvo type="percent" val="0"/>
        <cfvo type="num" val="1"/>
        <cfvo type="num" val="1.05"/>
      </iconSet>
    </cfRule>
  </conditionalFormatting>
  <conditionalFormatting sqref="Q280">
    <cfRule type="iconSet" priority="2883">
      <iconSet iconSet="3Symbols" showValue="0" reverse="1">
        <cfvo type="percent" val="0"/>
        <cfvo type="num" val="1"/>
        <cfvo type="num" val="1.05"/>
      </iconSet>
    </cfRule>
  </conditionalFormatting>
  <conditionalFormatting sqref="N280">
    <cfRule type="cellIs" dxfId="2179" priority="2881" operator="lessThan">
      <formula>0</formula>
    </cfRule>
    <cfRule type="cellIs" dxfId="2178" priority="2882" operator="greaterThan">
      <formula>0</formula>
    </cfRule>
  </conditionalFormatting>
  <conditionalFormatting sqref="F280">
    <cfRule type="cellIs" dxfId="2177" priority="2879" operator="lessThan">
      <formula>0</formula>
    </cfRule>
    <cfRule type="cellIs" dxfId="2176" priority="2880" operator="greaterThan">
      <formula>0</formula>
    </cfRule>
  </conditionalFormatting>
  <conditionalFormatting sqref="U280">
    <cfRule type="iconSet" priority="2884">
      <iconSet iconSet="3Symbols" showValue="0" reverse="1">
        <cfvo type="percent" val="0"/>
        <cfvo type="num" val="1"/>
        <cfvo type="num" val="1.05"/>
      </iconSet>
    </cfRule>
  </conditionalFormatting>
  <conditionalFormatting sqref="P280">
    <cfRule type="iconSet" priority="2885">
      <iconSet iconSet="3Symbols" showValue="0" reverse="1">
        <cfvo type="percent" val="0"/>
        <cfvo type="num" val="1"/>
        <cfvo type="num" val="1.05"/>
      </iconSet>
    </cfRule>
  </conditionalFormatting>
  <conditionalFormatting sqref="Q279">
    <cfRule type="iconSet" priority="2876">
      <iconSet iconSet="3Symbols" showValue="0" reverse="1">
        <cfvo type="percent" val="0"/>
        <cfvo type="num" val="1"/>
        <cfvo type="num" val="1.05"/>
      </iconSet>
    </cfRule>
  </conditionalFormatting>
  <conditionalFormatting sqref="N279">
    <cfRule type="cellIs" dxfId="2175" priority="2874" operator="lessThan">
      <formula>0</formula>
    </cfRule>
    <cfRule type="cellIs" dxfId="2174" priority="2875" operator="greaterThan">
      <formula>0</formula>
    </cfRule>
  </conditionalFormatting>
  <conditionalFormatting sqref="F279">
    <cfRule type="cellIs" dxfId="2173" priority="2872" operator="lessThan">
      <formula>0</formula>
    </cfRule>
    <cfRule type="cellIs" dxfId="2172" priority="2873" operator="greaterThan">
      <formula>0</formula>
    </cfRule>
  </conditionalFormatting>
  <conditionalFormatting sqref="U279">
    <cfRule type="iconSet" priority="2877">
      <iconSet iconSet="3Symbols" showValue="0" reverse="1">
        <cfvo type="percent" val="0"/>
        <cfvo type="num" val="1"/>
        <cfvo type="num" val="1.05"/>
      </iconSet>
    </cfRule>
  </conditionalFormatting>
  <conditionalFormatting sqref="P279">
    <cfRule type="iconSet" priority="2878">
      <iconSet iconSet="3Symbols" showValue="0" reverse="1">
        <cfvo type="percent" val="0"/>
        <cfvo type="num" val="1"/>
        <cfvo type="num" val="1.05"/>
      </iconSet>
    </cfRule>
  </conditionalFormatting>
  <conditionalFormatting sqref="Q278">
    <cfRule type="iconSet" priority="2869">
      <iconSet iconSet="3Symbols" showValue="0" reverse="1">
        <cfvo type="percent" val="0"/>
        <cfvo type="num" val="1"/>
        <cfvo type="num" val="1.05"/>
      </iconSet>
    </cfRule>
  </conditionalFormatting>
  <conditionalFormatting sqref="N278">
    <cfRule type="cellIs" dxfId="2171" priority="2867" operator="lessThan">
      <formula>0</formula>
    </cfRule>
    <cfRule type="cellIs" dxfId="2170" priority="2868" operator="greaterThan">
      <formula>0</formula>
    </cfRule>
  </conditionalFormatting>
  <conditionalFormatting sqref="F278">
    <cfRule type="cellIs" dxfId="2169" priority="2865" operator="lessThan">
      <formula>0</formula>
    </cfRule>
    <cfRule type="cellIs" dxfId="2168" priority="2866" operator="greaterThan">
      <formula>0</formula>
    </cfRule>
  </conditionalFormatting>
  <conditionalFormatting sqref="U278">
    <cfRule type="iconSet" priority="2870">
      <iconSet iconSet="3Symbols" showValue="0" reverse="1">
        <cfvo type="percent" val="0"/>
        <cfvo type="num" val="1"/>
        <cfvo type="num" val="1.05"/>
      </iconSet>
    </cfRule>
  </conditionalFormatting>
  <conditionalFormatting sqref="P278">
    <cfRule type="iconSet" priority="2871">
      <iconSet iconSet="3Symbols" showValue="0" reverse="1">
        <cfvo type="percent" val="0"/>
        <cfvo type="num" val="1"/>
        <cfvo type="num" val="1.05"/>
      </iconSet>
    </cfRule>
  </conditionalFormatting>
  <conditionalFormatting sqref="Q277">
    <cfRule type="iconSet" priority="2862">
      <iconSet iconSet="3Symbols" showValue="0" reverse="1">
        <cfvo type="percent" val="0"/>
        <cfvo type="num" val="1"/>
        <cfvo type="num" val="1.05"/>
      </iconSet>
    </cfRule>
  </conditionalFormatting>
  <conditionalFormatting sqref="N277">
    <cfRule type="cellIs" dxfId="2167" priority="2860" operator="lessThan">
      <formula>0</formula>
    </cfRule>
    <cfRule type="cellIs" dxfId="2166" priority="2861" operator="greaterThan">
      <formula>0</formula>
    </cfRule>
  </conditionalFormatting>
  <conditionalFormatting sqref="F277">
    <cfRule type="cellIs" dxfId="2165" priority="2858" operator="lessThan">
      <formula>0</formula>
    </cfRule>
    <cfRule type="cellIs" dxfId="2164" priority="2859" operator="greaterThan">
      <formula>0</formula>
    </cfRule>
  </conditionalFormatting>
  <conditionalFormatting sqref="U277">
    <cfRule type="iconSet" priority="2863">
      <iconSet iconSet="3Symbols" showValue="0" reverse="1">
        <cfvo type="percent" val="0"/>
        <cfvo type="num" val="1"/>
        <cfvo type="num" val="1.05"/>
      </iconSet>
    </cfRule>
  </conditionalFormatting>
  <conditionalFormatting sqref="P277">
    <cfRule type="iconSet" priority="2864">
      <iconSet iconSet="3Symbols" showValue="0" reverse="1">
        <cfvo type="percent" val="0"/>
        <cfvo type="num" val="1"/>
        <cfvo type="num" val="1.05"/>
      </iconSet>
    </cfRule>
  </conditionalFormatting>
  <conditionalFormatting sqref="Q275:Q276">
    <cfRule type="iconSet" priority="2855">
      <iconSet iconSet="3Symbols" showValue="0" reverse="1">
        <cfvo type="percent" val="0"/>
        <cfvo type="num" val="1"/>
        <cfvo type="num" val="1.05"/>
      </iconSet>
    </cfRule>
  </conditionalFormatting>
  <conditionalFormatting sqref="N275:N276">
    <cfRule type="cellIs" dxfId="2163" priority="2853" operator="lessThan">
      <formula>0</formula>
    </cfRule>
    <cfRule type="cellIs" dxfId="2162" priority="2854" operator="greaterThan">
      <formula>0</formula>
    </cfRule>
  </conditionalFormatting>
  <conditionalFormatting sqref="F275:F276">
    <cfRule type="cellIs" dxfId="2161" priority="2851" operator="lessThan">
      <formula>0</formula>
    </cfRule>
    <cfRule type="cellIs" dxfId="2160" priority="2852" operator="greaterThan">
      <formula>0</formula>
    </cfRule>
  </conditionalFormatting>
  <conditionalFormatting sqref="U275:U276">
    <cfRule type="iconSet" priority="2856">
      <iconSet iconSet="3Symbols" showValue="0" reverse="1">
        <cfvo type="percent" val="0"/>
        <cfvo type="num" val="1"/>
        <cfvo type="num" val="1.05"/>
      </iconSet>
    </cfRule>
  </conditionalFormatting>
  <conditionalFormatting sqref="P275:P276">
    <cfRule type="iconSet" priority="2857">
      <iconSet iconSet="3Symbols" showValue="0" reverse="1">
        <cfvo type="percent" val="0"/>
        <cfvo type="num" val="1"/>
        <cfvo type="num" val="1.05"/>
      </iconSet>
    </cfRule>
  </conditionalFormatting>
  <conditionalFormatting sqref="Q274">
    <cfRule type="iconSet" priority="2848">
      <iconSet iconSet="3Symbols" showValue="0" reverse="1">
        <cfvo type="percent" val="0"/>
        <cfvo type="num" val="1"/>
        <cfvo type="num" val="1.05"/>
      </iconSet>
    </cfRule>
  </conditionalFormatting>
  <conditionalFormatting sqref="N274">
    <cfRule type="cellIs" dxfId="2159" priority="2846" operator="lessThan">
      <formula>0</formula>
    </cfRule>
    <cfRule type="cellIs" dxfId="2158" priority="2847" operator="greaterThan">
      <formula>0</formula>
    </cfRule>
  </conditionalFormatting>
  <conditionalFormatting sqref="F274">
    <cfRule type="cellIs" dxfId="2157" priority="2844" operator="lessThan">
      <formula>0</formula>
    </cfRule>
    <cfRule type="cellIs" dxfId="2156" priority="2845" operator="greaterThan">
      <formula>0</formula>
    </cfRule>
  </conditionalFormatting>
  <conditionalFormatting sqref="U274">
    <cfRule type="iconSet" priority="2849">
      <iconSet iconSet="3Symbols" showValue="0" reverse="1">
        <cfvo type="percent" val="0"/>
        <cfvo type="num" val="1"/>
        <cfvo type="num" val="1.05"/>
      </iconSet>
    </cfRule>
  </conditionalFormatting>
  <conditionalFormatting sqref="P274">
    <cfRule type="iconSet" priority="2850">
      <iconSet iconSet="3Symbols" showValue="0" reverse="1">
        <cfvo type="percent" val="0"/>
        <cfvo type="num" val="1"/>
        <cfvo type="num" val="1.05"/>
      </iconSet>
    </cfRule>
  </conditionalFormatting>
  <conditionalFormatting sqref="Q273">
    <cfRule type="iconSet" priority="2841">
      <iconSet iconSet="3Symbols" showValue="0" reverse="1">
        <cfvo type="percent" val="0"/>
        <cfvo type="num" val="1"/>
        <cfvo type="num" val="1.05"/>
      </iconSet>
    </cfRule>
  </conditionalFormatting>
  <conditionalFormatting sqref="N273">
    <cfRule type="cellIs" dxfId="2155" priority="2839" operator="lessThan">
      <formula>0</formula>
    </cfRule>
    <cfRule type="cellIs" dxfId="2154" priority="2840" operator="greaterThan">
      <formula>0</formula>
    </cfRule>
  </conditionalFormatting>
  <conditionalFormatting sqref="F273">
    <cfRule type="cellIs" dxfId="2153" priority="2837" operator="lessThan">
      <formula>0</formula>
    </cfRule>
    <cfRule type="cellIs" dxfId="2152" priority="2838" operator="greaterThan">
      <formula>0</formula>
    </cfRule>
  </conditionalFormatting>
  <conditionalFormatting sqref="U273">
    <cfRule type="iconSet" priority="2842">
      <iconSet iconSet="3Symbols" showValue="0" reverse="1">
        <cfvo type="percent" val="0"/>
        <cfvo type="num" val="1"/>
        <cfvo type="num" val="1.05"/>
      </iconSet>
    </cfRule>
  </conditionalFormatting>
  <conditionalFormatting sqref="P273">
    <cfRule type="iconSet" priority="2843">
      <iconSet iconSet="3Symbols" showValue="0" reverse="1">
        <cfvo type="percent" val="0"/>
        <cfvo type="num" val="1"/>
        <cfvo type="num" val="1.05"/>
      </iconSet>
    </cfRule>
  </conditionalFormatting>
  <conditionalFormatting sqref="Q272">
    <cfRule type="iconSet" priority="2834">
      <iconSet iconSet="3Symbols" showValue="0" reverse="1">
        <cfvo type="percent" val="0"/>
        <cfvo type="num" val="1"/>
        <cfvo type="num" val="1.05"/>
      </iconSet>
    </cfRule>
  </conditionalFormatting>
  <conditionalFormatting sqref="N272">
    <cfRule type="cellIs" dxfId="2151" priority="2832" operator="lessThan">
      <formula>0</formula>
    </cfRule>
    <cfRule type="cellIs" dxfId="2150" priority="2833" operator="greaterThan">
      <formula>0</formula>
    </cfRule>
  </conditionalFormatting>
  <conditionalFormatting sqref="F272">
    <cfRule type="cellIs" dxfId="2149" priority="2830" operator="lessThan">
      <formula>0</formula>
    </cfRule>
    <cfRule type="cellIs" dxfId="2148" priority="2831" operator="greaterThan">
      <formula>0</formula>
    </cfRule>
  </conditionalFormatting>
  <conditionalFormatting sqref="U272">
    <cfRule type="iconSet" priority="2835">
      <iconSet iconSet="3Symbols" showValue="0" reverse="1">
        <cfvo type="percent" val="0"/>
        <cfvo type="num" val="1"/>
        <cfvo type="num" val="1.05"/>
      </iconSet>
    </cfRule>
  </conditionalFormatting>
  <conditionalFormatting sqref="P272">
    <cfRule type="iconSet" priority="2836">
      <iconSet iconSet="3Symbols" showValue="0" reverse="1">
        <cfvo type="percent" val="0"/>
        <cfvo type="num" val="1"/>
        <cfvo type="num" val="1.05"/>
      </iconSet>
    </cfRule>
  </conditionalFormatting>
  <conditionalFormatting sqref="Q271">
    <cfRule type="iconSet" priority="2827">
      <iconSet iconSet="3Symbols" showValue="0" reverse="1">
        <cfvo type="percent" val="0"/>
        <cfvo type="num" val="1"/>
        <cfvo type="num" val="1.05"/>
      </iconSet>
    </cfRule>
  </conditionalFormatting>
  <conditionalFormatting sqref="N271">
    <cfRule type="cellIs" dxfId="2147" priority="2825" operator="lessThan">
      <formula>0</formula>
    </cfRule>
    <cfRule type="cellIs" dxfId="2146" priority="2826" operator="greaterThan">
      <formula>0</formula>
    </cfRule>
  </conditionalFormatting>
  <conditionalFormatting sqref="F271">
    <cfRule type="cellIs" dxfId="2145" priority="2823" operator="lessThan">
      <formula>0</formula>
    </cfRule>
    <cfRule type="cellIs" dxfId="2144" priority="2824" operator="greaterThan">
      <formula>0</formula>
    </cfRule>
  </conditionalFormatting>
  <conditionalFormatting sqref="U271">
    <cfRule type="iconSet" priority="2828">
      <iconSet iconSet="3Symbols" showValue="0" reverse="1">
        <cfvo type="percent" val="0"/>
        <cfvo type="num" val="1"/>
        <cfvo type="num" val="1.05"/>
      </iconSet>
    </cfRule>
  </conditionalFormatting>
  <conditionalFormatting sqref="P271">
    <cfRule type="iconSet" priority="2829">
      <iconSet iconSet="3Symbols" showValue="0" reverse="1">
        <cfvo type="percent" val="0"/>
        <cfvo type="num" val="1"/>
        <cfvo type="num" val="1.05"/>
      </iconSet>
    </cfRule>
  </conditionalFormatting>
  <conditionalFormatting sqref="Q270">
    <cfRule type="iconSet" priority="2820">
      <iconSet iconSet="3Symbols" showValue="0" reverse="1">
        <cfvo type="percent" val="0"/>
        <cfvo type="num" val="1"/>
        <cfvo type="num" val="1.05"/>
      </iconSet>
    </cfRule>
  </conditionalFormatting>
  <conditionalFormatting sqref="N270">
    <cfRule type="cellIs" dxfId="2143" priority="2818" operator="lessThan">
      <formula>0</formula>
    </cfRule>
    <cfRule type="cellIs" dxfId="2142" priority="2819" operator="greaterThan">
      <formula>0</formula>
    </cfRule>
  </conditionalFormatting>
  <conditionalFormatting sqref="F270">
    <cfRule type="cellIs" dxfId="2141" priority="2816" operator="lessThan">
      <formula>0</formula>
    </cfRule>
    <cfRule type="cellIs" dxfId="2140" priority="2817" operator="greaterThan">
      <formula>0</formula>
    </cfRule>
  </conditionalFormatting>
  <conditionalFormatting sqref="U270">
    <cfRule type="iconSet" priority="2821">
      <iconSet iconSet="3Symbols" showValue="0" reverse="1">
        <cfvo type="percent" val="0"/>
        <cfvo type="num" val="1"/>
        <cfvo type="num" val="1.05"/>
      </iconSet>
    </cfRule>
  </conditionalFormatting>
  <conditionalFormatting sqref="P270">
    <cfRule type="iconSet" priority="2822">
      <iconSet iconSet="3Symbols" showValue="0" reverse="1">
        <cfvo type="percent" val="0"/>
        <cfvo type="num" val="1"/>
        <cfvo type="num" val="1.05"/>
      </iconSet>
    </cfRule>
  </conditionalFormatting>
  <conditionalFormatting sqref="Q269">
    <cfRule type="iconSet" priority="2813">
      <iconSet iconSet="3Symbols" showValue="0" reverse="1">
        <cfvo type="percent" val="0"/>
        <cfvo type="num" val="1"/>
        <cfvo type="num" val="1.05"/>
      </iconSet>
    </cfRule>
  </conditionalFormatting>
  <conditionalFormatting sqref="N269">
    <cfRule type="cellIs" dxfId="2139" priority="2811" operator="lessThan">
      <formula>0</formula>
    </cfRule>
    <cfRule type="cellIs" dxfId="2138" priority="2812" operator="greaterThan">
      <formula>0</formula>
    </cfRule>
  </conditionalFormatting>
  <conditionalFormatting sqref="F269">
    <cfRule type="cellIs" dxfId="2137" priority="2809" operator="lessThan">
      <formula>0</formula>
    </cfRule>
    <cfRule type="cellIs" dxfId="2136" priority="2810" operator="greaterThan">
      <formula>0</formula>
    </cfRule>
  </conditionalFormatting>
  <conditionalFormatting sqref="U269">
    <cfRule type="iconSet" priority="2814">
      <iconSet iconSet="3Symbols" showValue="0" reverse="1">
        <cfvo type="percent" val="0"/>
        <cfvo type="num" val="1"/>
        <cfvo type="num" val="1.05"/>
      </iconSet>
    </cfRule>
  </conditionalFormatting>
  <conditionalFormatting sqref="P269">
    <cfRule type="iconSet" priority="2815">
      <iconSet iconSet="3Symbols" showValue="0" reverse="1">
        <cfvo type="percent" val="0"/>
        <cfvo type="num" val="1"/>
        <cfvo type="num" val="1.05"/>
      </iconSet>
    </cfRule>
  </conditionalFormatting>
  <conditionalFormatting sqref="Q268">
    <cfRule type="iconSet" priority="2806">
      <iconSet iconSet="3Symbols" showValue="0" reverse="1">
        <cfvo type="percent" val="0"/>
        <cfvo type="num" val="1"/>
        <cfvo type="num" val="1.05"/>
      </iconSet>
    </cfRule>
  </conditionalFormatting>
  <conditionalFormatting sqref="N268">
    <cfRule type="cellIs" dxfId="2135" priority="2804" operator="lessThan">
      <formula>0</formula>
    </cfRule>
    <cfRule type="cellIs" dxfId="2134" priority="2805" operator="greaterThan">
      <formula>0</formula>
    </cfRule>
  </conditionalFormatting>
  <conditionalFormatting sqref="F268">
    <cfRule type="cellIs" dxfId="2133" priority="2802" operator="lessThan">
      <formula>0</formula>
    </cfRule>
    <cfRule type="cellIs" dxfId="2132" priority="2803" operator="greaterThan">
      <formula>0</formula>
    </cfRule>
  </conditionalFormatting>
  <conditionalFormatting sqref="U268">
    <cfRule type="iconSet" priority="2807">
      <iconSet iconSet="3Symbols" showValue="0" reverse="1">
        <cfvo type="percent" val="0"/>
        <cfvo type="num" val="1"/>
        <cfvo type="num" val="1.05"/>
      </iconSet>
    </cfRule>
  </conditionalFormatting>
  <conditionalFormatting sqref="P268">
    <cfRule type="iconSet" priority="2808">
      <iconSet iconSet="3Symbols" showValue="0" reverse="1">
        <cfvo type="percent" val="0"/>
        <cfvo type="num" val="1"/>
        <cfvo type="num" val="1.05"/>
      </iconSet>
    </cfRule>
  </conditionalFormatting>
  <conditionalFormatting sqref="Q266:Q267">
    <cfRule type="iconSet" priority="2799">
      <iconSet iconSet="3Symbols" showValue="0" reverse="1">
        <cfvo type="percent" val="0"/>
        <cfvo type="num" val="1"/>
        <cfvo type="num" val="1.05"/>
      </iconSet>
    </cfRule>
  </conditionalFormatting>
  <conditionalFormatting sqref="N266:N267">
    <cfRule type="cellIs" dxfId="2131" priority="2797" operator="lessThan">
      <formula>0</formula>
    </cfRule>
    <cfRule type="cellIs" dxfId="2130" priority="2798" operator="greaterThan">
      <formula>0</formula>
    </cfRule>
  </conditionalFormatting>
  <conditionalFormatting sqref="F266:F267">
    <cfRule type="cellIs" dxfId="2129" priority="2795" operator="lessThan">
      <formula>0</formula>
    </cfRule>
    <cfRule type="cellIs" dxfId="2128" priority="2796" operator="greaterThan">
      <formula>0</formula>
    </cfRule>
  </conditionalFormatting>
  <conditionalFormatting sqref="U266:U267">
    <cfRule type="iconSet" priority="2800">
      <iconSet iconSet="3Symbols" showValue="0" reverse="1">
        <cfvo type="percent" val="0"/>
        <cfvo type="num" val="1"/>
        <cfvo type="num" val="1.05"/>
      </iconSet>
    </cfRule>
  </conditionalFormatting>
  <conditionalFormatting sqref="P266:P267">
    <cfRule type="iconSet" priority="2801">
      <iconSet iconSet="3Symbols" showValue="0" reverse="1">
        <cfvo type="percent" val="0"/>
        <cfvo type="num" val="1"/>
        <cfvo type="num" val="1.05"/>
      </iconSet>
    </cfRule>
  </conditionalFormatting>
  <conditionalFormatting sqref="Q265">
    <cfRule type="iconSet" priority="2792">
      <iconSet iconSet="3Symbols" showValue="0" reverse="1">
        <cfvo type="percent" val="0"/>
        <cfvo type="num" val="1"/>
        <cfvo type="num" val="1.05"/>
      </iconSet>
    </cfRule>
  </conditionalFormatting>
  <conditionalFormatting sqref="N265">
    <cfRule type="cellIs" dxfId="2127" priority="2790" operator="lessThan">
      <formula>0</formula>
    </cfRule>
    <cfRule type="cellIs" dxfId="2126" priority="2791" operator="greaterThan">
      <formula>0</formula>
    </cfRule>
  </conditionalFormatting>
  <conditionalFormatting sqref="F265">
    <cfRule type="cellIs" dxfId="2125" priority="2788" operator="lessThan">
      <formula>0</formula>
    </cfRule>
    <cfRule type="cellIs" dxfId="2124" priority="2789" operator="greaterThan">
      <formula>0</formula>
    </cfRule>
  </conditionalFormatting>
  <conditionalFormatting sqref="U265">
    <cfRule type="iconSet" priority="2793">
      <iconSet iconSet="3Symbols" showValue="0" reverse="1">
        <cfvo type="percent" val="0"/>
        <cfvo type="num" val="1"/>
        <cfvo type="num" val="1.05"/>
      </iconSet>
    </cfRule>
  </conditionalFormatting>
  <conditionalFormatting sqref="P265">
    <cfRule type="iconSet" priority="2794">
      <iconSet iconSet="3Symbols" showValue="0" reverse="1">
        <cfvo type="percent" val="0"/>
        <cfvo type="num" val="1"/>
        <cfvo type="num" val="1.05"/>
      </iconSet>
    </cfRule>
  </conditionalFormatting>
  <conditionalFormatting sqref="Q264">
    <cfRule type="iconSet" priority="2785">
      <iconSet iconSet="3Symbols" showValue="0" reverse="1">
        <cfvo type="percent" val="0"/>
        <cfvo type="num" val="1"/>
        <cfvo type="num" val="1.05"/>
      </iconSet>
    </cfRule>
  </conditionalFormatting>
  <conditionalFormatting sqref="N264">
    <cfRule type="cellIs" dxfId="2123" priority="2783" operator="lessThan">
      <formula>0</formula>
    </cfRule>
    <cfRule type="cellIs" dxfId="2122" priority="2784" operator="greaterThan">
      <formula>0</formula>
    </cfRule>
  </conditionalFormatting>
  <conditionalFormatting sqref="F264">
    <cfRule type="cellIs" dxfId="2121" priority="2781" operator="lessThan">
      <formula>0</formula>
    </cfRule>
    <cfRule type="cellIs" dxfId="2120" priority="2782" operator="greaterThan">
      <formula>0</formula>
    </cfRule>
  </conditionalFormatting>
  <conditionalFormatting sqref="U264">
    <cfRule type="iconSet" priority="2786">
      <iconSet iconSet="3Symbols" showValue="0" reverse="1">
        <cfvo type="percent" val="0"/>
        <cfvo type="num" val="1"/>
        <cfvo type="num" val="1.05"/>
      </iconSet>
    </cfRule>
  </conditionalFormatting>
  <conditionalFormatting sqref="P264">
    <cfRule type="iconSet" priority="2787">
      <iconSet iconSet="3Symbols" showValue="0" reverse="1">
        <cfvo type="percent" val="0"/>
        <cfvo type="num" val="1"/>
        <cfvo type="num" val="1.05"/>
      </iconSet>
    </cfRule>
  </conditionalFormatting>
  <conditionalFormatting sqref="Q263">
    <cfRule type="iconSet" priority="2778">
      <iconSet iconSet="3Symbols" showValue="0" reverse="1">
        <cfvo type="percent" val="0"/>
        <cfvo type="num" val="1"/>
        <cfvo type="num" val="1.05"/>
      </iconSet>
    </cfRule>
  </conditionalFormatting>
  <conditionalFormatting sqref="N263">
    <cfRule type="cellIs" dxfId="2119" priority="2776" operator="lessThan">
      <formula>0</formula>
    </cfRule>
    <cfRule type="cellIs" dxfId="2118" priority="2777" operator="greaterThan">
      <formula>0</formula>
    </cfRule>
  </conditionalFormatting>
  <conditionalFormatting sqref="F263">
    <cfRule type="cellIs" dxfId="2117" priority="2774" operator="lessThan">
      <formula>0</formula>
    </cfRule>
    <cfRule type="cellIs" dxfId="2116" priority="2775" operator="greaterThan">
      <formula>0</formula>
    </cfRule>
  </conditionalFormatting>
  <conditionalFormatting sqref="U263">
    <cfRule type="iconSet" priority="2779">
      <iconSet iconSet="3Symbols" showValue="0" reverse="1">
        <cfvo type="percent" val="0"/>
        <cfvo type="num" val="1"/>
        <cfvo type="num" val="1.05"/>
      </iconSet>
    </cfRule>
  </conditionalFormatting>
  <conditionalFormatting sqref="P263">
    <cfRule type="iconSet" priority="2780">
      <iconSet iconSet="3Symbols" showValue="0" reverse="1">
        <cfvo type="percent" val="0"/>
        <cfvo type="num" val="1"/>
        <cfvo type="num" val="1.05"/>
      </iconSet>
    </cfRule>
  </conditionalFormatting>
  <conditionalFormatting sqref="Q262">
    <cfRule type="iconSet" priority="2771">
      <iconSet iconSet="3Symbols" showValue="0" reverse="1">
        <cfvo type="percent" val="0"/>
        <cfvo type="num" val="1"/>
        <cfvo type="num" val="1.05"/>
      </iconSet>
    </cfRule>
  </conditionalFormatting>
  <conditionalFormatting sqref="N262">
    <cfRule type="cellIs" dxfId="2115" priority="2769" operator="lessThan">
      <formula>0</formula>
    </cfRule>
    <cfRule type="cellIs" dxfId="2114" priority="2770" operator="greaterThan">
      <formula>0</formula>
    </cfRule>
  </conditionalFormatting>
  <conditionalFormatting sqref="F262">
    <cfRule type="cellIs" dxfId="2113" priority="2767" operator="lessThan">
      <formula>0</formula>
    </cfRule>
    <cfRule type="cellIs" dxfId="2112" priority="2768" operator="greaterThan">
      <formula>0</formula>
    </cfRule>
  </conditionalFormatting>
  <conditionalFormatting sqref="U262">
    <cfRule type="iconSet" priority="2772">
      <iconSet iconSet="3Symbols" showValue="0" reverse="1">
        <cfvo type="percent" val="0"/>
        <cfvo type="num" val="1"/>
        <cfvo type="num" val="1.05"/>
      </iconSet>
    </cfRule>
  </conditionalFormatting>
  <conditionalFormatting sqref="P262">
    <cfRule type="iconSet" priority="2773">
      <iconSet iconSet="3Symbols" showValue="0" reverse="1">
        <cfvo type="percent" val="0"/>
        <cfvo type="num" val="1"/>
        <cfvo type="num" val="1.05"/>
      </iconSet>
    </cfRule>
  </conditionalFormatting>
  <conditionalFormatting sqref="Q261">
    <cfRule type="iconSet" priority="2764">
      <iconSet iconSet="3Symbols" showValue="0" reverse="1">
        <cfvo type="percent" val="0"/>
        <cfvo type="num" val="1"/>
        <cfvo type="num" val="1.05"/>
      </iconSet>
    </cfRule>
  </conditionalFormatting>
  <conditionalFormatting sqref="N261">
    <cfRule type="cellIs" dxfId="2111" priority="2762" operator="lessThan">
      <formula>0</formula>
    </cfRule>
    <cfRule type="cellIs" dxfId="2110" priority="2763" operator="greaterThan">
      <formula>0</formula>
    </cfRule>
  </conditionalFormatting>
  <conditionalFormatting sqref="F261">
    <cfRule type="cellIs" dxfId="2109" priority="2760" operator="lessThan">
      <formula>0</formula>
    </cfRule>
    <cfRule type="cellIs" dxfId="2108" priority="2761" operator="greaterThan">
      <formula>0</formula>
    </cfRule>
  </conditionalFormatting>
  <conditionalFormatting sqref="U261">
    <cfRule type="iconSet" priority="2765">
      <iconSet iconSet="3Symbols" showValue="0" reverse="1">
        <cfvo type="percent" val="0"/>
        <cfvo type="num" val="1"/>
        <cfvo type="num" val="1.05"/>
      </iconSet>
    </cfRule>
  </conditionalFormatting>
  <conditionalFormatting sqref="P261">
    <cfRule type="iconSet" priority="2766">
      <iconSet iconSet="3Symbols" showValue="0" reverse="1">
        <cfvo type="percent" val="0"/>
        <cfvo type="num" val="1"/>
        <cfvo type="num" val="1.05"/>
      </iconSet>
    </cfRule>
  </conditionalFormatting>
  <conditionalFormatting sqref="Q260">
    <cfRule type="iconSet" priority="2757">
      <iconSet iconSet="3Symbols" showValue="0" reverse="1">
        <cfvo type="percent" val="0"/>
        <cfvo type="num" val="1"/>
        <cfvo type="num" val="1.05"/>
      </iconSet>
    </cfRule>
  </conditionalFormatting>
  <conditionalFormatting sqref="N260">
    <cfRule type="cellIs" dxfId="2107" priority="2755" operator="lessThan">
      <formula>0</formula>
    </cfRule>
    <cfRule type="cellIs" dxfId="2106" priority="2756" operator="greaterThan">
      <formula>0</formula>
    </cfRule>
  </conditionalFormatting>
  <conditionalFormatting sqref="F260">
    <cfRule type="cellIs" dxfId="2105" priority="2753" operator="lessThan">
      <formula>0</formula>
    </cfRule>
    <cfRule type="cellIs" dxfId="2104" priority="2754" operator="greaterThan">
      <formula>0</formula>
    </cfRule>
  </conditionalFormatting>
  <conditionalFormatting sqref="U260">
    <cfRule type="iconSet" priority="2758">
      <iconSet iconSet="3Symbols" showValue="0" reverse="1">
        <cfvo type="percent" val="0"/>
        <cfvo type="num" val="1"/>
        <cfvo type="num" val="1.05"/>
      </iconSet>
    </cfRule>
  </conditionalFormatting>
  <conditionalFormatting sqref="P260">
    <cfRule type="iconSet" priority="2759">
      <iconSet iconSet="3Symbols" showValue="0" reverse="1">
        <cfvo type="percent" val="0"/>
        <cfvo type="num" val="1"/>
        <cfvo type="num" val="1.05"/>
      </iconSet>
    </cfRule>
  </conditionalFormatting>
  <conditionalFormatting sqref="Q259">
    <cfRule type="iconSet" priority="2750">
      <iconSet iconSet="3Symbols" showValue="0" reverse="1">
        <cfvo type="percent" val="0"/>
        <cfvo type="num" val="1"/>
        <cfvo type="num" val="1.05"/>
      </iconSet>
    </cfRule>
  </conditionalFormatting>
  <conditionalFormatting sqref="N259">
    <cfRule type="cellIs" dxfId="2103" priority="2748" operator="lessThan">
      <formula>0</formula>
    </cfRule>
    <cfRule type="cellIs" dxfId="2102" priority="2749" operator="greaterThan">
      <formula>0</formula>
    </cfRule>
  </conditionalFormatting>
  <conditionalFormatting sqref="F259">
    <cfRule type="cellIs" dxfId="2101" priority="2746" operator="lessThan">
      <formula>0</formula>
    </cfRule>
    <cfRule type="cellIs" dxfId="2100" priority="2747" operator="greaterThan">
      <formula>0</formula>
    </cfRule>
  </conditionalFormatting>
  <conditionalFormatting sqref="U259">
    <cfRule type="iconSet" priority="2751">
      <iconSet iconSet="3Symbols" showValue="0" reverse="1">
        <cfvo type="percent" val="0"/>
        <cfvo type="num" val="1"/>
        <cfvo type="num" val="1.05"/>
      </iconSet>
    </cfRule>
  </conditionalFormatting>
  <conditionalFormatting sqref="P259">
    <cfRule type="iconSet" priority="2752">
      <iconSet iconSet="3Symbols" showValue="0" reverse="1">
        <cfvo type="percent" val="0"/>
        <cfvo type="num" val="1"/>
        <cfvo type="num" val="1.05"/>
      </iconSet>
    </cfRule>
  </conditionalFormatting>
  <conditionalFormatting sqref="Q257:Q258">
    <cfRule type="iconSet" priority="2743">
      <iconSet iconSet="3Symbols" showValue="0" reverse="1">
        <cfvo type="percent" val="0"/>
        <cfvo type="num" val="1"/>
        <cfvo type="num" val="1.05"/>
      </iconSet>
    </cfRule>
  </conditionalFormatting>
  <conditionalFormatting sqref="N257:N258">
    <cfRule type="cellIs" dxfId="2099" priority="2741" operator="lessThan">
      <formula>0</formula>
    </cfRule>
    <cfRule type="cellIs" dxfId="2098" priority="2742" operator="greaterThan">
      <formula>0</formula>
    </cfRule>
  </conditionalFormatting>
  <conditionalFormatting sqref="F257:F258">
    <cfRule type="cellIs" dxfId="2097" priority="2739" operator="lessThan">
      <formula>0</formula>
    </cfRule>
    <cfRule type="cellIs" dxfId="2096" priority="2740" operator="greaterThan">
      <formula>0</formula>
    </cfRule>
  </conditionalFormatting>
  <conditionalFormatting sqref="U257:U258">
    <cfRule type="iconSet" priority="2744">
      <iconSet iconSet="3Symbols" showValue="0" reverse="1">
        <cfvo type="percent" val="0"/>
        <cfvo type="num" val="1"/>
        <cfvo type="num" val="1.05"/>
      </iconSet>
    </cfRule>
  </conditionalFormatting>
  <conditionalFormatting sqref="P257:P258">
    <cfRule type="iconSet" priority="2745">
      <iconSet iconSet="3Symbols" showValue="0" reverse="1">
        <cfvo type="percent" val="0"/>
        <cfvo type="num" val="1"/>
        <cfvo type="num" val="1.05"/>
      </iconSet>
    </cfRule>
  </conditionalFormatting>
  <conditionalFormatting sqref="Q256">
    <cfRule type="iconSet" priority="2736">
      <iconSet iconSet="3Symbols" showValue="0" reverse="1">
        <cfvo type="percent" val="0"/>
        <cfvo type="num" val="1"/>
        <cfvo type="num" val="1.05"/>
      </iconSet>
    </cfRule>
  </conditionalFormatting>
  <conditionalFormatting sqref="N256">
    <cfRule type="cellIs" dxfId="2095" priority="2734" operator="lessThan">
      <formula>0</formula>
    </cfRule>
    <cfRule type="cellIs" dxfId="2094" priority="2735" operator="greaterThan">
      <formula>0</formula>
    </cfRule>
  </conditionalFormatting>
  <conditionalFormatting sqref="F256">
    <cfRule type="cellIs" dxfId="2093" priority="2732" operator="lessThan">
      <formula>0</formula>
    </cfRule>
    <cfRule type="cellIs" dxfId="2092" priority="2733" operator="greaterThan">
      <formula>0</formula>
    </cfRule>
  </conditionalFormatting>
  <conditionalFormatting sqref="U256">
    <cfRule type="iconSet" priority="2737">
      <iconSet iconSet="3Symbols" showValue="0" reverse="1">
        <cfvo type="percent" val="0"/>
        <cfvo type="num" val="1"/>
        <cfvo type="num" val="1.05"/>
      </iconSet>
    </cfRule>
  </conditionalFormatting>
  <conditionalFormatting sqref="P256">
    <cfRule type="iconSet" priority="2738">
      <iconSet iconSet="3Symbols" showValue="0" reverse="1">
        <cfvo type="percent" val="0"/>
        <cfvo type="num" val="1"/>
        <cfvo type="num" val="1.05"/>
      </iconSet>
    </cfRule>
  </conditionalFormatting>
  <conditionalFormatting sqref="Q255">
    <cfRule type="iconSet" priority="2729">
      <iconSet iconSet="3Symbols" showValue="0" reverse="1">
        <cfvo type="percent" val="0"/>
        <cfvo type="num" val="1"/>
        <cfvo type="num" val="1.05"/>
      </iconSet>
    </cfRule>
  </conditionalFormatting>
  <conditionalFormatting sqref="N255">
    <cfRule type="cellIs" dxfId="2091" priority="2727" operator="lessThan">
      <formula>0</formula>
    </cfRule>
    <cfRule type="cellIs" dxfId="2090" priority="2728" operator="greaterThan">
      <formula>0</formula>
    </cfRule>
  </conditionalFormatting>
  <conditionalFormatting sqref="F255">
    <cfRule type="cellIs" dxfId="2089" priority="2725" operator="lessThan">
      <formula>0</formula>
    </cfRule>
    <cfRule type="cellIs" dxfId="2088" priority="2726" operator="greaterThan">
      <formula>0</formula>
    </cfRule>
  </conditionalFormatting>
  <conditionalFormatting sqref="U255">
    <cfRule type="iconSet" priority="2730">
      <iconSet iconSet="3Symbols" showValue="0" reverse="1">
        <cfvo type="percent" val="0"/>
        <cfvo type="num" val="1"/>
        <cfvo type="num" val="1.05"/>
      </iconSet>
    </cfRule>
  </conditionalFormatting>
  <conditionalFormatting sqref="P255">
    <cfRule type="iconSet" priority="2731">
      <iconSet iconSet="3Symbols" showValue="0" reverse="1">
        <cfvo type="percent" val="0"/>
        <cfvo type="num" val="1"/>
        <cfvo type="num" val="1.05"/>
      </iconSet>
    </cfRule>
  </conditionalFormatting>
  <conditionalFormatting sqref="Q254">
    <cfRule type="iconSet" priority="2722">
      <iconSet iconSet="3Symbols" showValue="0" reverse="1">
        <cfvo type="percent" val="0"/>
        <cfvo type="num" val="1"/>
        <cfvo type="num" val="1.05"/>
      </iconSet>
    </cfRule>
  </conditionalFormatting>
  <conditionalFormatting sqref="N254">
    <cfRule type="cellIs" dxfId="2087" priority="2720" operator="lessThan">
      <formula>0</formula>
    </cfRule>
    <cfRule type="cellIs" dxfId="2086" priority="2721" operator="greaterThan">
      <formula>0</formula>
    </cfRule>
  </conditionalFormatting>
  <conditionalFormatting sqref="F254">
    <cfRule type="cellIs" dxfId="2085" priority="2718" operator="lessThan">
      <formula>0</formula>
    </cfRule>
    <cfRule type="cellIs" dxfId="2084" priority="2719" operator="greaterThan">
      <formula>0</formula>
    </cfRule>
  </conditionalFormatting>
  <conditionalFormatting sqref="U254">
    <cfRule type="iconSet" priority="2723">
      <iconSet iconSet="3Symbols" showValue="0" reverse="1">
        <cfvo type="percent" val="0"/>
        <cfvo type="num" val="1"/>
        <cfvo type="num" val="1.05"/>
      </iconSet>
    </cfRule>
  </conditionalFormatting>
  <conditionalFormatting sqref="P254">
    <cfRule type="iconSet" priority="2724">
      <iconSet iconSet="3Symbols" showValue="0" reverse="1">
        <cfvo type="percent" val="0"/>
        <cfvo type="num" val="1"/>
        <cfvo type="num" val="1.05"/>
      </iconSet>
    </cfRule>
  </conditionalFormatting>
  <conditionalFormatting sqref="Q253">
    <cfRule type="iconSet" priority="2715">
      <iconSet iconSet="3Symbols" showValue="0" reverse="1">
        <cfvo type="percent" val="0"/>
        <cfvo type="num" val="1"/>
        <cfvo type="num" val="1.05"/>
      </iconSet>
    </cfRule>
  </conditionalFormatting>
  <conditionalFormatting sqref="N253">
    <cfRule type="cellIs" dxfId="2083" priority="2713" operator="lessThan">
      <formula>0</formula>
    </cfRule>
    <cfRule type="cellIs" dxfId="2082" priority="2714" operator="greaterThan">
      <formula>0</formula>
    </cfRule>
  </conditionalFormatting>
  <conditionalFormatting sqref="F253">
    <cfRule type="cellIs" dxfId="2081" priority="2711" operator="lessThan">
      <formula>0</formula>
    </cfRule>
    <cfRule type="cellIs" dxfId="2080" priority="2712" operator="greaterThan">
      <formula>0</formula>
    </cfRule>
  </conditionalFormatting>
  <conditionalFormatting sqref="U253">
    <cfRule type="iconSet" priority="2716">
      <iconSet iconSet="3Symbols" showValue="0" reverse="1">
        <cfvo type="percent" val="0"/>
        <cfvo type="num" val="1"/>
        <cfvo type="num" val="1.05"/>
      </iconSet>
    </cfRule>
  </conditionalFormatting>
  <conditionalFormatting sqref="P253">
    <cfRule type="iconSet" priority="2717">
      <iconSet iconSet="3Symbols" showValue="0" reverse="1">
        <cfvo type="percent" val="0"/>
        <cfvo type="num" val="1"/>
        <cfvo type="num" val="1.05"/>
      </iconSet>
    </cfRule>
  </conditionalFormatting>
  <conditionalFormatting sqref="Q252">
    <cfRule type="iconSet" priority="2708">
      <iconSet iconSet="3Symbols" showValue="0" reverse="1">
        <cfvo type="percent" val="0"/>
        <cfvo type="num" val="1"/>
        <cfvo type="num" val="1.05"/>
      </iconSet>
    </cfRule>
  </conditionalFormatting>
  <conditionalFormatting sqref="N252">
    <cfRule type="cellIs" dxfId="2079" priority="2706" operator="lessThan">
      <formula>0</formula>
    </cfRule>
    <cfRule type="cellIs" dxfId="2078" priority="2707" operator="greaterThan">
      <formula>0</formula>
    </cfRule>
  </conditionalFormatting>
  <conditionalFormatting sqref="F252">
    <cfRule type="cellIs" dxfId="2077" priority="2704" operator="lessThan">
      <formula>0</formula>
    </cfRule>
    <cfRule type="cellIs" dxfId="2076" priority="2705" operator="greaterThan">
      <formula>0</formula>
    </cfRule>
  </conditionalFormatting>
  <conditionalFormatting sqref="U252">
    <cfRule type="iconSet" priority="2709">
      <iconSet iconSet="3Symbols" showValue="0" reverse="1">
        <cfvo type="percent" val="0"/>
        <cfvo type="num" val="1"/>
        <cfvo type="num" val="1.05"/>
      </iconSet>
    </cfRule>
  </conditionalFormatting>
  <conditionalFormatting sqref="P252">
    <cfRule type="iconSet" priority="2710">
      <iconSet iconSet="3Symbols" showValue="0" reverse="1">
        <cfvo type="percent" val="0"/>
        <cfvo type="num" val="1"/>
        <cfvo type="num" val="1.05"/>
      </iconSet>
    </cfRule>
  </conditionalFormatting>
  <conditionalFormatting sqref="Q251">
    <cfRule type="iconSet" priority="2701">
      <iconSet iconSet="3Symbols" showValue="0" reverse="1">
        <cfvo type="percent" val="0"/>
        <cfvo type="num" val="1"/>
        <cfvo type="num" val="1.05"/>
      </iconSet>
    </cfRule>
  </conditionalFormatting>
  <conditionalFormatting sqref="N251">
    <cfRule type="cellIs" dxfId="2075" priority="2699" operator="lessThan">
      <formula>0</formula>
    </cfRule>
    <cfRule type="cellIs" dxfId="2074" priority="2700" operator="greaterThan">
      <formula>0</formula>
    </cfRule>
  </conditionalFormatting>
  <conditionalFormatting sqref="F251">
    <cfRule type="cellIs" dxfId="2073" priority="2697" operator="lessThan">
      <formula>0</formula>
    </cfRule>
    <cfRule type="cellIs" dxfId="2072" priority="2698" operator="greaterThan">
      <formula>0</formula>
    </cfRule>
  </conditionalFormatting>
  <conditionalFormatting sqref="U251">
    <cfRule type="iconSet" priority="2702">
      <iconSet iconSet="3Symbols" showValue="0" reverse="1">
        <cfvo type="percent" val="0"/>
        <cfvo type="num" val="1"/>
        <cfvo type="num" val="1.05"/>
      </iconSet>
    </cfRule>
  </conditionalFormatting>
  <conditionalFormatting sqref="P251">
    <cfRule type="iconSet" priority="2703">
      <iconSet iconSet="3Symbols" showValue="0" reverse="1">
        <cfvo type="percent" val="0"/>
        <cfvo type="num" val="1"/>
        <cfvo type="num" val="1.05"/>
      </iconSet>
    </cfRule>
  </conditionalFormatting>
  <conditionalFormatting sqref="Q250">
    <cfRule type="iconSet" priority="2694">
      <iconSet iconSet="3Symbols" showValue="0" reverse="1">
        <cfvo type="percent" val="0"/>
        <cfvo type="num" val="1"/>
        <cfvo type="num" val="1.05"/>
      </iconSet>
    </cfRule>
  </conditionalFormatting>
  <conditionalFormatting sqref="N250">
    <cfRule type="cellIs" dxfId="2071" priority="2692" operator="lessThan">
      <formula>0</formula>
    </cfRule>
    <cfRule type="cellIs" dxfId="2070" priority="2693" operator="greaterThan">
      <formula>0</formula>
    </cfRule>
  </conditionalFormatting>
  <conditionalFormatting sqref="F250">
    <cfRule type="cellIs" dxfId="2069" priority="2690" operator="lessThan">
      <formula>0</formula>
    </cfRule>
    <cfRule type="cellIs" dxfId="2068" priority="2691" operator="greaterThan">
      <formula>0</formula>
    </cfRule>
  </conditionalFormatting>
  <conditionalFormatting sqref="U250">
    <cfRule type="iconSet" priority="2695">
      <iconSet iconSet="3Symbols" showValue="0" reverse="1">
        <cfvo type="percent" val="0"/>
        <cfvo type="num" val="1"/>
        <cfvo type="num" val="1.05"/>
      </iconSet>
    </cfRule>
  </conditionalFormatting>
  <conditionalFormatting sqref="P250">
    <cfRule type="iconSet" priority="2696">
      <iconSet iconSet="3Symbols" showValue="0" reverse="1">
        <cfvo type="percent" val="0"/>
        <cfvo type="num" val="1"/>
        <cfvo type="num" val="1.05"/>
      </iconSet>
    </cfRule>
  </conditionalFormatting>
  <conditionalFormatting sqref="Q248:Q249">
    <cfRule type="iconSet" priority="2687">
      <iconSet iconSet="3Symbols" showValue="0" reverse="1">
        <cfvo type="percent" val="0"/>
        <cfvo type="num" val="1"/>
        <cfvo type="num" val="1.05"/>
      </iconSet>
    </cfRule>
  </conditionalFormatting>
  <conditionalFormatting sqref="N248:N249">
    <cfRule type="cellIs" dxfId="2067" priority="2685" operator="lessThan">
      <formula>0</formula>
    </cfRule>
    <cfRule type="cellIs" dxfId="2066" priority="2686" operator="greaterThan">
      <formula>0</formula>
    </cfRule>
  </conditionalFormatting>
  <conditionalFormatting sqref="F248:F249">
    <cfRule type="cellIs" dxfId="2065" priority="2683" operator="lessThan">
      <formula>0</formula>
    </cfRule>
    <cfRule type="cellIs" dxfId="2064" priority="2684" operator="greaterThan">
      <formula>0</formula>
    </cfRule>
  </conditionalFormatting>
  <conditionalFormatting sqref="U248:U249">
    <cfRule type="iconSet" priority="2688">
      <iconSet iconSet="3Symbols" showValue="0" reverse="1">
        <cfvo type="percent" val="0"/>
        <cfvo type="num" val="1"/>
        <cfvo type="num" val="1.05"/>
      </iconSet>
    </cfRule>
  </conditionalFormatting>
  <conditionalFormatting sqref="P248:P249">
    <cfRule type="iconSet" priority="2689">
      <iconSet iconSet="3Symbols" showValue="0" reverse="1">
        <cfvo type="percent" val="0"/>
        <cfvo type="num" val="1"/>
        <cfvo type="num" val="1.05"/>
      </iconSet>
    </cfRule>
  </conditionalFormatting>
  <conditionalFormatting sqref="Q247">
    <cfRule type="iconSet" priority="2680">
      <iconSet iconSet="3Symbols" showValue="0" reverse="1">
        <cfvo type="percent" val="0"/>
        <cfvo type="num" val="1"/>
        <cfvo type="num" val="1.05"/>
      </iconSet>
    </cfRule>
  </conditionalFormatting>
  <conditionalFormatting sqref="N247">
    <cfRule type="cellIs" dxfId="2063" priority="2678" operator="lessThan">
      <formula>0</formula>
    </cfRule>
    <cfRule type="cellIs" dxfId="2062" priority="2679" operator="greaterThan">
      <formula>0</formula>
    </cfRule>
  </conditionalFormatting>
  <conditionalFormatting sqref="F247">
    <cfRule type="cellIs" dxfId="2061" priority="2676" operator="lessThan">
      <formula>0</formula>
    </cfRule>
    <cfRule type="cellIs" dxfId="2060" priority="2677" operator="greaterThan">
      <formula>0</formula>
    </cfRule>
  </conditionalFormatting>
  <conditionalFormatting sqref="U247">
    <cfRule type="iconSet" priority="2681">
      <iconSet iconSet="3Symbols" showValue="0" reverse="1">
        <cfvo type="percent" val="0"/>
        <cfvo type="num" val="1"/>
        <cfvo type="num" val="1.05"/>
      </iconSet>
    </cfRule>
  </conditionalFormatting>
  <conditionalFormatting sqref="P247">
    <cfRule type="iconSet" priority="2682">
      <iconSet iconSet="3Symbols" showValue="0" reverse="1">
        <cfvo type="percent" val="0"/>
        <cfvo type="num" val="1"/>
        <cfvo type="num" val="1.05"/>
      </iconSet>
    </cfRule>
  </conditionalFormatting>
  <conditionalFormatting sqref="Q246">
    <cfRule type="iconSet" priority="2673">
      <iconSet iconSet="3Symbols" showValue="0" reverse="1">
        <cfvo type="percent" val="0"/>
        <cfvo type="num" val="1"/>
        <cfvo type="num" val="1.05"/>
      </iconSet>
    </cfRule>
  </conditionalFormatting>
  <conditionalFormatting sqref="N246">
    <cfRule type="cellIs" dxfId="2059" priority="2671" operator="lessThan">
      <formula>0</formula>
    </cfRule>
    <cfRule type="cellIs" dxfId="2058" priority="2672" operator="greaterThan">
      <formula>0</formula>
    </cfRule>
  </conditionalFormatting>
  <conditionalFormatting sqref="F246">
    <cfRule type="cellIs" dxfId="2057" priority="2669" operator="lessThan">
      <formula>0</formula>
    </cfRule>
    <cfRule type="cellIs" dxfId="2056" priority="2670" operator="greaterThan">
      <formula>0</formula>
    </cfRule>
  </conditionalFormatting>
  <conditionalFormatting sqref="U246">
    <cfRule type="iconSet" priority="2674">
      <iconSet iconSet="3Symbols" showValue="0" reverse="1">
        <cfvo type="percent" val="0"/>
        <cfvo type="num" val="1"/>
        <cfvo type="num" val="1.05"/>
      </iconSet>
    </cfRule>
  </conditionalFormatting>
  <conditionalFormatting sqref="P246">
    <cfRule type="iconSet" priority="2675">
      <iconSet iconSet="3Symbols" showValue="0" reverse="1">
        <cfvo type="percent" val="0"/>
        <cfvo type="num" val="1"/>
        <cfvo type="num" val="1.05"/>
      </iconSet>
    </cfRule>
  </conditionalFormatting>
  <conditionalFormatting sqref="Q245">
    <cfRule type="iconSet" priority="2666">
      <iconSet iconSet="3Symbols" showValue="0" reverse="1">
        <cfvo type="percent" val="0"/>
        <cfvo type="num" val="1"/>
        <cfvo type="num" val="1.05"/>
      </iconSet>
    </cfRule>
  </conditionalFormatting>
  <conditionalFormatting sqref="N245">
    <cfRule type="cellIs" dxfId="2055" priority="2664" operator="lessThan">
      <formula>0</formula>
    </cfRule>
    <cfRule type="cellIs" dxfId="2054" priority="2665" operator="greaterThan">
      <formula>0</formula>
    </cfRule>
  </conditionalFormatting>
  <conditionalFormatting sqref="F245">
    <cfRule type="cellIs" dxfId="2053" priority="2662" operator="lessThan">
      <formula>0</formula>
    </cfRule>
    <cfRule type="cellIs" dxfId="2052" priority="2663" operator="greaterThan">
      <formula>0</formula>
    </cfRule>
  </conditionalFormatting>
  <conditionalFormatting sqref="U245">
    <cfRule type="iconSet" priority="2667">
      <iconSet iconSet="3Symbols" showValue="0" reverse="1">
        <cfvo type="percent" val="0"/>
        <cfvo type="num" val="1"/>
        <cfvo type="num" val="1.05"/>
      </iconSet>
    </cfRule>
  </conditionalFormatting>
  <conditionalFormatting sqref="P245">
    <cfRule type="iconSet" priority="2668">
      <iconSet iconSet="3Symbols" showValue="0" reverse="1">
        <cfvo type="percent" val="0"/>
        <cfvo type="num" val="1"/>
        <cfvo type="num" val="1.05"/>
      </iconSet>
    </cfRule>
  </conditionalFormatting>
  <conditionalFormatting sqref="Q244">
    <cfRule type="iconSet" priority="2659">
      <iconSet iconSet="3Symbols" showValue="0" reverse="1">
        <cfvo type="percent" val="0"/>
        <cfvo type="num" val="1"/>
        <cfvo type="num" val="1.05"/>
      </iconSet>
    </cfRule>
  </conditionalFormatting>
  <conditionalFormatting sqref="N244">
    <cfRule type="cellIs" dxfId="2051" priority="2657" operator="lessThan">
      <formula>0</formula>
    </cfRule>
    <cfRule type="cellIs" dxfId="2050" priority="2658" operator="greaterThan">
      <formula>0</formula>
    </cfRule>
  </conditionalFormatting>
  <conditionalFormatting sqref="F244">
    <cfRule type="cellIs" dxfId="2049" priority="2655" operator="lessThan">
      <formula>0</formula>
    </cfRule>
    <cfRule type="cellIs" dxfId="2048" priority="2656" operator="greaterThan">
      <formula>0</formula>
    </cfRule>
  </conditionalFormatting>
  <conditionalFormatting sqref="U244">
    <cfRule type="iconSet" priority="2660">
      <iconSet iconSet="3Symbols" showValue="0" reverse="1">
        <cfvo type="percent" val="0"/>
        <cfvo type="num" val="1"/>
        <cfvo type="num" val="1.05"/>
      </iconSet>
    </cfRule>
  </conditionalFormatting>
  <conditionalFormatting sqref="P244">
    <cfRule type="iconSet" priority="2661">
      <iconSet iconSet="3Symbols" showValue="0" reverse="1">
        <cfvo type="percent" val="0"/>
        <cfvo type="num" val="1"/>
        <cfvo type="num" val="1.05"/>
      </iconSet>
    </cfRule>
  </conditionalFormatting>
  <conditionalFormatting sqref="Q243">
    <cfRule type="iconSet" priority="2652">
      <iconSet iconSet="3Symbols" showValue="0" reverse="1">
        <cfvo type="percent" val="0"/>
        <cfvo type="num" val="1"/>
        <cfvo type="num" val="1.05"/>
      </iconSet>
    </cfRule>
  </conditionalFormatting>
  <conditionalFormatting sqref="N243">
    <cfRule type="cellIs" dxfId="2047" priority="2650" operator="lessThan">
      <formula>0</formula>
    </cfRule>
    <cfRule type="cellIs" dxfId="2046" priority="2651" operator="greaterThan">
      <formula>0</formula>
    </cfRule>
  </conditionalFormatting>
  <conditionalFormatting sqref="F243">
    <cfRule type="cellIs" dxfId="2045" priority="2648" operator="lessThan">
      <formula>0</formula>
    </cfRule>
    <cfRule type="cellIs" dxfId="2044" priority="2649" operator="greaterThan">
      <formula>0</formula>
    </cfRule>
  </conditionalFormatting>
  <conditionalFormatting sqref="U243">
    <cfRule type="iconSet" priority="2653">
      <iconSet iconSet="3Symbols" showValue="0" reverse="1">
        <cfvo type="percent" val="0"/>
        <cfvo type="num" val="1"/>
        <cfvo type="num" val="1.05"/>
      </iconSet>
    </cfRule>
  </conditionalFormatting>
  <conditionalFormatting sqref="P243">
    <cfRule type="iconSet" priority="2654">
      <iconSet iconSet="3Symbols" showValue="0" reverse="1">
        <cfvo type="percent" val="0"/>
        <cfvo type="num" val="1"/>
        <cfvo type="num" val="1.05"/>
      </iconSet>
    </cfRule>
  </conditionalFormatting>
  <conditionalFormatting sqref="Q242">
    <cfRule type="iconSet" priority="2645">
      <iconSet iconSet="3Symbols" showValue="0" reverse="1">
        <cfvo type="percent" val="0"/>
        <cfvo type="num" val="1"/>
        <cfvo type="num" val="1.05"/>
      </iconSet>
    </cfRule>
  </conditionalFormatting>
  <conditionalFormatting sqref="N242">
    <cfRule type="cellIs" dxfId="2043" priority="2643" operator="lessThan">
      <formula>0</formula>
    </cfRule>
    <cfRule type="cellIs" dxfId="2042" priority="2644" operator="greaterThan">
      <formula>0</formula>
    </cfRule>
  </conditionalFormatting>
  <conditionalFormatting sqref="F242">
    <cfRule type="cellIs" dxfId="2041" priority="2641" operator="lessThan">
      <formula>0</formula>
    </cfRule>
    <cfRule type="cellIs" dxfId="2040" priority="2642" operator="greaterThan">
      <formula>0</formula>
    </cfRule>
  </conditionalFormatting>
  <conditionalFormatting sqref="U242">
    <cfRule type="iconSet" priority="2646">
      <iconSet iconSet="3Symbols" showValue="0" reverse="1">
        <cfvo type="percent" val="0"/>
        <cfvo type="num" val="1"/>
        <cfvo type="num" val="1.05"/>
      </iconSet>
    </cfRule>
  </conditionalFormatting>
  <conditionalFormatting sqref="P242">
    <cfRule type="iconSet" priority="2647">
      <iconSet iconSet="3Symbols" showValue="0" reverse="1">
        <cfvo type="percent" val="0"/>
        <cfvo type="num" val="1"/>
        <cfvo type="num" val="1.05"/>
      </iconSet>
    </cfRule>
  </conditionalFormatting>
  <conditionalFormatting sqref="Q241">
    <cfRule type="iconSet" priority="2638">
      <iconSet iconSet="3Symbols" showValue="0" reverse="1">
        <cfvo type="percent" val="0"/>
        <cfvo type="num" val="1"/>
        <cfvo type="num" val="1.05"/>
      </iconSet>
    </cfRule>
  </conditionalFormatting>
  <conditionalFormatting sqref="N241">
    <cfRule type="cellIs" dxfId="2039" priority="2636" operator="lessThan">
      <formula>0</formula>
    </cfRule>
    <cfRule type="cellIs" dxfId="2038" priority="2637" operator="greaterThan">
      <formula>0</formula>
    </cfRule>
  </conditionalFormatting>
  <conditionalFormatting sqref="F241">
    <cfRule type="cellIs" dxfId="2037" priority="2634" operator="lessThan">
      <formula>0</formula>
    </cfRule>
    <cfRule type="cellIs" dxfId="2036" priority="2635" operator="greaterThan">
      <formula>0</formula>
    </cfRule>
  </conditionalFormatting>
  <conditionalFormatting sqref="U241">
    <cfRule type="iconSet" priority="2639">
      <iconSet iconSet="3Symbols" showValue="0" reverse="1">
        <cfvo type="percent" val="0"/>
        <cfvo type="num" val="1"/>
        <cfvo type="num" val="1.05"/>
      </iconSet>
    </cfRule>
  </conditionalFormatting>
  <conditionalFormatting sqref="P241">
    <cfRule type="iconSet" priority="2640">
      <iconSet iconSet="3Symbols" showValue="0" reverse="1">
        <cfvo type="percent" val="0"/>
        <cfvo type="num" val="1"/>
        <cfvo type="num" val="1.05"/>
      </iconSet>
    </cfRule>
  </conditionalFormatting>
  <conditionalFormatting sqref="Q239:Q240">
    <cfRule type="iconSet" priority="2631">
      <iconSet iconSet="3Symbols" showValue="0" reverse="1">
        <cfvo type="percent" val="0"/>
        <cfvo type="num" val="1"/>
        <cfvo type="num" val="1.05"/>
      </iconSet>
    </cfRule>
  </conditionalFormatting>
  <conditionalFormatting sqref="N239:N240">
    <cfRule type="cellIs" dxfId="2035" priority="2629" operator="lessThan">
      <formula>0</formula>
    </cfRule>
    <cfRule type="cellIs" dxfId="2034" priority="2630" operator="greaterThan">
      <formula>0</formula>
    </cfRule>
  </conditionalFormatting>
  <conditionalFormatting sqref="F239:F240">
    <cfRule type="cellIs" dxfId="2033" priority="2627" operator="lessThan">
      <formula>0</formula>
    </cfRule>
    <cfRule type="cellIs" dxfId="2032" priority="2628" operator="greaterThan">
      <formula>0</formula>
    </cfRule>
  </conditionalFormatting>
  <conditionalFormatting sqref="U239:U240">
    <cfRule type="iconSet" priority="2632">
      <iconSet iconSet="3Symbols" showValue="0" reverse="1">
        <cfvo type="percent" val="0"/>
        <cfvo type="num" val="1"/>
        <cfvo type="num" val="1.05"/>
      </iconSet>
    </cfRule>
  </conditionalFormatting>
  <conditionalFormatting sqref="P239:P240">
    <cfRule type="iconSet" priority="2633">
      <iconSet iconSet="3Symbols" showValue="0" reverse="1">
        <cfvo type="percent" val="0"/>
        <cfvo type="num" val="1"/>
        <cfvo type="num" val="1.05"/>
      </iconSet>
    </cfRule>
  </conditionalFormatting>
  <conditionalFormatting sqref="Q238">
    <cfRule type="iconSet" priority="2624">
      <iconSet iconSet="3Symbols" showValue="0" reverse="1">
        <cfvo type="percent" val="0"/>
        <cfvo type="num" val="1"/>
        <cfvo type="num" val="1.05"/>
      </iconSet>
    </cfRule>
  </conditionalFormatting>
  <conditionalFormatting sqref="N238">
    <cfRule type="cellIs" dxfId="2031" priority="2622" operator="lessThan">
      <formula>0</formula>
    </cfRule>
    <cfRule type="cellIs" dxfId="2030" priority="2623" operator="greaterThan">
      <formula>0</formula>
    </cfRule>
  </conditionalFormatting>
  <conditionalFormatting sqref="F238">
    <cfRule type="cellIs" dxfId="2029" priority="2620" operator="lessThan">
      <formula>0</formula>
    </cfRule>
    <cfRule type="cellIs" dxfId="2028" priority="2621" operator="greaterThan">
      <formula>0</formula>
    </cfRule>
  </conditionalFormatting>
  <conditionalFormatting sqref="U238">
    <cfRule type="iconSet" priority="2625">
      <iconSet iconSet="3Symbols" showValue="0" reverse="1">
        <cfvo type="percent" val="0"/>
        <cfvo type="num" val="1"/>
        <cfvo type="num" val="1.05"/>
      </iconSet>
    </cfRule>
  </conditionalFormatting>
  <conditionalFormatting sqref="P238">
    <cfRule type="iconSet" priority="2626">
      <iconSet iconSet="3Symbols" showValue="0" reverse="1">
        <cfvo type="percent" val="0"/>
        <cfvo type="num" val="1"/>
        <cfvo type="num" val="1.05"/>
      </iconSet>
    </cfRule>
  </conditionalFormatting>
  <conditionalFormatting sqref="Q237">
    <cfRule type="iconSet" priority="2617">
      <iconSet iconSet="3Symbols" showValue="0" reverse="1">
        <cfvo type="percent" val="0"/>
        <cfvo type="num" val="1"/>
        <cfvo type="num" val="1.05"/>
      </iconSet>
    </cfRule>
  </conditionalFormatting>
  <conditionalFormatting sqref="N237">
    <cfRule type="cellIs" dxfId="2027" priority="2615" operator="lessThan">
      <formula>0</formula>
    </cfRule>
    <cfRule type="cellIs" dxfId="2026" priority="2616" operator="greaterThan">
      <formula>0</formula>
    </cfRule>
  </conditionalFormatting>
  <conditionalFormatting sqref="F237">
    <cfRule type="cellIs" dxfId="2025" priority="2613" operator="lessThan">
      <formula>0</formula>
    </cfRule>
    <cfRule type="cellIs" dxfId="2024" priority="2614" operator="greaterThan">
      <formula>0</formula>
    </cfRule>
  </conditionalFormatting>
  <conditionalFormatting sqref="U237">
    <cfRule type="iconSet" priority="2618">
      <iconSet iconSet="3Symbols" showValue="0" reverse="1">
        <cfvo type="percent" val="0"/>
        <cfvo type="num" val="1"/>
        <cfvo type="num" val="1.05"/>
      </iconSet>
    </cfRule>
  </conditionalFormatting>
  <conditionalFormatting sqref="P237">
    <cfRule type="iconSet" priority="2619">
      <iconSet iconSet="3Symbols" showValue="0" reverse="1">
        <cfvo type="percent" val="0"/>
        <cfvo type="num" val="1"/>
        <cfvo type="num" val="1.05"/>
      </iconSet>
    </cfRule>
  </conditionalFormatting>
  <conditionalFormatting sqref="Q236">
    <cfRule type="iconSet" priority="2610">
      <iconSet iconSet="3Symbols" showValue="0" reverse="1">
        <cfvo type="percent" val="0"/>
        <cfvo type="num" val="1"/>
        <cfvo type="num" val="1.05"/>
      </iconSet>
    </cfRule>
  </conditionalFormatting>
  <conditionalFormatting sqref="N236">
    <cfRule type="cellIs" dxfId="2023" priority="2608" operator="lessThan">
      <formula>0</formula>
    </cfRule>
    <cfRule type="cellIs" dxfId="2022" priority="2609" operator="greaterThan">
      <formula>0</formula>
    </cfRule>
  </conditionalFormatting>
  <conditionalFormatting sqref="F236">
    <cfRule type="cellIs" dxfId="2021" priority="2606" operator="lessThan">
      <formula>0</formula>
    </cfRule>
    <cfRule type="cellIs" dxfId="2020" priority="2607" operator="greaterThan">
      <formula>0</formula>
    </cfRule>
  </conditionalFormatting>
  <conditionalFormatting sqref="U236">
    <cfRule type="iconSet" priority="2611">
      <iconSet iconSet="3Symbols" showValue="0" reverse="1">
        <cfvo type="percent" val="0"/>
        <cfvo type="num" val="1"/>
        <cfvo type="num" val="1.05"/>
      </iconSet>
    </cfRule>
  </conditionalFormatting>
  <conditionalFormatting sqref="P236">
    <cfRule type="iconSet" priority="2612">
      <iconSet iconSet="3Symbols" showValue="0" reverse="1">
        <cfvo type="percent" val="0"/>
        <cfvo type="num" val="1"/>
        <cfvo type="num" val="1.05"/>
      </iconSet>
    </cfRule>
  </conditionalFormatting>
  <conditionalFormatting sqref="Q235">
    <cfRule type="iconSet" priority="2603">
      <iconSet iconSet="3Symbols" showValue="0" reverse="1">
        <cfvo type="percent" val="0"/>
        <cfvo type="num" val="1"/>
        <cfvo type="num" val="1.05"/>
      </iconSet>
    </cfRule>
  </conditionalFormatting>
  <conditionalFormatting sqref="N235">
    <cfRule type="cellIs" dxfId="2019" priority="2601" operator="lessThan">
      <formula>0</formula>
    </cfRule>
    <cfRule type="cellIs" dxfId="2018" priority="2602" operator="greaterThan">
      <formula>0</formula>
    </cfRule>
  </conditionalFormatting>
  <conditionalFormatting sqref="F235">
    <cfRule type="cellIs" dxfId="2017" priority="2599" operator="lessThan">
      <formula>0</formula>
    </cfRule>
    <cfRule type="cellIs" dxfId="2016" priority="2600" operator="greaterThan">
      <formula>0</formula>
    </cfRule>
  </conditionalFormatting>
  <conditionalFormatting sqref="U235">
    <cfRule type="iconSet" priority="2604">
      <iconSet iconSet="3Symbols" showValue="0" reverse="1">
        <cfvo type="percent" val="0"/>
        <cfvo type="num" val="1"/>
        <cfvo type="num" val="1.05"/>
      </iconSet>
    </cfRule>
  </conditionalFormatting>
  <conditionalFormatting sqref="P235">
    <cfRule type="iconSet" priority="2605">
      <iconSet iconSet="3Symbols" showValue="0" reverse="1">
        <cfvo type="percent" val="0"/>
        <cfvo type="num" val="1"/>
        <cfvo type="num" val="1.05"/>
      </iconSet>
    </cfRule>
  </conditionalFormatting>
  <conditionalFormatting sqref="Q234">
    <cfRule type="iconSet" priority="2596">
      <iconSet iconSet="3Symbols" showValue="0" reverse="1">
        <cfvo type="percent" val="0"/>
        <cfvo type="num" val="1"/>
        <cfvo type="num" val="1.05"/>
      </iconSet>
    </cfRule>
  </conditionalFormatting>
  <conditionalFormatting sqref="N234">
    <cfRule type="cellIs" dxfId="2015" priority="2594" operator="lessThan">
      <formula>0</formula>
    </cfRule>
    <cfRule type="cellIs" dxfId="2014" priority="2595" operator="greaterThan">
      <formula>0</formula>
    </cfRule>
  </conditionalFormatting>
  <conditionalFormatting sqref="F234">
    <cfRule type="cellIs" dxfId="2013" priority="2592" operator="lessThan">
      <formula>0</formula>
    </cfRule>
    <cfRule type="cellIs" dxfId="2012" priority="2593" operator="greaterThan">
      <formula>0</formula>
    </cfRule>
  </conditionalFormatting>
  <conditionalFormatting sqref="U234">
    <cfRule type="iconSet" priority="2597">
      <iconSet iconSet="3Symbols" showValue="0" reverse="1">
        <cfvo type="percent" val="0"/>
        <cfvo type="num" val="1"/>
        <cfvo type="num" val="1.05"/>
      </iconSet>
    </cfRule>
  </conditionalFormatting>
  <conditionalFormatting sqref="P234">
    <cfRule type="iconSet" priority="2598">
      <iconSet iconSet="3Symbols" showValue="0" reverse="1">
        <cfvo type="percent" val="0"/>
        <cfvo type="num" val="1"/>
        <cfvo type="num" val="1.05"/>
      </iconSet>
    </cfRule>
  </conditionalFormatting>
  <conditionalFormatting sqref="Q233">
    <cfRule type="iconSet" priority="2589">
      <iconSet iconSet="3Symbols" showValue="0" reverse="1">
        <cfvo type="percent" val="0"/>
        <cfvo type="num" val="1"/>
        <cfvo type="num" val="1.05"/>
      </iconSet>
    </cfRule>
  </conditionalFormatting>
  <conditionalFormatting sqref="N233">
    <cfRule type="cellIs" dxfId="2011" priority="2587" operator="lessThan">
      <formula>0</formula>
    </cfRule>
    <cfRule type="cellIs" dxfId="2010" priority="2588" operator="greaterThan">
      <formula>0</formula>
    </cfRule>
  </conditionalFormatting>
  <conditionalFormatting sqref="F233">
    <cfRule type="cellIs" dxfId="2009" priority="2585" operator="lessThan">
      <formula>0</formula>
    </cfRule>
    <cfRule type="cellIs" dxfId="2008" priority="2586" operator="greaterThan">
      <formula>0</formula>
    </cfRule>
  </conditionalFormatting>
  <conditionalFormatting sqref="U233">
    <cfRule type="iconSet" priority="2590">
      <iconSet iconSet="3Symbols" showValue="0" reverse="1">
        <cfvo type="percent" val="0"/>
        <cfvo type="num" val="1"/>
        <cfvo type="num" val="1.05"/>
      </iconSet>
    </cfRule>
  </conditionalFormatting>
  <conditionalFormatting sqref="P233">
    <cfRule type="iconSet" priority="2591">
      <iconSet iconSet="3Symbols" showValue="0" reverse="1">
        <cfvo type="percent" val="0"/>
        <cfvo type="num" val="1"/>
        <cfvo type="num" val="1.05"/>
      </iconSet>
    </cfRule>
  </conditionalFormatting>
  <conditionalFormatting sqref="Q232">
    <cfRule type="iconSet" priority="2582">
      <iconSet iconSet="3Symbols" showValue="0" reverse="1">
        <cfvo type="percent" val="0"/>
        <cfvo type="num" val="1"/>
        <cfvo type="num" val="1.05"/>
      </iconSet>
    </cfRule>
  </conditionalFormatting>
  <conditionalFormatting sqref="N232">
    <cfRule type="cellIs" dxfId="2007" priority="2580" operator="lessThan">
      <formula>0</formula>
    </cfRule>
    <cfRule type="cellIs" dxfId="2006" priority="2581" operator="greaterThan">
      <formula>0</formula>
    </cfRule>
  </conditionalFormatting>
  <conditionalFormatting sqref="F232">
    <cfRule type="cellIs" dxfId="2005" priority="2578" operator="lessThan">
      <formula>0</formula>
    </cfRule>
    <cfRule type="cellIs" dxfId="2004" priority="2579" operator="greaterThan">
      <formula>0</formula>
    </cfRule>
  </conditionalFormatting>
  <conditionalFormatting sqref="U232">
    <cfRule type="iconSet" priority="2583">
      <iconSet iconSet="3Symbols" showValue="0" reverse="1">
        <cfvo type="percent" val="0"/>
        <cfvo type="num" val="1"/>
        <cfvo type="num" val="1.05"/>
      </iconSet>
    </cfRule>
  </conditionalFormatting>
  <conditionalFormatting sqref="P232">
    <cfRule type="iconSet" priority="2584">
      <iconSet iconSet="3Symbols" showValue="0" reverse="1">
        <cfvo type="percent" val="0"/>
        <cfvo type="num" val="1"/>
        <cfvo type="num" val="1.05"/>
      </iconSet>
    </cfRule>
  </conditionalFormatting>
  <conditionalFormatting sqref="Q230:Q231">
    <cfRule type="iconSet" priority="2575">
      <iconSet iconSet="3Symbols" showValue="0" reverse="1">
        <cfvo type="percent" val="0"/>
        <cfvo type="num" val="1"/>
        <cfvo type="num" val="1.05"/>
      </iconSet>
    </cfRule>
  </conditionalFormatting>
  <conditionalFormatting sqref="N230:N231">
    <cfRule type="cellIs" dxfId="2003" priority="2573" operator="lessThan">
      <formula>0</formula>
    </cfRule>
    <cfRule type="cellIs" dxfId="2002" priority="2574" operator="greaterThan">
      <formula>0</formula>
    </cfRule>
  </conditionalFormatting>
  <conditionalFormatting sqref="F230:F231">
    <cfRule type="cellIs" dxfId="2001" priority="2571" operator="lessThan">
      <formula>0</formula>
    </cfRule>
    <cfRule type="cellIs" dxfId="2000" priority="2572" operator="greaterThan">
      <formula>0</formula>
    </cfRule>
  </conditionalFormatting>
  <conditionalFormatting sqref="U230:U231">
    <cfRule type="iconSet" priority="2576">
      <iconSet iconSet="3Symbols" showValue="0" reverse="1">
        <cfvo type="percent" val="0"/>
        <cfvo type="num" val="1"/>
        <cfvo type="num" val="1.05"/>
      </iconSet>
    </cfRule>
  </conditionalFormatting>
  <conditionalFormatting sqref="P230:P231">
    <cfRule type="iconSet" priority="2577">
      <iconSet iconSet="3Symbols" showValue="0" reverse="1">
        <cfvo type="percent" val="0"/>
        <cfvo type="num" val="1"/>
        <cfvo type="num" val="1.05"/>
      </iconSet>
    </cfRule>
  </conditionalFormatting>
  <conditionalFormatting sqref="Q229">
    <cfRule type="iconSet" priority="2568">
      <iconSet iconSet="3Symbols" showValue="0" reverse="1">
        <cfvo type="percent" val="0"/>
        <cfvo type="num" val="1"/>
        <cfvo type="num" val="1.05"/>
      </iconSet>
    </cfRule>
  </conditionalFormatting>
  <conditionalFormatting sqref="N229">
    <cfRule type="cellIs" dxfId="1999" priority="2566" operator="lessThan">
      <formula>0</formula>
    </cfRule>
    <cfRule type="cellIs" dxfId="1998" priority="2567" operator="greaterThan">
      <formula>0</formula>
    </cfRule>
  </conditionalFormatting>
  <conditionalFormatting sqref="F229">
    <cfRule type="cellIs" dxfId="1997" priority="2564" operator="lessThan">
      <formula>0</formula>
    </cfRule>
    <cfRule type="cellIs" dxfId="1996" priority="2565" operator="greaterThan">
      <formula>0</formula>
    </cfRule>
  </conditionalFormatting>
  <conditionalFormatting sqref="U229">
    <cfRule type="iconSet" priority="2569">
      <iconSet iconSet="3Symbols" showValue="0" reverse="1">
        <cfvo type="percent" val="0"/>
        <cfvo type="num" val="1"/>
        <cfvo type="num" val="1.05"/>
      </iconSet>
    </cfRule>
  </conditionalFormatting>
  <conditionalFormatting sqref="P229">
    <cfRule type="iconSet" priority="2570">
      <iconSet iconSet="3Symbols" showValue="0" reverse="1">
        <cfvo type="percent" val="0"/>
        <cfvo type="num" val="1"/>
        <cfvo type="num" val="1.05"/>
      </iconSet>
    </cfRule>
  </conditionalFormatting>
  <conditionalFormatting sqref="Q228">
    <cfRule type="iconSet" priority="2561">
      <iconSet iconSet="3Symbols" showValue="0" reverse="1">
        <cfvo type="percent" val="0"/>
        <cfvo type="num" val="1"/>
        <cfvo type="num" val="1.05"/>
      </iconSet>
    </cfRule>
  </conditionalFormatting>
  <conditionalFormatting sqref="N228">
    <cfRule type="cellIs" dxfId="1995" priority="2559" operator="lessThan">
      <formula>0</formula>
    </cfRule>
    <cfRule type="cellIs" dxfId="1994" priority="2560" operator="greaterThan">
      <formula>0</formula>
    </cfRule>
  </conditionalFormatting>
  <conditionalFormatting sqref="F228">
    <cfRule type="cellIs" dxfId="1993" priority="2557" operator="lessThan">
      <formula>0</formula>
    </cfRule>
    <cfRule type="cellIs" dxfId="1992" priority="2558" operator="greaterThan">
      <formula>0</formula>
    </cfRule>
  </conditionalFormatting>
  <conditionalFormatting sqref="U228">
    <cfRule type="iconSet" priority="2562">
      <iconSet iconSet="3Symbols" showValue="0" reverse="1">
        <cfvo type="percent" val="0"/>
        <cfvo type="num" val="1"/>
        <cfvo type="num" val="1.05"/>
      </iconSet>
    </cfRule>
  </conditionalFormatting>
  <conditionalFormatting sqref="P228">
    <cfRule type="iconSet" priority="2563">
      <iconSet iconSet="3Symbols" showValue="0" reverse="1">
        <cfvo type="percent" val="0"/>
        <cfvo type="num" val="1"/>
        <cfvo type="num" val="1.05"/>
      </iconSet>
    </cfRule>
  </conditionalFormatting>
  <conditionalFormatting sqref="Q227">
    <cfRule type="iconSet" priority="2554">
      <iconSet iconSet="3Symbols" showValue="0" reverse="1">
        <cfvo type="percent" val="0"/>
        <cfvo type="num" val="1"/>
        <cfvo type="num" val="1.05"/>
      </iconSet>
    </cfRule>
  </conditionalFormatting>
  <conditionalFormatting sqref="N227">
    <cfRule type="cellIs" dxfId="1991" priority="2552" operator="lessThan">
      <formula>0</formula>
    </cfRule>
    <cfRule type="cellIs" dxfId="1990" priority="2553" operator="greaterThan">
      <formula>0</formula>
    </cfRule>
  </conditionalFormatting>
  <conditionalFormatting sqref="F227">
    <cfRule type="cellIs" dxfId="1989" priority="2550" operator="lessThan">
      <formula>0</formula>
    </cfRule>
    <cfRule type="cellIs" dxfId="1988" priority="2551" operator="greaterThan">
      <formula>0</formula>
    </cfRule>
  </conditionalFormatting>
  <conditionalFormatting sqref="U227">
    <cfRule type="iconSet" priority="2555">
      <iconSet iconSet="3Symbols" showValue="0" reverse="1">
        <cfvo type="percent" val="0"/>
        <cfvo type="num" val="1"/>
        <cfvo type="num" val="1.05"/>
      </iconSet>
    </cfRule>
  </conditionalFormatting>
  <conditionalFormatting sqref="P227">
    <cfRule type="iconSet" priority="2556">
      <iconSet iconSet="3Symbols" showValue="0" reverse="1">
        <cfvo type="percent" val="0"/>
        <cfvo type="num" val="1"/>
        <cfvo type="num" val="1.05"/>
      </iconSet>
    </cfRule>
  </conditionalFormatting>
  <conditionalFormatting sqref="Q226">
    <cfRule type="iconSet" priority="2547">
      <iconSet iconSet="3Symbols" showValue="0" reverse="1">
        <cfvo type="percent" val="0"/>
        <cfvo type="num" val="1"/>
        <cfvo type="num" val="1.05"/>
      </iconSet>
    </cfRule>
  </conditionalFormatting>
  <conditionalFormatting sqref="N226">
    <cfRule type="cellIs" dxfId="1987" priority="2545" operator="lessThan">
      <formula>0</formula>
    </cfRule>
    <cfRule type="cellIs" dxfId="1986" priority="2546" operator="greaterThan">
      <formula>0</formula>
    </cfRule>
  </conditionalFormatting>
  <conditionalFormatting sqref="F226">
    <cfRule type="cellIs" dxfId="1985" priority="2543" operator="lessThan">
      <formula>0</formula>
    </cfRule>
    <cfRule type="cellIs" dxfId="1984" priority="2544" operator="greaterThan">
      <formula>0</formula>
    </cfRule>
  </conditionalFormatting>
  <conditionalFormatting sqref="U226">
    <cfRule type="iconSet" priority="2548">
      <iconSet iconSet="3Symbols" showValue="0" reverse="1">
        <cfvo type="percent" val="0"/>
        <cfvo type="num" val="1"/>
        <cfvo type="num" val="1.05"/>
      </iconSet>
    </cfRule>
  </conditionalFormatting>
  <conditionalFormatting sqref="P226">
    <cfRule type="iconSet" priority="2549">
      <iconSet iconSet="3Symbols" showValue="0" reverse="1">
        <cfvo type="percent" val="0"/>
        <cfvo type="num" val="1"/>
        <cfvo type="num" val="1.05"/>
      </iconSet>
    </cfRule>
  </conditionalFormatting>
  <conditionalFormatting sqref="Q225">
    <cfRule type="iconSet" priority="2540">
      <iconSet iconSet="3Symbols" showValue="0" reverse="1">
        <cfvo type="percent" val="0"/>
        <cfvo type="num" val="1"/>
        <cfvo type="num" val="1.05"/>
      </iconSet>
    </cfRule>
  </conditionalFormatting>
  <conditionalFormatting sqref="N225">
    <cfRule type="cellIs" dxfId="1983" priority="2538" operator="lessThan">
      <formula>0</formula>
    </cfRule>
    <cfRule type="cellIs" dxfId="1982" priority="2539" operator="greaterThan">
      <formula>0</formula>
    </cfRule>
  </conditionalFormatting>
  <conditionalFormatting sqref="F225">
    <cfRule type="cellIs" dxfId="1981" priority="2536" operator="lessThan">
      <formula>0</formula>
    </cfRule>
    <cfRule type="cellIs" dxfId="1980" priority="2537" operator="greaterThan">
      <formula>0</formula>
    </cfRule>
  </conditionalFormatting>
  <conditionalFormatting sqref="U225">
    <cfRule type="iconSet" priority="2541">
      <iconSet iconSet="3Symbols" showValue="0" reverse="1">
        <cfvo type="percent" val="0"/>
        <cfvo type="num" val="1"/>
        <cfvo type="num" val="1.05"/>
      </iconSet>
    </cfRule>
  </conditionalFormatting>
  <conditionalFormatting sqref="P225">
    <cfRule type="iconSet" priority="2542">
      <iconSet iconSet="3Symbols" showValue="0" reverse="1">
        <cfvo type="percent" val="0"/>
        <cfvo type="num" val="1"/>
        <cfvo type="num" val="1.05"/>
      </iconSet>
    </cfRule>
  </conditionalFormatting>
  <conditionalFormatting sqref="Q224">
    <cfRule type="iconSet" priority="2533">
      <iconSet iconSet="3Symbols" showValue="0" reverse="1">
        <cfvo type="percent" val="0"/>
        <cfvo type="num" val="1"/>
        <cfvo type="num" val="1.05"/>
      </iconSet>
    </cfRule>
  </conditionalFormatting>
  <conditionalFormatting sqref="N224">
    <cfRule type="cellIs" dxfId="1979" priority="2531" operator="lessThan">
      <formula>0</formula>
    </cfRule>
    <cfRule type="cellIs" dxfId="1978" priority="2532" operator="greaterThan">
      <formula>0</formula>
    </cfRule>
  </conditionalFormatting>
  <conditionalFormatting sqref="F224">
    <cfRule type="cellIs" dxfId="1977" priority="2529" operator="lessThan">
      <formula>0</formula>
    </cfRule>
    <cfRule type="cellIs" dxfId="1976" priority="2530" operator="greaterThan">
      <formula>0</formula>
    </cfRule>
  </conditionalFormatting>
  <conditionalFormatting sqref="U224">
    <cfRule type="iconSet" priority="2534">
      <iconSet iconSet="3Symbols" showValue="0" reverse="1">
        <cfvo type="percent" val="0"/>
        <cfvo type="num" val="1"/>
        <cfvo type="num" val="1.05"/>
      </iconSet>
    </cfRule>
  </conditionalFormatting>
  <conditionalFormatting sqref="P224">
    <cfRule type="iconSet" priority="2535">
      <iconSet iconSet="3Symbols" showValue="0" reverse="1">
        <cfvo type="percent" val="0"/>
        <cfvo type="num" val="1"/>
        <cfvo type="num" val="1.05"/>
      </iconSet>
    </cfRule>
  </conditionalFormatting>
  <conditionalFormatting sqref="Q223">
    <cfRule type="iconSet" priority="2526">
      <iconSet iconSet="3Symbols" showValue="0" reverse="1">
        <cfvo type="percent" val="0"/>
        <cfvo type="num" val="1"/>
        <cfvo type="num" val="1.05"/>
      </iconSet>
    </cfRule>
  </conditionalFormatting>
  <conditionalFormatting sqref="N223">
    <cfRule type="cellIs" dxfId="1975" priority="2524" operator="lessThan">
      <formula>0</formula>
    </cfRule>
    <cfRule type="cellIs" dxfId="1974" priority="2525" operator="greaterThan">
      <formula>0</formula>
    </cfRule>
  </conditionalFormatting>
  <conditionalFormatting sqref="F223">
    <cfRule type="cellIs" dxfId="1973" priority="2522" operator="lessThan">
      <formula>0</formula>
    </cfRule>
    <cfRule type="cellIs" dxfId="1972" priority="2523" operator="greaterThan">
      <formula>0</formula>
    </cfRule>
  </conditionalFormatting>
  <conditionalFormatting sqref="U223">
    <cfRule type="iconSet" priority="2527">
      <iconSet iconSet="3Symbols" showValue="0" reverse="1">
        <cfvo type="percent" val="0"/>
        <cfvo type="num" val="1"/>
        <cfvo type="num" val="1.05"/>
      </iconSet>
    </cfRule>
  </conditionalFormatting>
  <conditionalFormatting sqref="P223">
    <cfRule type="iconSet" priority="2528">
      <iconSet iconSet="3Symbols" showValue="0" reverse="1">
        <cfvo type="percent" val="0"/>
        <cfvo type="num" val="1"/>
        <cfvo type="num" val="1.05"/>
      </iconSet>
    </cfRule>
  </conditionalFormatting>
  <conditionalFormatting sqref="Q221:Q222">
    <cfRule type="iconSet" priority="2519">
      <iconSet iconSet="3Symbols" showValue="0" reverse="1">
        <cfvo type="percent" val="0"/>
        <cfvo type="num" val="1"/>
        <cfvo type="num" val="1.05"/>
      </iconSet>
    </cfRule>
  </conditionalFormatting>
  <conditionalFormatting sqref="N221:N222">
    <cfRule type="cellIs" dxfId="1971" priority="2517" operator="lessThan">
      <formula>0</formula>
    </cfRule>
    <cfRule type="cellIs" dxfId="1970" priority="2518" operator="greaterThan">
      <formula>0</formula>
    </cfRule>
  </conditionalFormatting>
  <conditionalFormatting sqref="F221:F222">
    <cfRule type="cellIs" dxfId="1969" priority="2515" operator="lessThan">
      <formula>0</formula>
    </cfRule>
    <cfRule type="cellIs" dxfId="1968" priority="2516" operator="greaterThan">
      <formula>0</formula>
    </cfRule>
  </conditionalFormatting>
  <conditionalFormatting sqref="U221:U222">
    <cfRule type="iconSet" priority="2520">
      <iconSet iconSet="3Symbols" showValue="0" reverse="1">
        <cfvo type="percent" val="0"/>
        <cfvo type="num" val="1"/>
        <cfvo type="num" val="1.05"/>
      </iconSet>
    </cfRule>
  </conditionalFormatting>
  <conditionalFormatting sqref="P221:P222">
    <cfRule type="iconSet" priority="2521">
      <iconSet iconSet="3Symbols" showValue="0" reverse="1">
        <cfvo type="percent" val="0"/>
        <cfvo type="num" val="1"/>
        <cfvo type="num" val="1.05"/>
      </iconSet>
    </cfRule>
  </conditionalFormatting>
  <conditionalFormatting sqref="Q220">
    <cfRule type="iconSet" priority="2512">
      <iconSet iconSet="3Symbols" showValue="0" reverse="1">
        <cfvo type="percent" val="0"/>
        <cfvo type="num" val="1"/>
        <cfvo type="num" val="1.05"/>
      </iconSet>
    </cfRule>
  </conditionalFormatting>
  <conditionalFormatting sqref="N220">
    <cfRule type="cellIs" dxfId="1967" priority="2510" operator="lessThan">
      <formula>0</formula>
    </cfRule>
    <cfRule type="cellIs" dxfId="1966" priority="2511" operator="greaterThan">
      <formula>0</formula>
    </cfRule>
  </conditionalFormatting>
  <conditionalFormatting sqref="F220">
    <cfRule type="cellIs" dxfId="1965" priority="2508" operator="lessThan">
      <formula>0</formula>
    </cfRule>
    <cfRule type="cellIs" dxfId="1964" priority="2509" operator="greaterThan">
      <formula>0</formula>
    </cfRule>
  </conditionalFormatting>
  <conditionalFormatting sqref="U220">
    <cfRule type="iconSet" priority="2513">
      <iconSet iconSet="3Symbols" showValue="0" reverse="1">
        <cfvo type="percent" val="0"/>
        <cfvo type="num" val="1"/>
        <cfvo type="num" val="1.05"/>
      </iconSet>
    </cfRule>
  </conditionalFormatting>
  <conditionalFormatting sqref="P220">
    <cfRule type="iconSet" priority="2514">
      <iconSet iconSet="3Symbols" showValue="0" reverse="1">
        <cfvo type="percent" val="0"/>
        <cfvo type="num" val="1"/>
        <cfvo type="num" val="1.05"/>
      </iconSet>
    </cfRule>
  </conditionalFormatting>
  <conditionalFormatting sqref="Q219">
    <cfRule type="iconSet" priority="2505">
      <iconSet iconSet="3Symbols" showValue="0" reverse="1">
        <cfvo type="percent" val="0"/>
        <cfvo type="num" val="1"/>
        <cfvo type="num" val="1.05"/>
      </iconSet>
    </cfRule>
  </conditionalFormatting>
  <conditionalFormatting sqref="N219">
    <cfRule type="cellIs" dxfId="1963" priority="2503" operator="lessThan">
      <formula>0</formula>
    </cfRule>
    <cfRule type="cellIs" dxfId="1962" priority="2504" operator="greaterThan">
      <formula>0</formula>
    </cfRule>
  </conditionalFormatting>
  <conditionalFormatting sqref="F219">
    <cfRule type="cellIs" dxfId="1961" priority="2501" operator="lessThan">
      <formula>0</formula>
    </cfRule>
    <cfRule type="cellIs" dxfId="1960" priority="2502" operator="greaterThan">
      <formula>0</formula>
    </cfRule>
  </conditionalFormatting>
  <conditionalFormatting sqref="U219">
    <cfRule type="iconSet" priority="2506">
      <iconSet iconSet="3Symbols" showValue="0" reverse="1">
        <cfvo type="percent" val="0"/>
        <cfvo type="num" val="1"/>
        <cfvo type="num" val="1.05"/>
      </iconSet>
    </cfRule>
  </conditionalFormatting>
  <conditionalFormatting sqref="P219">
    <cfRule type="iconSet" priority="2507">
      <iconSet iconSet="3Symbols" showValue="0" reverse="1">
        <cfvo type="percent" val="0"/>
        <cfvo type="num" val="1"/>
        <cfvo type="num" val="1.05"/>
      </iconSet>
    </cfRule>
  </conditionalFormatting>
  <conditionalFormatting sqref="Q218">
    <cfRule type="iconSet" priority="2498">
      <iconSet iconSet="3Symbols" showValue="0" reverse="1">
        <cfvo type="percent" val="0"/>
        <cfvo type="num" val="1"/>
        <cfvo type="num" val="1.05"/>
      </iconSet>
    </cfRule>
  </conditionalFormatting>
  <conditionalFormatting sqref="N218">
    <cfRule type="cellIs" dxfId="1959" priority="2496" operator="lessThan">
      <formula>0</formula>
    </cfRule>
    <cfRule type="cellIs" dxfId="1958" priority="2497" operator="greaterThan">
      <formula>0</formula>
    </cfRule>
  </conditionalFormatting>
  <conditionalFormatting sqref="F218">
    <cfRule type="cellIs" dxfId="1957" priority="2494" operator="lessThan">
      <formula>0</formula>
    </cfRule>
    <cfRule type="cellIs" dxfId="1956" priority="2495" operator="greaterThan">
      <formula>0</formula>
    </cfRule>
  </conditionalFormatting>
  <conditionalFormatting sqref="U218">
    <cfRule type="iconSet" priority="2499">
      <iconSet iconSet="3Symbols" showValue="0" reverse="1">
        <cfvo type="percent" val="0"/>
        <cfvo type="num" val="1"/>
        <cfvo type="num" val="1.05"/>
      </iconSet>
    </cfRule>
  </conditionalFormatting>
  <conditionalFormatting sqref="P218">
    <cfRule type="iconSet" priority="2500">
      <iconSet iconSet="3Symbols" showValue="0" reverse="1">
        <cfvo type="percent" val="0"/>
        <cfvo type="num" val="1"/>
        <cfvo type="num" val="1.05"/>
      </iconSet>
    </cfRule>
  </conditionalFormatting>
  <conditionalFormatting sqref="Q217">
    <cfRule type="iconSet" priority="2491">
      <iconSet iconSet="3Symbols" showValue="0" reverse="1">
        <cfvo type="percent" val="0"/>
        <cfvo type="num" val="1"/>
        <cfvo type="num" val="1.05"/>
      </iconSet>
    </cfRule>
  </conditionalFormatting>
  <conditionalFormatting sqref="N217">
    <cfRule type="cellIs" dxfId="1955" priority="2489" operator="lessThan">
      <formula>0</formula>
    </cfRule>
    <cfRule type="cellIs" dxfId="1954" priority="2490" operator="greaterThan">
      <formula>0</formula>
    </cfRule>
  </conditionalFormatting>
  <conditionalFormatting sqref="F217">
    <cfRule type="cellIs" dxfId="1953" priority="2487" operator="lessThan">
      <formula>0</formula>
    </cfRule>
    <cfRule type="cellIs" dxfId="1952" priority="2488" operator="greaterThan">
      <formula>0</formula>
    </cfRule>
  </conditionalFormatting>
  <conditionalFormatting sqref="U217">
    <cfRule type="iconSet" priority="2492">
      <iconSet iconSet="3Symbols" showValue="0" reverse="1">
        <cfvo type="percent" val="0"/>
        <cfvo type="num" val="1"/>
        <cfvo type="num" val="1.05"/>
      </iconSet>
    </cfRule>
  </conditionalFormatting>
  <conditionalFormatting sqref="P217">
    <cfRule type="iconSet" priority="2493">
      <iconSet iconSet="3Symbols" showValue="0" reverse="1">
        <cfvo type="percent" val="0"/>
        <cfvo type="num" val="1"/>
        <cfvo type="num" val="1.05"/>
      </iconSet>
    </cfRule>
  </conditionalFormatting>
  <conditionalFormatting sqref="Q216">
    <cfRule type="iconSet" priority="2484">
      <iconSet iconSet="3Symbols" showValue="0" reverse="1">
        <cfvo type="percent" val="0"/>
        <cfvo type="num" val="1"/>
        <cfvo type="num" val="1.05"/>
      </iconSet>
    </cfRule>
  </conditionalFormatting>
  <conditionalFormatting sqref="N216">
    <cfRule type="cellIs" dxfId="1951" priority="2482" operator="lessThan">
      <formula>0</formula>
    </cfRule>
    <cfRule type="cellIs" dxfId="1950" priority="2483" operator="greaterThan">
      <formula>0</formula>
    </cfRule>
  </conditionalFormatting>
  <conditionalFormatting sqref="F216">
    <cfRule type="cellIs" dxfId="1949" priority="2480" operator="lessThan">
      <formula>0</formula>
    </cfRule>
    <cfRule type="cellIs" dxfId="1948" priority="2481" operator="greaterThan">
      <formula>0</formula>
    </cfRule>
  </conditionalFormatting>
  <conditionalFormatting sqref="U216">
    <cfRule type="iconSet" priority="2485">
      <iconSet iconSet="3Symbols" showValue="0" reverse="1">
        <cfvo type="percent" val="0"/>
        <cfvo type="num" val="1"/>
        <cfvo type="num" val="1.05"/>
      </iconSet>
    </cfRule>
  </conditionalFormatting>
  <conditionalFormatting sqref="P216">
    <cfRule type="iconSet" priority="2486">
      <iconSet iconSet="3Symbols" showValue="0" reverse="1">
        <cfvo type="percent" val="0"/>
        <cfvo type="num" val="1"/>
        <cfvo type="num" val="1.05"/>
      </iconSet>
    </cfRule>
  </conditionalFormatting>
  <conditionalFormatting sqref="Q215">
    <cfRule type="iconSet" priority="2477">
      <iconSet iconSet="3Symbols" showValue="0" reverse="1">
        <cfvo type="percent" val="0"/>
        <cfvo type="num" val="1"/>
        <cfvo type="num" val="1.05"/>
      </iconSet>
    </cfRule>
  </conditionalFormatting>
  <conditionalFormatting sqref="N215">
    <cfRule type="cellIs" dxfId="1947" priority="2475" operator="lessThan">
      <formula>0</formula>
    </cfRule>
    <cfRule type="cellIs" dxfId="1946" priority="2476" operator="greaterThan">
      <formula>0</formula>
    </cfRule>
  </conditionalFormatting>
  <conditionalFormatting sqref="F215">
    <cfRule type="cellIs" dxfId="1945" priority="2473" operator="lessThan">
      <formula>0</formula>
    </cfRule>
    <cfRule type="cellIs" dxfId="1944" priority="2474" operator="greaterThan">
      <formula>0</formula>
    </cfRule>
  </conditionalFormatting>
  <conditionalFormatting sqref="U215">
    <cfRule type="iconSet" priority="2478">
      <iconSet iconSet="3Symbols" showValue="0" reverse="1">
        <cfvo type="percent" val="0"/>
        <cfvo type="num" val="1"/>
        <cfvo type="num" val="1.05"/>
      </iconSet>
    </cfRule>
  </conditionalFormatting>
  <conditionalFormatting sqref="P215">
    <cfRule type="iconSet" priority="2479">
      <iconSet iconSet="3Symbols" showValue="0" reverse="1">
        <cfvo type="percent" val="0"/>
        <cfvo type="num" val="1"/>
        <cfvo type="num" val="1.05"/>
      </iconSet>
    </cfRule>
  </conditionalFormatting>
  <conditionalFormatting sqref="Q214">
    <cfRule type="iconSet" priority="2470">
      <iconSet iconSet="3Symbols" showValue="0" reverse="1">
        <cfvo type="percent" val="0"/>
        <cfvo type="num" val="1"/>
        <cfvo type="num" val="1.05"/>
      </iconSet>
    </cfRule>
  </conditionalFormatting>
  <conditionalFormatting sqref="N214">
    <cfRule type="cellIs" dxfId="1943" priority="2468" operator="lessThan">
      <formula>0</formula>
    </cfRule>
    <cfRule type="cellIs" dxfId="1942" priority="2469" operator="greaterThan">
      <formula>0</formula>
    </cfRule>
  </conditionalFormatting>
  <conditionalFormatting sqref="F214">
    <cfRule type="cellIs" dxfId="1941" priority="2466" operator="lessThan">
      <formula>0</formula>
    </cfRule>
    <cfRule type="cellIs" dxfId="1940" priority="2467" operator="greaterThan">
      <formula>0</formula>
    </cfRule>
  </conditionalFormatting>
  <conditionalFormatting sqref="U214">
    <cfRule type="iconSet" priority="2471">
      <iconSet iconSet="3Symbols" showValue="0" reverse="1">
        <cfvo type="percent" val="0"/>
        <cfvo type="num" val="1"/>
        <cfvo type="num" val="1.05"/>
      </iconSet>
    </cfRule>
  </conditionalFormatting>
  <conditionalFormatting sqref="P214">
    <cfRule type="iconSet" priority="2472">
      <iconSet iconSet="3Symbols" showValue="0" reverse="1">
        <cfvo type="percent" val="0"/>
        <cfvo type="num" val="1"/>
        <cfvo type="num" val="1.05"/>
      </iconSet>
    </cfRule>
  </conditionalFormatting>
  <conditionalFormatting sqref="Q212:Q213">
    <cfRule type="iconSet" priority="2463">
      <iconSet iconSet="3Symbols" showValue="0" reverse="1">
        <cfvo type="percent" val="0"/>
        <cfvo type="num" val="1"/>
        <cfvo type="num" val="1.05"/>
      </iconSet>
    </cfRule>
  </conditionalFormatting>
  <conditionalFormatting sqref="N212:N213">
    <cfRule type="cellIs" dxfId="1939" priority="2461" operator="lessThan">
      <formula>0</formula>
    </cfRule>
    <cfRule type="cellIs" dxfId="1938" priority="2462" operator="greaterThan">
      <formula>0</formula>
    </cfRule>
  </conditionalFormatting>
  <conditionalFormatting sqref="F212:F213">
    <cfRule type="cellIs" dxfId="1937" priority="2459" operator="lessThan">
      <formula>0</formula>
    </cfRule>
    <cfRule type="cellIs" dxfId="1936" priority="2460" operator="greaterThan">
      <formula>0</formula>
    </cfRule>
  </conditionalFormatting>
  <conditionalFormatting sqref="U212:U213">
    <cfRule type="iconSet" priority="2464">
      <iconSet iconSet="3Symbols" showValue="0" reverse="1">
        <cfvo type="percent" val="0"/>
        <cfvo type="num" val="1"/>
        <cfvo type="num" val="1.05"/>
      </iconSet>
    </cfRule>
  </conditionalFormatting>
  <conditionalFormatting sqref="P212:P213">
    <cfRule type="iconSet" priority="2465">
      <iconSet iconSet="3Symbols" showValue="0" reverse="1">
        <cfvo type="percent" val="0"/>
        <cfvo type="num" val="1"/>
        <cfvo type="num" val="1.05"/>
      </iconSet>
    </cfRule>
  </conditionalFormatting>
  <conditionalFormatting sqref="Q211">
    <cfRule type="iconSet" priority="2456">
      <iconSet iconSet="3Symbols" showValue="0" reverse="1">
        <cfvo type="percent" val="0"/>
        <cfvo type="num" val="1"/>
        <cfvo type="num" val="1.05"/>
      </iconSet>
    </cfRule>
  </conditionalFormatting>
  <conditionalFormatting sqref="N211">
    <cfRule type="cellIs" dxfId="1935" priority="2454" operator="lessThan">
      <formula>0</formula>
    </cfRule>
    <cfRule type="cellIs" dxfId="1934" priority="2455" operator="greaterThan">
      <formula>0</formula>
    </cfRule>
  </conditionalFormatting>
  <conditionalFormatting sqref="F211">
    <cfRule type="cellIs" dxfId="1933" priority="2452" operator="lessThan">
      <formula>0</formula>
    </cfRule>
    <cfRule type="cellIs" dxfId="1932" priority="2453" operator="greaterThan">
      <formula>0</formula>
    </cfRule>
  </conditionalFormatting>
  <conditionalFormatting sqref="U211">
    <cfRule type="iconSet" priority="2457">
      <iconSet iconSet="3Symbols" showValue="0" reverse="1">
        <cfvo type="percent" val="0"/>
        <cfvo type="num" val="1"/>
        <cfvo type="num" val="1.05"/>
      </iconSet>
    </cfRule>
  </conditionalFormatting>
  <conditionalFormatting sqref="P211">
    <cfRule type="iconSet" priority="2458">
      <iconSet iconSet="3Symbols" showValue="0" reverse="1">
        <cfvo type="percent" val="0"/>
        <cfvo type="num" val="1"/>
        <cfvo type="num" val="1.05"/>
      </iconSet>
    </cfRule>
  </conditionalFormatting>
  <conditionalFormatting sqref="Q210">
    <cfRule type="iconSet" priority="2449">
      <iconSet iconSet="3Symbols" showValue="0" reverse="1">
        <cfvo type="percent" val="0"/>
        <cfvo type="num" val="1"/>
        <cfvo type="num" val="1.05"/>
      </iconSet>
    </cfRule>
  </conditionalFormatting>
  <conditionalFormatting sqref="N210">
    <cfRule type="cellIs" dxfId="1931" priority="2447" operator="lessThan">
      <formula>0</formula>
    </cfRule>
    <cfRule type="cellIs" dxfId="1930" priority="2448" operator="greaterThan">
      <formula>0</formula>
    </cfRule>
  </conditionalFormatting>
  <conditionalFormatting sqref="F210">
    <cfRule type="cellIs" dxfId="1929" priority="2445" operator="lessThan">
      <formula>0</formula>
    </cfRule>
    <cfRule type="cellIs" dxfId="1928" priority="2446" operator="greaterThan">
      <formula>0</formula>
    </cfRule>
  </conditionalFormatting>
  <conditionalFormatting sqref="U210">
    <cfRule type="iconSet" priority="2450">
      <iconSet iconSet="3Symbols" showValue="0" reverse="1">
        <cfvo type="percent" val="0"/>
        <cfvo type="num" val="1"/>
        <cfvo type="num" val="1.05"/>
      </iconSet>
    </cfRule>
  </conditionalFormatting>
  <conditionalFormatting sqref="P210">
    <cfRule type="iconSet" priority="2451">
      <iconSet iconSet="3Symbols" showValue="0" reverse="1">
        <cfvo type="percent" val="0"/>
        <cfvo type="num" val="1"/>
        <cfvo type="num" val="1.05"/>
      </iconSet>
    </cfRule>
  </conditionalFormatting>
  <conditionalFormatting sqref="Q209">
    <cfRule type="iconSet" priority="2442">
      <iconSet iconSet="3Symbols" showValue="0" reverse="1">
        <cfvo type="percent" val="0"/>
        <cfvo type="num" val="1"/>
        <cfvo type="num" val="1.05"/>
      </iconSet>
    </cfRule>
  </conditionalFormatting>
  <conditionalFormatting sqref="N209">
    <cfRule type="cellIs" dxfId="1927" priority="2440" operator="lessThan">
      <formula>0</formula>
    </cfRule>
    <cfRule type="cellIs" dxfId="1926" priority="2441" operator="greaterThan">
      <formula>0</formula>
    </cfRule>
  </conditionalFormatting>
  <conditionalFormatting sqref="F209">
    <cfRule type="cellIs" dxfId="1925" priority="2438" operator="lessThan">
      <formula>0</formula>
    </cfRule>
    <cfRule type="cellIs" dxfId="1924" priority="2439" operator="greaterThan">
      <formula>0</formula>
    </cfRule>
  </conditionalFormatting>
  <conditionalFormatting sqref="U209">
    <cfRule type="iconSet" priority="2443">
      <iconSet iconSet="3Symbols" showValue="0" reverse="1">
        <cfvo type="percent" val="0"/>
        <cfvo type="num" val="1"/>
        <cfvo type="num" val="1.05"/>
      </iconSet>
    </cfRule>
  </conditionalFormatting>
  <conditionalFormatting sqref="P209">
    <cfRule type="iconSet" priority="2444">
      <iconSet iconSet="3Symbols" showValue="0" reverse="1">
        <cfvo type="percent" val="0"/>
        <cfvo type="num" val="1"/>
        <cfvo type="num" val="1.05"/>
      </iconSet>
    </cfRule>
  </conditionalFormatting>
  <conditionalFormatting sqref="Q208">
    <cfRule type="iconSet" priority="2435">
      <iconSet iconSet="3Symbols" showValue="0" reverse="1">
        <cfvo type="percent" val="0"/>
        <cfvo type="num" val="1"/>
        <cfvo type="num" val="1.05"/>
      </iconSet>
    </cfRule>
  </conditionalFormatting>
  <conditionalFormatting sqref="N208">
    <cfRule type="cellIs" dxfId="1923" priority="2433" operator="lessThan">
      <formula>0</formula>
    </cfRule>
    <cfRule type="cellIs" dxfId="1922" priority="2434" operator="greaterThan">
      <formula>0</formula>
    </cfRule>
  </conditionalFormatting>
  <conditionalFormatting sqref="F208">
    <cfRule type="cellIs" dxfId="1921" priority="2431" operator="lessThan">
      <formula>0</formula>
    </cfRule>
    <cfRule type="cellIs" dxfId="1920" priority="2432" operator="greaterThan">
      <formula>0</formula>
    </cfRule>
  </conditionalFormatting>
  <conditionalFormatting sqref="U208">
    <cfRule type="iconSet" priority="2436">
      <iconSet iconSet="3Symbols" showValue="0" reverse="1">
        <cfvo type="percent" val="0"/>
        <cfvo type="num" val="1"/>
        <cfvo type="num" val="1.05"/>
      </iconSet>
    </cfRule>
  </conditionalFormatting>
  <conditionalFormatting sqref="P208">
    <cfRule type="iconSet" priority="2437">
      <iconSet iconSet="3Symbols" showValue="0" reverse="1">
        <cfvo type="percent" val="0"/>
        <cfvo type="num" val="1"/>
        <cfvo type="num" val="1.05"/>
      </iconSet>
    </cfRule>
  </conditionalFormatting>
  <conditionalFormatting sqref="Q207">
    <cfRule type="iconSet" priority="2428">
      <iconSet iconSet="3Symbols" showValue="0" reverse="1">
        <cfvo type="percent" val="0"/>
        <cfvo type="num" val="1"/>
        <cfvo type="num" val="1.05"/>
      </iconSet>
    </cfRule>
  </conditionalFormatting>
  <conditionalFormatting sqref="N207">
    <cfRule type="cellIs" dxfId="1919" priority="2426" operator="lessThan">
      <formula>0</formula>
    </cfRule>
    <cfRule type="cellIs" dxfId="1918" priority="2427" operator="greaterThan">
      <formula>0</formula>
    </cfRule>
  </conditionalFormatting>
  <conditionalFormatting sqref="F207">
    <cfRule type="cellIs" dxfId="1917" priority="2424" operator="lessThan">
      <formula>0</formula>
    </cfRule>
    <cfRule type="cellIs" dxfId="1916" priority="2425" operator="greaterThan">
      <formula>0</formula>
    </cfRule>
  </conditionalFormatting>
  <conditionalFormatting sqref="U207">
    <cfRule type="iconSet" priority="2429">
      <iconSet iconSet="3Symbols" showValue="0" reverse="1">
        <cfvo type="percent" val="0"/>
        <cfvo type="num" val="1"/>
        <cfvo type="num" val="1.05"/>
      </iconSet>
    </cfRule>
  </conditionalFormatting>
  <conditionalFormatting sqref="P207">
    <cfRule type="iconSet" priority="2430">
      <iconSet iconSet="3Symbols" showValue="0" reverse="1">
        <cfvo type="percent" val="0"/>
        <cfvo type="num" val="1"/>
        <cfvo type="num" val="1.05"/>
      </iconSet>
    </cfRule>
  </conditionalFormatting>
  <conditionalFormatting sqref="Q206">
    <cfRule type="iconSet" priority="2421">
      <iconSet iconSet="3Symbols" showValue="0" reverse="1">
        <cfvo type="percent" val="0"/>
        <cfvo type="num" val="1"/>
        <cfvo type="num" val="1.05"/>
      </iconSet>
    </cfRule>
  </conditionalFormatting>
  <conditionalFormatting sqref="N206">
    <cfRule type="cellIs" dxfId="1915" priority="2419" operator="lessThan">
      <formula>0</formula>
    </cfRule>
    <cfRule type="cellIs" dxfId="1914" priority="2420" operator="greaterThan">
      <formula>0</formula>
    </cfRule>
  </conditionalFormatting>
  <conditionalFormatting sqref="F206">
    <cfRule type="cellIs" dxfId="1913" priority="2417" operator="lessThan">
      <formula>0</formula>
    </cfRule>
    <cfRule type="cellIs" dxfId="1912" priority="2418" operator="greaterThan">
      <formula>0</formula>
    </cfRule>
  </conditionalFormatting>
  <conditionalFormatting sqref="U206">
    <cfRule type="iconSet" priority="2422">
      <iconSet iconSet="3Symbols" showValue="0" reverse="1">
        <cfvo type="percent" val="0"/>
        <cfvo type="num" val="1"/>
        <cfvo type="num" val="1.05"/>
      </iconSet>
    </cfRule>
  </conditionalFormatting>
  <conditionalFormatting sqref="P206">
    <cfRule type="iconSet" priority="2423">
      <iconSet iconSet="3Symbols" showValue="0" reverse="1">
        <cfvo type="percent" val="0"/>
        <cfvo type="num" val="1"/>
        <cfvo type="num" val="1.05"/>
      </iconSet>
    </cfRule>
  </conditionalFormatting>
  <conditionalFormatting sqref="Q205">
    <cfRule type="iconSet" priority="2414">
      <iconSet iconSet="3Symbols" showValue="0" reverse="1">
        <cfvo type="percent" val="0"/>
        <cfvo type="num" val="1"/>
        <cfvo type="num" val="1.05"/>
      </iconSet>
    </cfRule>
  </conditionalFormatting>
  <conditionalFormatting sqref="N205">
    <cfRule type="cellIs" dxfId="1911" priority="2412" operator="lessThan">
      <formula>0</formula>
    </cfRule>
    <cfRule type="cellIs" dxfId="1910" priority="2413" operator="greaterThan">
      <formula>0</formula>
    </cfRule>
  </conditionalFormatting>
  <conditionalFormatting sqref="F205">
    <cfRule type="cellIs" dxfId="1909" priority="2410" operator="lessThan">
      <formula>0</formula>
    </cfRule>
    <cfRule type="cellIs" dxfId="1908" priority="2411" operator="greaterThan">
      <formula>0</formula>
    </cfRule>
  </conditionalFormatting>
  <conditionalFormatting sqref="U205">
    <cfRule type="iconSet" priority="2415">
      <iconSet iconSet="3Symbols" showValue="0" reverse="1">
        <cfvo type="percent" val="0"/>
        <cfvo type="num" val="1"/>
        <cfvo type="num" val="1.05"/>
      </iconSet>
    </cfRule>
  </conditionalFormatting>
  <conditionalFormatting sqref="P205">
    <cfRule type="iconSet" priority="2416">
      <iconSet iconSet="3Symbols" showValue="0" reverse="1">
        <cfvo type="percent" val="0"/>
        <cfvo type="num" val="1"/>
        <cfvo type="num" val="1.05"/>
      </iconSet>
    </cfRule>
  </conditionalFormatting>
  <conditionalFormatting sqref="Q203:Q204">
    <cfRule type="iconSet" priority="2407">
      <iconSet iconSet="3Symbols" showValue="0" reverse="1">
        <cfvo type="percent" val="0"/>
        <cfvo type="num" val="1"/>
        <cfvo type="num" val="1.05"/>
      </iconSet>
    </cfRule>
  </conditionalFormatting>
  <conditionalFormatting sqref="N203:N204">
    <cfRule type="cellIs" dxfId="1907" priority="2405" operator="lessThan">
      <formula>0</formula>
    </cfRule>
    <cfRule type="cellIs" dxfId="1906" priority="2406" operator="greaterThan">
      <formula>0</formula>
    </cfRule>
  </conditionalFormatting>
  <conditionalFormatting sqref="F203:F204">
    <cfRule type="cellIs" dxfId="1905" priority="2403" operator="lessThan">
      <formula>0</formula>
    </cfRule>
    <cfRule type="cellIs" dxfId="1904" priority="2404" operator="greaterThan">
      <formula>0</formula>
    </cfRule>
  </conditionalFormatting>
  <conditionalFormatting sqref="U203:U204">
    <cfRule type="iconSet" priority="2408">
      <iconSet iconSet="3Symbols" showValue="0" reverse="1">
        <cfvo type="percent" val="0"/>
        <cfvo type="num" val="1"/>
        <cfvo type="num" val="1.05"/>
      </iconSet>
    </cfRule>
  </conditionalFormatting>
  <conditionalFormatting sqref="P203:P204">
    <cfRule type="iconSet" priority="2409">
      <iconSet iconSet="3Symbols" showValue="0" reverse="1">
        <cfvo type="percent" val="0"/>
        <cfvo type="num" val="1"/>
        <cfvo type="num" val="1.05"/>
      </iconSet>
    </cfRule>
  </conditionalFormatting>
  <conditionalFormatting sqref="Q202">
    <cfRule type="iconSet" priority="2400">
      <iconSet iconSet="3Symbols" showValue="0" reverse="1">
        <cfvo type="percent" val="0"/>
        <cfvo type="num" val="1"/>
        <cfvo type="num" val="1.05"/>
      </iconSet>
    </cfRule>
  </conditionalFormatting>
  <conditionalFormatting sqref="N202">
    <cfRule type="cellIs" dxfId="1903" priority="2398" operator="lessThan">
      <formula>0</formula>
    </cfRule>
    <cfRule type="cellIs" dxfId="1902" priority="2399" operator="greaterThan">
      <formula>0</formula>
    </cfRule>
  </conditionalFormatting>
  <conditionalFormatting sqref="F202">
    <cfRule type="cellIs" dxfId="1901" priority="2396" operator="lessThan">
      <formula>0</formula>
    </cfRule>
    <cfRule type="cellIs" dxfId="1900" priority="2397" operator="greaterThan">
      <formula>0</formula>
    </cfRule>
  </conditionalFormatting>
  <conditionalFormatting sqref="U202">
    <cfRule type="iconSet" priority="2401">
      <iconSet iconSet="3Symbols" showValue="0" reverse="1">
        <cfvo type="percent" val="0"/>
        <cfvo type="num" val="1"/>
        <cfvo type="num" val="1.05"/>
      </iconSet>
    </cfRule>
  </conditionalFormatting>
  <conditionalFormatting sqref="P202">
    <cfRule type="iconSet" priority="2402">
      <iconSet iconSet="3Symbols" showValue="0" reverse="1">
        <cfvo type="percent" val="0"/>
        <cfvo type="num" val="1"/>
        <cfvo type="num" val="1.05"/>
      </iconSet>
    </cfRule>
  </conditionalFormatting>
  <conditionalFormatting sqref="Q201">
    <cfRule type="iconSet" priority="2393">
      <iconSet iconSet="3Symbols" showValue="0" reverse="1">
        <cfvo type="percent" val="0"/>
        <cfvo type="num" val="1"/>
        <cfvo type="num" val="1.05"/>
      </iconSet>
    </cfRule>
  </conditionalFormatting>
  <conditionalFormatting sqref="N201">
    <cfRule type="cellIs" dxfId="1899" priority="2391" operator="lessThan">
      <formula>0</formula>
    </cfRule>
    <cfRule type="cellIs" dxfId="1898" priority="2392" operator="greaterThan">
      <formula>0</formula>
    </cfRule>
  </conditionalFormatting>
  <conditionalFormatting sqref="F201">
    <cfRule type="cellIs" dxfId="1897" priority="2389" operator="lessThan">
      <formula>0</formula>
    </cfRule>
    <cfRule type="cellIs" dxfId="1896" priority="2390" operator="greaterThan">
      <formula>0</formula>
    </cfRule>
  </conditionalFormatting>
  <conditionalFormatting sqref="U201">
    <cfRule type="iconSet" priority="2394">
      <iconSet iconSet="3Symbols" showValue="0" reverse="1">
        <cfvo type="percent" val="0"/>
        <cfvo type="num" val="1"/>
        <cfvo type="num" val="1.05"/>
      </iconSet>
    </cfRule>
  </conditionalFormatting>
  <conditionalFormatting sqref="P201">
    <cfRule type="iconSet" priority="2395">
      <iconSet iconSet="3Symbols" showValue="0" reverse="1">
        <cfvo type="percent" val="0"/>
        <cfvo type="num" val="1"/>
        <cfvo type="num" val="1.05"/>
      </iconSet>
    </cfRule>
  </conditionalFormatting>
  <conditionalFormatting sqref="Q200">
    <cfRule type="iconSet" priority="2386">
      <iconSet iconSet="3Symbols" showValue="0" reverse="1">
        <cfvo type="percent" val="0"/>
        <cfvo type="num" val="1"/>
        <cfvo type="num" val="1.05"/>
      </iconSet>
    </cfRule>
  </conditionalFormatting>
  <conditionalFormatting sqref="N200">
    <cfRule type="cellIs" dxfId="1895" priority="2384" operator="lessThan">
      <formula>0</formula>
    </cfRule>
    <cfRule type="cellIs" dxfId="1894" priority="2385" operator="greaterThan">
      <formula>0</formula>
    </cfRule>
  </conditionalFormatting>
  <conditionalFormatting sqref="F200">
    <cfRule type="cellIs" dxfId="1893" priority="2382" operator="lessThan">
      <formula>0</formula>
    </cfRule>
    <cfRule type="cellIs" dxfId="1892" priority="2383" operator="greaterThan">
      <formula>0</formula>
    </cfRule>
  </conditionalFormatting>
  <conditionalFormatting sqref="U200">
    <cfRule type="iconSet" priority="2387">
      <iconSet iconSet="3Symbols" showValue="0" reverse="1">
        <cfvo type="percent" val="0"/>
        <cfvo type="num" val="1"/>
        <cfvo type="num" val="1.05"/>
      </iconSet>
    </cfRule>
  </conditionalFormatting>
  <conditionalFormatting sqref="P200">
    <cfRule type="iconSet" priority="2388">
      <iconSet iconSet="3Symbols" showValue="0" reverse="1">
        <cfvo type="percent" val="0"/>
        <cfvo type="num" val="1"/>
        <cfvo type="num" val="1.05"/>
      </iconSet>
    </cfRule>
  </conditionalFormatting>
  <conditionalFormatting sqref="Q199">
    <cfRule type="iconSet" priority="2379">
      <iconSet iconSet="3Symbols" showValue="0" reverse="1">
        <cfvo type="percent" val="0"/>
        <cfvo type="num" val="1"/>
        <cfvo type="num" val="1.05"/>
      </iconSet>
    </cfRule>
  </conditionalFormatting>
  <conditionalFormatting sqref="N199">
    <cfRule type="cellIs" dxfId="1891" priority="2377" operator="lessThan">
      <formula>0</formula>
    </cfRule>
    <cfRule type="cellIs" dxfId="1890" priority="2378" operator="greaterThan">
      <formula>0</formula>
    </cfRule>
  </conditionalFormatting>
  <conditionalFormatting sqref="F199">
    <cfRule type="cellIs" dxfId="1889" priority="2375" operator="lessThan">
      <formula>0</formula>
    </cfRule>
    <cfRule type="cellIs" dxfId="1888" priority="2376" operator="greaterThan">
      <formula>0</formula>
    </cfRule>
  </conditionalFormatting>
  <conditionalFormatting sqref="U199">
    <cfRule type="iconSet" priority="2380">
      <iconSet iconSet="3Symbols" showValue="0" reverse="1">
        <cfvo type="percent" val="0"/>
        <cfvo type="num" val="1"/>
        <cfvo type="num" val="1.05"/>
      </iconSet>
    </cfRule>
  </conditionalFormatting>
  <conditionalFormatting sqref="P199">
    <cfRule type="iconSet" priority="2381">
      <iconSet iconSet="3Symbols" showValue="0" reverse="1">
        <cfvo type="percent" val="0"/>
        <cfvo type="num" val="1"/>
        <cfvo type="num" val="1.05"/>
      </iconSet>
    </cfRule>
  </conditionalFormatting>
  <conditionalFormatting sqref="Q198">
    <cfRule type="iconSet" priority="2372">
      <iconSet iconSet="3Symbols" showValue="0" reverse="1">
        <cfvo type="percent" val="0"/>
        <cfvo type="num" val="1"/>
        <cfvo type="num" val="1.05"/>
      </iconSet>
    </cfRule>
  </conditionalFormatting>
  <conditionalFormatting sqref="N198">
    <cfRule type="cellIs" dxfId="1887" priority="2370" operator="lessThan">
      <formula>0</formula>
    </cfRule>
    <cfRule type="cellIs" dxfId="1886" priority="2371" operator="greaterThan">
      <formula>0</formula>
    </cfRule>
  </conditionalFormatting>
  <conditionalFormatting sqref="F198">
    <cfRule type="cellIs" dxfId="1885" priority="2368" operator="lessThan">
      <formula>0</formula>
    </cfRule>
    <cfRule type="cellIs" dxfId="1884" priority="2369" operator="greaterThan">
      <formula>0</formula>
    </cfRule>
  </conditionalFormatting>
  <conditionalFormatting sqref="U198">
    <cfRule type="iconSet" priority="2373">
      <iconSet iconSet="3Symbols" showValue="0" reverse="1">
        <cfvo type="percent" val="0"/>
        <cfvo type="num" val="1"/>
        <cfvo type="num" val="1.05"/>
      </iconSet>
    </cfRule>
  </conditionalFormatting>
  <conditionalFormatting sqref="P198">
    <cfRule type="iconSet" priority="2374">
      <iconSet iconSet="3Symbols" showValue="0" reverse="1">
        <cfvo type="percent" val="0"/>
        <cfvo type="num" val="1"/>
        <cfvo type="num" val="1.05"/>
      </iconSet>
    </cfRule>
  </conditionalFormatting>
  <conditionalFormatting sqref="Q197">
    <cfRule type="iconSet" priority="2365">
      <iconSet iconSet="3Symbols" showValue="0" reverse="1">
        <cfvo type="percent" val="0"/>
        <cfvo type="num" val="1"/>
        <cfvo type="num" val="1.05"/>
      </iconSet>
    </cfRule>
  </conditionalFormatting>
  <conditionalFormatting sqref="N197">
    <cfRule type="cellIs" dxfId="1883" priority="2363" operator="lessThan">
      <formula>0</formula>
    </cfRule>
    <cfRule type="cellIs" dxfId="1882" priority="2364" operator="greaterThan">
      <formula>0</formula>
    </cfRule>
  </conditionalFormatting>
  <conditionalFormatting sqref="F197">
    <cfRule type="cellIs" dxfId="1881" priority="2361" operator="lessThan">
      <formula>0</formula>
    </cfRule>
    <cfRule type="cellIs" dxfId="1880" priority="2362" operator="greaterThan">
      <formula>0</formula>
    </cfRule>
  </conditionalFormatting>
  <conditionalFormatting sqref="U197">
    <cfRule type="iconSet" priority="2366">
      <iconSet iconSet="3Symbols" showValue="0" reverse="1">
        <cfvo type="percent" val="0"/>
        <cfvo type="num" val="1"/>
        <cfvo type="num" val="1.05"/>
      </iconSet>
    </cfRule>
  </conditionalFormatting>
  <conditionalFormatting sqref="P197">
    <cfRule type="iconSet" priority="2367">
      <iconSet iconSet="3Symbols" showValue="0" reverse="1">
        <cfvo type="percent" val="0"/>
        <cfvo type="num" val="1"/>
        <cfvo type="num" val="1.05"/>
      </iconSet>
    </cfRule>
  </conditionalFormatting>
  <conditionalFormatting sqref="Q196">
    <cfRule type="iconSet" priority="2358">
      <iconSet iconSet="3Symbols" showValue="0" reverse="1">
        <cfvo type="percent" val="0"/>
        <cfvo type="num" val="1"/>
        <cfvo type="num" val="1.05"/>
      </iconSet>
    </cfRule>
  </conditionalFormatting>
  <conditionalFormatting sqref="N196">
    <cfRule type="cellIs" dxfId="1879" priority="2356" operator="lessThan">
      <formula>0</formula>
    </cfRule>
    <cfRule type="cellIs" dxfId="1878" priority="2357" operator="greaterThan">
      <formula>0</formula>
    </cfRule>
  </conditionalFormatting>
  <conditionalFormatting sqref="F196">
    <cfRule type="cellIs" dxfId="1877" priority="2354" operator="lessThan">
      <formula>0</formula>
    </cfRule>
    <cfRule type="cellIs" dxfId="1876" priority="2355" operator="greaterThan">
      <formula>0</formula>
    </cfRule>
  </conditionalFormatting>
  <conditionalFormatting sqref="U196">
    <cfRule type="iconSet" priority="2359">
      <iconSet iconSet="3Symbols" showValue="0" reverse="1">
        <cfvo type="percent" val="0"/>
        <cfvo type="num" val="1"/>
        <cfvo type="num" val="1.05"/>
      </iconSet>
    </cfRule>
  </conditionalFormatting>
  <conditionalFormatting sqref="P196">
    <cfRule type="iconSet" priority="2360">
      <iconSet iconSet="3Symbols" showValue="0" reverse="1">
        <cfvo type="percent" val="0"/>
        <cfvo type="num" val="1"/>
        <cfvo type="num" val="1.05"/>
      </iconSet>
    </cfRule>
  </conditionalFormatting>
  <conditionalFormatting sqref="Q194:Q195">
    <cfRule type="iconSet" priority="2351">
      <iconSet iconSet="3Symbols" showValue="0" reverse="1">
        <cfvo type="percent" val="0"/>
        <cfvo type="num" val="1"/>
        <cfvo type="num" val="1.05"/>
      </iconSet>
    </cfRule>
  </conditionalFormatting>
  <conditionalFormatting sqref="N194:N195">
    <cfRule type="cellIs" dxfId="1875" priority="2349" operator="lessThan">
      <formula>0</formula>
    </cfRule>
    <cfRule type="cellIs" dxfId="1874" priority="2350" operator="greaterThan">
      <formula>0</formula>
    </cfRule>
  </conditionalFormatting>
  <conditionalFormatting sqref="F194:F195">
    <cfRule type="cellIs" dxfId="1873" priority="2347" operator="lessThan">
      <formula>0</formula>
    </cfRule>
    <cfRule type="cellIs" dxfId="1872" priority="2348" operator="greaterThan">
      <formula>0</formula>
    </cfRule>
  </conditionalFormatting>
  <conditionalFormatting sqref="U194:U195">
    <cfRule type="iconSet" priority="2352">
      <iconSet iconSet="3Symbols" showValue="0" reverse="1">
        <cfvo type="percent" val="0"/>
        <cfvo type="num" val="1"/>
        <cfvo type="num" val="1.05"/>
      </iconSet>
    </cfRule>
  </conditionalFormatting>
  <conditionalFormatting sqref="P194:P195">
    <cfRule type="iconSet" priority="2353">
      <iconSet iconSet="3Symbols" showValue="0" reverse="1">
        <cfvo type="percent" val="0"/>
        <cfvo type="num" val="1"/>
        <cfvo type="num" val="1.05"/>
      </iconSet>
    </cfRule>
  </conditionalFormatting>
  <conditionalFormatting sqref="Q193">
    <cfRule type="iconSet" priority="2344">
      <iconSet iconSet="3Symbols" showValue="0" reverse="1">
        <cfvo type="percent" val="0"/>
        <cfvo type="num" val="1"/>
        <cfvo type="num" val="1.05"/>
      </iconSet>
    </cfRule>
  </conditionalFormatting>
  <conditionalFormatting sqref="N193">
    <cfRule type="cellIs" dxfId="1871" priority="2342" operator="lessThan">
      <formula>0</formula>
    </cfRule>
    <cfRule type="cellIs" dxfId="1870" priority="2343" operator="greaterThan">
      <formula>0</formula>
    </cfRule>
  </conditionalFormatting>
  <conditionalFormatting sqref="F193">
    <cfRule type="cellIs" dxfId="1869" priority="2340" operator="lessThan">
      <formula>0</formula>
    </cfRule>
    <cfRule type="cellIs" dxfId="1868" priority="2341" operator="greaterThan">
      <formula>0</formula>
    </cfRule>
  </conditionalFormatting>
  <conditionalFormatting sqref="U193">
    <cfRule type="iconSet" priority="2345">
      <iconSet iconSet="3Symbols" showValue="0" reverse="1">
        <cfvo type="percent" val="0"/>
        <cfvo type="num" val="1"/>
        <cfvo type="num" val="1.05"/>
      </iconSet>
    </cfRule>
  </conditionalFormatting>
  <conditionalFormatting sqref="P193">
    <cfRule type="iconSet" priority="2346">
      <iconSet iconSet="3Symbols" showValue="0" reverse="1">
        <cfvo type="percent" val="0"/>
        <cfvo type="num" val="1"/>
        <cfvo type="num" val="1.05"/>
      </iconSet>
    </cfRule>
  </conditionalFormatting>
  <conditionalFormatting sqref="Q192">
    <cfRule type="iconSet" priority="2337">
      <iconSet iconSet="3Symbols" showValue="0" reverse="1">
        <cfvo type="percent" val="0"/>
        <cfvo type="num" val="1"/>
        <cfvo type="num" val="1.05"/>
      </iconSet>
    </cfRule>
  </conditionalFormatting>
  <conditionalFormatting sqref="N192">
    <cfRule type="cellIs" dxfId="1867" priority="2335" operator="lessThan">
      <formula>0</formula>
    </cfRule>
    <cfRule type="cellIs" dxfId="1866" priority="2336" operator="greaterThan">
      <formula>0</formula>
    </cfRule>
  </conditionalFormatting>
  <conditionalFormatting sqref="F192">
    <cfRule type="cellIs" dxfId="1865" priority="2333" operator="lessThan">
      <formula>0</formula>
    </cfRule>
    <cfRule type="cellIs" dxfId="1864" priority="2334" operator="greaterThan">
      <formula>0</formula>
    </cfRule>
  </conditionalFormatting>
  <conditionalFormatting sqref="U192">
    <cfRule type="iconSet" priority="2338">
      <iconSet iconSet="3Symbols" showValue="0" reverse="1">
        <cfvo type="percent" val="0"/>
        <cfvo type="num" val="1"/>
        <cfvo type="num" val="1.05"/>
      </iconSet>
    </cfRule>
  </conditionalFormatting>
  <conditionalFormatting sqref="P192">
    <cfRule type="iconSet" priority="2339">
      <iconSet iconSet="3Symbols" showValue="0" reverse="1">
        <cfvo type="percent" val="0"/>
        <cfvo type="num" val="1"/>
        <cfvo type="num" val="1.05"/>
      </iconSet>
    </cfRule>
  </conditionalFormatting>
  <conditionalFormatting sqref="Q191">
    <cfRule type="iconSet" priority="2330">
      <iconSet iconSet="3Symbols" showValue="0" reverse="1">
        <cfvo type="percent" val="0"/>
        <cfvo type="num" val="1"/>
        <cfvo type="num" val="1.05"/>
      </iconSet>
    </cfRule>
  </conditionalFormatting>
  <conditionalFormatting sqref="N191">
    <cfRule type="cellIs" dxfId="1863" priority="2328" operator="lessThan">
      <formula>0</formula>
    </cfRule>
    <cfRule type="cellIs" dxfId="1862" priority="2329" operator="greaterThan">
      <formula>0</formula>
    </cfRule>
  </conditionalFormatting>
  <conditionalFormatting sqref="F191">
    <cfRule type="cellIs" dxfId="1861" priority="2326" operator="lessThan">
      <formula>0</formula>
    </cfRule>
    <cfRule type="cellIs" dxfId="1860" priority="2327" operator="greaterThan">
      <formula>0</formula>
    </cfRule>
  </conditionalFormatting>
  <conditionalFormatting sqref="U191">
    <cfRule type="iconSet" priority="2331">
      <iconSet iconSet="3Symbols" showValue="0" reverse="1">
        <cfvo type="percent" val="0"/>
        <cfvo type="num" val="1"/>
        <cfvo type="num" val="1.05"/>
      </iconSet>
    </cfRule>
  </conditionalFormatting>
  <conditionalFormatting sqref="P191">
    <cfRule type="iconSet" priority="2332">
      <iconSet iconSet="3Symbols" showValue="0" reverse="1">
        <cfvo type="percent" val="0"/>
        <cfvo type="num" val="1"/>
        <cfvo type="num" val="1.05"/>
      </iconSet>
    </cfRule>
  </conditionalFormatting>
  <conditionalFormatting sqref="Q190">
    <cfRule type="iconSet" priority="2323">
      <iconSet iconSet="3Symbols" showValue="0" reverse="1">
        <cfvo type="percent" val="0"/>
        <cfvo type="num" val="1"/>
        <cfvo type="num" val="1.05"/>
      </iconSet>
    </cfRule>
  </conditionalFormatting>
  <conditionalFormatting sqref="N190">
    <cfRule type="cellIs" dxfId="1859" priority="2321" operator="lessThan">
      <formula>0</formula>
    </cfRule>
    <cfRule type="cellIs" dxfId="1858" priority="2322" operator="greaterThan">
      <formula>0</formula>
    </cfRule>
  </conditionalFormatting>
  <conditionalFormatting sqref="F190">
    <cfRule type="cellIs" dxfId="1857" priority="2319" operator="lessThan">
      <formula>0</formula>
    </cfRule>
    <cfRule type="cellIs" dxfId="1856" priority="2320" operator="greaterThan">
      <formula>0</formula>
    </cfRule>
  </conditionalFormatting>
  <conditionalFormatting sqref="U190">
    <cfRule type="iconSet" priority="2324">
      <iconSet iconSet="3Symbols" showValue="0" reverse="1">
        <cfvo type="percent" val="0"/>
        <cfvo type="num" val="1"/>
        <cfvo type="num" val="1.05"/>
      </iconSet>
    </cfRule>
  </conditionalFormatting>
  <conditionalFormatting sqref="P190">
    <cfRule type="iconSet" priority="2325">
      <iconSet iconSet="3Symbols" showValue="0" reverse="1">
        <cfvo type="percent" val="0"/>
        <cfvo type="num" val="1"/>
        <cfvo type="num" val="1.05"/>
      </iconSet>
    </cfRule>
  </conditionalFormatting>
  <conditionalFormatting sqref="Q189">
    <cfRule type="iconSet" priority="2316">
      <iconSet iconSet="3Symbols" showValue="0" reverse="1">
        <cfvo type="percent" val="0"/>
        <cfvo type="num" val="1"/>
        <cfvo type="num" val="1.05"/>
      </iconSet>
    </cfRule>
  </conditionalFormatting>
  <conditionalFormatting sqref="N189">
    <cfRule type="cellIs" dxfId="1855" priority="2314" operator="lessThan">
      <formula>0</formula>
    </cfRule>
    <cfRule type="cellIs" dxfId="1854" priority="2315" operator="greaterThan">
      <formula>0</formula>
    </cfRule>
  </conditionalFormatting>
  <conditionalFormatting sqref="F189">
    <cfRule type="cellIs" dxfId="1853" priority="2312" operator="lessThan">
      <formula>0</formula>
    </cfRule>
    <cfRule type="cellIs" dxfId="1852" priority="2313" operator="greaterThan">
      <formula>0</formula>
    </cfRule>
  </conditionalFormatting>
  <conditionalFormatting sqref="U189">
    <cfRule type="iconSet" priority="2317">
      <iconSet iconSet="3Symbols" showValue="0" reverse="1">
        <cfvo type="percent" val="0"/>
        <cfvo type="num" val="1"/>
        <cfvo type="num" val="1.05"/>
      </iconSet>
    </cfRule>
  </conditionalFormatting>
  <conditionalFormatting sqref="P189">
    <cfRule type="iconSet" priority="2318">
      <iconSet iconSet="3Symbols" showValue="0" reverse="1">
        <cfvo type="percent" val="0"/>
        <cfvo type="num" val="1"/>
        <cfvo type="num" val="1.05"/>
      </iconSet>
    </cfRule>
  </conditionalFormatting>
  <conditionalFormatting sqref="Q188">
    <cfRule type="iconSet" priority="2309">
      <iconSet iconSet="3Symbols" showValue="0" reverse="1">
        <cfvo type="percent" val="0"/>
        <cfvo type="num" val="1"/>
        <cfvo type="num" val="1.05"/>
      </iconSet>
    </cfRule>
  </conditionalFormatting>
  <conditionalFormatting sqref="N188">
    <cfRule type="cellIs" dxfId="1851" priority="2307" operator="lessThan">
      <formula>0</formula>
    </cfRule>
    <cfRule type="cellIs" dxfId="1850" priority="2308" operator="greaterThan">
      <formula>0</formula>
    </cfRule>
  </conditionalFormatting>
  <conditionalFormatting sqref="F188">
    <cfRule type="cellIs" dxfId="1849" priority="2305" operator="lessThan">
      <formula>0</formula>
    </cfRule>
    <cfRule type="cellIs" dxfId="1848" priority="2306" operator="greaterThan">
      <formula>0</formula>
    </cfRule>
  </conditionalFormatting>
  <conditionalFormatting sqref="U188">
    <cfRule type="iconSet" priority="2310">
      <iconSet iconSet="3Symbols" showValue="0" reverse="1">
        <cfvo type="percent" val="0"/>
        <cfvo type="num" val="1"/>
        <cfvo type="num" val="1.05"/>
      </iconSet>
    </cfRule>
  </conditionalFormatting>
  <conditionalFormatting sqref="P188">
    <cfRule type="iconSet" priority="2311">
      <iconSet iconSet="3Symbols" showValue="0" reverse="1">
        <cfvo type="percent" val="0"/>
        <cfvo type="num" val="1"/>
        <cfvo type="num" val="1.05"/>
      </iconSet>
    </cfRule>
  </conditionalFormatting>
  <conditionalFormatting sqref="Q187">
    <cfRule type="iconSet" priority="2302">
      <iconSet iconSet="3Symbols" showValue="0" reverse="1">
        <cfvo type="percent" val="0"/>
        <cfvo type="num" val="1"/>
        <cfvo type="num" val="1.05"/>
      </iconSet>
    </cfRule>
  </conditionalFormatting>
  <conditionalFormatting sqref="N187">
    <cfRule type="cellIs" dxfId="1847" priority="2300" operator="lessThan">
      <formula>0</formula>
    </cfRule>
    <cfRule type="cellIs" dxfId="1846" priority="2301" operator="greaterThan">
      <formula>0</formula>
    </cfRule>
  </conditionalFormatting>
  <conditionalFormatting sqref="F187">
    <cfRule type="cellIs" dxfId="1845" priority="2298" operator="lessThan">
      <formula>0</formula>
    </cfRule>
    <cfRule type="cellIs" dxfId="1844" priority="2299" operator="greaterThan">
      <formula>0</formula>
    </cfRule>
  </conditionalFormatting>
  <conditionalFormatting sqref="U187">
    <cfRule type="iconSet" priority="2303">
      <iconSet iconSet="3Symbols" showValue="0" reverse="1">
        <cfvo type="percent" val="0"/>
        <cfvo type="num" val="1"/>
        <cfvo type="num" val="1.05"/>
      </iconSet>
    </cfRule>
  </conditionalFormatting>
  <conditionalFormatting sqref="P187">
    <cfRule type="iconSet" priority="2304">
      <iconSet iconSet="3Symbols" showValue="0" reverse="1">
        <cfvo type="percent" val="0"/>
        <cfvo type="num" val="1"/>
        <cfvo type="num" val="1.05"/>
      </iconSet>
    </cfRule>
  </conditionalFormatting>
  <conditionalFormatting sqref="Q185:Q186">
    <cfRule type="iconSet" priority="2295">
      <iconSet iconSet="3Symbols" showValue="0" reverse="1">
        <cfvo type="percent" val="0"/>
        <cfvo type="num" val="1"/>
        <cfvo type="num" val="1.05"/>
      </iconSet>
    </cfRule>
  </conditionalFormatting>
  <conditionalFormatting sqref="N185:N186">
    <cfRule type="cellIs" dxfId="1843" priority="2293" operator="lessThan">
      <formula>0</formula>
    </cfRule>
    <cfRule type="cellIs" dxfId="1842" priority="2294" operator="greaterThan">
      <formula>0</formula>
    </cfRule>
  </conditionalFormatting>
  <conditionalFormatting sqref="F185:F186">
    <cfRule type="cellIs" dxfId="1841" priority="2291" operator="lessThan">
      <formula>0</formula>
    </cfRule>
    <cfRule type="cellIs" dxfId="1840" priority="2292" operator="greaterThan">
      <formula>0</formula>
    </cfRule>
  </conditionalFormatting>
  <conditionalFormatting sqref="U185:U186">
    <cfRule type="iconSet" priority="2296">
      <iconSet iconSet="3Symbols" showValue="0" reverse="1">
        <cfvo type="percent" val="0"/>
        <cfvo type="num" val="1"/>
        <cfvo type="num" val="1.05"/>
      </iconSet>
    </cfRule>
  </conditionalFormatting>
  <conditionalFormatting sqref="P185:P186">
    <cfRule type="iconSet" priority="2297">
      <iconSet iconSet="3Symbols" showValue="0" reverse="1">
        <cfvo type="percent" val="0"/>
        <cfvo type="num" val="1"/>
        <cfvo type="num" val="1.05"/>
      </iconSet>
    </cfRule>
  </conditionalFormatting>
  <conditionalFormatting sqref="Q184">
    <cfRule type="iconSet" priority="2288">
      <iconSet iconSet="3Symbols" showValue="0" reverse="1">
        <cfvo type="percent" val="0"/>
        <cfvo type="num" val="1"/>
        <cfvo type="num" val="1.05"/>
      </iconSet>
    </cfRule>
  </conditionalFormatting>
  <conditionalFormatting sqref="N184">
    <cfRule type="cellIs" dxfId="1839" priority="2286" operator="lessThan">
      <formula>0</formula>
    </cfRule>
    <cfRule type="cellIs" dxfId="1838" priority="2287" operator="greaterThan">
      <formula>0</formula>
    </cfRule>
  </conditionalFormatting>
  <conditionalFormatting sqref="F184">
    <cfRule type="cellIs" dxfId="1837" priority="2284" operator="lessThan">
      <formula>0</formula>
    </cfRule>
    <cfRule type="cellIs" dxfId="1836" priority="2285" operator="greaterThan">
      <formula>0</formula>
    </cfRule>
  </conditionalFormatting>
  <conditionalFormatting sqref="U184">
    <cfRule type="iconSet" priority="2289">
      <iconSet iconSet="3Symbols" showValue="0" reverse="1">
        <cfvo type="percent" val="0"/>
        <cfvo type="num" val="1"/>
        <cfvo type="num" val="1.05"/>
      </iconSet>
    </cfRule>
  </conditionalFormatting>
  <conditionalFormatting sqref="P184">
    <cfRule type="iconSet" priority="2290">
      <iconSet iconSet="3Symbols" showValue="0" reverse="1">
        <cfvo type="percent" val="0"/>
        <cfvo type="num" val="1"/>
        <cfvo type="num" val="1.05"/>
      </iconSet>
    </cfRule>
  </conditionalFormatting>
  <conditionalFormatting sqref="Q183">
    <cfRule type="iconSet" priority="2281">
      <iconSet iconSet="3Symbols" showValue="0" reverse="1">
        <cfvo type="percent" val="0"/>
        <cfvo type="num" val="1"/>
        <cfvo type="num" val="1.05"/>
      </iconSet>
    </cfRule>
  </conditionalFormatting>
  <conditionalFormatting sqref="N183">
    <cfRule type="cellIs" dxfId="1835" priority="2279" operator="lessThan">
      <formula>0</formula>
    </cfRule>
    <cfRule type="cellIs" dxfId="1834" priority="2280" operator="greaterThan">
      <formula>0</formula>
    </cfRule>
  </conditionalFormatting>
  <conditionalFormatting sqref="F183">
    <cfRule type="cellIs" dxfId="1833" priority="2277" operator="lessThan">
      <formula>0</formula>
    </cfRule>
    <cfRule type="cellIs" dxfId="1832" priority="2278" operator="greaterThan">
      <formula>0</formula>
    </cfRule>
  </conditionalFormatting>
  <conditionalFormatting sqref="U183">
    <cfRule type="iconSet" priority="2282">
      <iconSet iconSet="3Symbols" showValue="0" reverse="1">
        <cfvo type="percent" val="0"/>
        <cfvo type="num" val="1"/>
        <cfvo type="num" val="1.05"/>
      </iconSet>
    </cfRule>
  </conditionalFormatting>
  <conditionalFormatting sqref="P183">
    <cfRule type="iconSet" priority="2283">
      <iconSet iconSet="3Symbols" showValue="0" reverse="1">
        <cfvo type="percent" val="0"/>
        <cfvo type="num" val="1"/>
        <cfvo type="num" val="1.05"/>
      </iconSet>
    </cfRule>
  </conditionalFormatting>
  <conditionalFormatting sqref="Q182">
    <cfRule type="iconSet" priority="2274">
      <iconSet iconSet="3Symbols" showValue="0" reverse="1">
        <cfvo type="percent" val="0"/>
        <cfvo type="num" val="1"/>
        <cfvo type="num" val="1.05"/>
      </iconSet>
    </cfRule>
  </conditionalFormatting>
  <conditionalFormatting sqref="N182">
    <cfRule type="cellIs" dxfId="1831" priority="2272" operator="lessThan">
      <formula>0</formula>
    </cfRule>
    <cfRule type="cellIs" dxfId="1830" priority="2273" operator="greaterThan">
      <formula>0</formula>
    </cfRule>
  </conditionalFormatting>
  <conditionalFormatting sqref="F182">
    <cfRule type="cellIs" dxfId="1829" priority="2270" operator="lessThan">
      <formula>0</formula>
    </cfRule>
    <cfRule type="cellIs" dxfId="1828" priority="2271" operator="greaterThan">
      <formula>0</formula>
    </cfRule>
  </conditionalFormatting>
  <conditionalFormatting sqref="U182">
    <cfRule type="iconSet" priority="2275">
      <iconSet iconSet="3Symbols" showValue="0" reverse="1">
        <cfvo type="percent" val="0"/>
        <cfvo type="num" val="1"/>
        <cfvo type="num" val="1.05"/>
      </iconSet>
    </cfRule>
  </conditionalFormatting>
  <conditionalFormatting sqref="P182">
    <cfRule type="iconSet" priority="2276">
      <iconSet iconSet="3Symbols" showValue="0" reverse="1">
        <cfvo type="percent" val="0"/>
        <cfvo type="num" val="1"/>
        <cfvo type="num" val="1.05"/>
      </iconSet>
    </cfRule>
  </conditionalFormatting>
  <conditionalFormatting sqref="Q181">
    <cfRule type="iconSet" priority="2267">
      <iconSet iconSet="3Symbols" showValue="0" reverse="1">
        <cfvo type="percent" val="0"/>
        <cfvo type="num" val="1"/>
        <cfvo type="num" val="1.05"/>
      </iconSet>
    </cfRule>
  </conditionalFormatting>
  <conditionalFormatting sqref="N181">
    <cfRule type="cellIs" dxfId="1827" priority="2265" operator="lessThan">
      <formula>0</formula>
    </cfRule>
    <cfRule type="cellIs" dxfId="1826" priority="2266" operator="greaterThan">
      <formula>0</formula>
    </cfRule>
  </conditionalFormatting>
  <conditionalFormatting sqref="F181">
    <cfRule type="cellIs" dxfId="1825" priority="2263" operator="lessThan">
      <formula>0</formula>
    </cfRule>
    <cfRule type="cellIs" dxfId="1824" priority="2264" operator="greaterThan">
      <formula>0</formula>
    </cfRule>
  </conditionalFormatting>
  <conditionalFormatting sqref="U181">
    <cfRule type="iconSet" priority="2268">
      <iconSet iconSet="3Symbols" showValue="0" reverse="1">
        <cfvo type="percent" val="0"/>
        <cfvo type="num" val="1"/>
        <cfvo type="num" val="1.05"/>
      </iconSet>
    </cfRule>
  </conditionalFormatting>
  <conditionalFormatting sqref="P181">
    <cfRule type="iconSet" priority="2269">
      <iconSet iconSet="3Symbols" showValue="0" reverse="1">
        <cfvo type="percent" val="0"/>
        <cfvo type="num" val="1"/>
        <cfvo type="num" val="1.05"/>
      </iconSet>
    </cfRule>
  </conditionalFormatting>
  <conditionalFormatting sqref="Q180">
    <cfRule type="iconSet" priority="2260">
      <iconSet iconSet="3Symbols" showValue="0" reverse="1">
        <cfvo type="percent" val="0"/>
        <cfvo type="num" val="1"/>
        <cfvo type="num" val="1.05"/>
      </iconSet>
    </cfRule>
  </conditionalFormatting>
  <conditionalFormatting sqref="N180">
    <cfRule type="cellIs" dxfId="1823" priority="2258" operator="lessThan">
      <formula>0</formula>
    </cfRule>
    <cfRule type="cellIs" dxfId="1822" priority="2259" operator="greaterThan">
      <formula>0</formula>
    </cfRule>
  </conditionalFormatting>
  <conditionalFormatting sqref="F180">
    <cfRule type="cellIs" dxfId="1821" priority="2256" operator="lessThan">
      <formula>0</formula>
    </cfRule>
    <cfRule type="cellIs" dxfId="1820" priority="2257" operator="greaterThan">
      <formula>0</formula>
    </cfRule>
  </conditionalFormatting>
  <conditionalFormatting sqref="U180">
    <cfRule type="iconSet" priority="2261">
      <iconSet iconSet="3Symbols" showValue="0" reverse="1">
        <cfvo type="percent" val="0"/>
        <cfvo type="num" val="1"/>
        <cfvo type="num" val="1.05"/>
      </iconSet>
    </cfRule>
  </conditionalFormatting>
  <conditionalFormatting sqref="P180">
    <cfRule type="iconSet" priority="2262">
      <iconSet iconSet="3Symbols" showValue="0" reverse="1">
        <cfvo type="percent" val="0"/>
        <cfvo type="num" val="1"/>
        <cfvo type="num" val="1.05"/>
      </iconSet>
    </cfRule>
  </conditionalFormatting>
  <conditionalFormatting sqref="Q179">
    <cfRule type="iconSet" priority="2253">
      <iconSet iconSet="3Symbols" showValue="0" reverse="1">
        <cfvo type="percent" val="0"/>
        <cfvo type="num" val="1"/>
        <cfvo type="num" val="1.05"/>
      </iconSet>
    </cfRule>
  </conditionalFormatting>
  <conditionalFormatting sqref="N179">
    <cfRule type="cellIs" dxfId="1819" priority="2251" operator="lessThan">
      <formula>0</formula>
    </cfRule>
    <cfRule type="cellIs" dxfId="1818" priority="2252" operator="greaterThan">
      <formula>0</formula>
    </cfRule>
  </conditionalFormatting>
  <conditionalFormatting sqref="F179">
    <cfRule type="cellIs" dxfId="1817" priority="2249" operator="lessThan">
      <formula>0</formula>
    </cfRule>
    <cfRule type="cellIs" dxfId="1816" priority="2250" operator="greaterThan">
      <formula>0</formula>
    </cfRule>
  </conditionalFormatting>
  <conditionalFormatting sqref="U179">
    <cfRule type="iconSet" priority="2254">
      <iconSet iconSet="3Symbols" showValue="0" reverse="1">
        <cfvo type="percent" val="0"/>
        <cfvo type="num" val="1"/>
        <cfvo type="num" val="1.05"/>
      </iconSet>
    </cfRule>
  </conditionalFormatting>
  <conditionalFormatting sqref="P179">
    <cfRule type="iconSet" priority="2255">
      <iconSet iconSet="3Symbols" showValue="0" reverse="1">
        <cfvo type="percent" val="0"/>
        <cfvo type="num" val="1"/>
        <cfvo type="num" val="1.05"/>
      </iconSet>
    </cfRule>
  </conditionalFormatting>
  <conditionalFormatting sqref="Q178">
    <cfRule type="iconSet" priority="2246">
      <iconSet iconSet="3Symbols" showValue="0" reverse="1">
        <cfvo type="percent" val="0"/>
        <cfvo type="num" val="1"/>
        <cfvo type="num" val="1.05"/>
      </iconSet>
    </cfRule>
  </conditionalFormatting>
  <conditionalFormatting sqref="N178">
    <cfRule type="cellIs" dxfId="1815" priority="2244" operator="lessThan">
      <formula>0</formula>
    </cfRule>
    <cfRule type="cellIs" dxfId="1814" priority="2245" operator="greaterThan">
      <formula>0</formula>
    </cfRule>
  </conditionalFormatting>
  <conditionalFormatting sqref="F178">
    <cfRule type="cellIs" dxfId="1813" priority="2242" operator="lessThan">
      <formula>0</formula>
    </cfRule>
    <cfRule type="cellIs" dxfId="1812" priority="2243" operator="greaterThan">
      <formula>0</formula>
    </cfRule>
  </conditionalFormatting>
  <conditionalFormatting sqref="U178">
    <cfRule type="iconSet" priority="2247">
      <iconSet iconSet="3Symbols" showValue="0" reverse="1">
        <cfvo type="percent" val="0"/>
        <cfvo type="num" val="1"/>
        <cfvo type="num" val="1.05"/>
      </iconSet>
    </cfRule>
  </conditionalFormatting>
  <conditionalFormatting sqref="P178">
    <cfRule type="iconSet" priority="2248">
      <iconSet iconSet="3Symbols" showValue="0" reverse="1">
        <cfvo type="percent" val="0"/>
        <cfvo type="num" val="1"/>
        <cfvo type="num" val="1.05"/>
      </iconSet>
    </cfRule>
  </conditionalFormatting>
  <conditionalFormatting sqref="Q176:Q177">
    <cfRule type="iconSet" priority="2239">
      <iconSet iconSet="3Symbols" showValue="0" reverse="1">
        <cfvo type="percent" val="0"/>
        <cfvo type="num" val="1"/>
        <cfvo type="num" val="1.05"/>
      </iconSet>
    </cfRule>
  </conditionalFormatting>
  <conditionalFormatting sqref="N176:N177">
    <cfRule type="cellIs" dxfId="1811" priority="2237" operator="lessThan">
      <formula>0</formula>
    </cfRule>
    <cfRule type="cellIs" dxfId="1810" priority="2238" operator="greaterThan">
      <formula>0</formula>
    </cfRule>
  </conditionalFormatting>
  <conditionalFormatting sqref="F176:F177">
    <cfRule type="cellIs" dxfId="1809" priority="2235" operator="lessThan">
      <formula>0</formula>
    </cfRule>
    <cfRule type="cellIs" dxfId="1808" priority="2236" operator="greaterThan">
      <formula>0</formula>
    </cfRule>
  </conditionalFormatting>
  <conditionalFormatting sqref="U176:U177">
    <cfRule type="iconSet" priority="2240">
      <iconSet iconSet="3Symbols" showValue="0" reverse="1">
        <cfvo type="percent" val="0"/>
        <cfvo type="num" val="1"/>
        <cfvo type="num" val="1.05"/>
      </iconSet>
    </cfRule>
  </conditionalFormatting>
  <conditionalFormatting sqref="P176:P177">
    <cfRule type="iconSet" priority="2241">
      <iconSet iconSet="3Symbols" showValue="0" reverse="1">
        <cfvo type="percent" val="0"/>
        <cfvo type="num" val="1"/>
        <cfvo type="num" val="1.05"/>
      </iconSet>
    </cfRule>
  </conditionalFormatting>
  <conditionalFormatting sqref="Q175">
    <cfRule type="iconSet" priority="2232">
      <iconSet iconSet="3Symbols" showValue="0" reverse="1">
        <cfvo type="percent" val="0"/>
        <cfvo type="num" val="1"/>
        <cfvo type="num" val="1.05"/>
      </iconSet>
    </cfRule>
  </conditionalFormatting>
  <conditionalFormatting sqref="N175">
    <cfRule type="cellIs" dxfId="1807" priority="2230" operator="lessThan">
      <formula>0</formula>
    </cfRule>
    <cfRule type="cellIs" dxfId="1806" priority="2231" operator="greaterThan">
      <formula>0</formula>
    </cfRule>
  </conditionalFormatting>
  <conditionalFormatting sqref="F175">
    <cfRule type="cellIs" dxfId="1805" priority="2228" operator="lessThan">
      <formula>0</formula>
    </cfRule>
    <cfRule type="cellIs" dxfId="1804" priority="2229" operator="greaterThan">
      <formula>0</formula>
    </cfRule>
  </conditionalFormatting>
  <conditionalFormatting sqref="U175">
    <cfRule type="iconSet" priority="2233">
      <iconSet iconSet="3Symbols" showValue="0" reverse="1">
        <cfvo type="percent" val="0"/>
        <cfvo type="num" val="1"/>
        <cfvo type="num" val="1.05"/>
      </iconSet>
    </cfRule>
  </conditionalFormatting>
  <conditionalFormatting sqref="P175">
    <cfRule type="iconSet" priority="2234">
      <iconSet iconSet="3Symbols" showValue="0" reverse="1">
        <cfvo type="percent" val="0"/>
        <cfvo type="num" val="1"/>
        <cfvo type="num" val="1.05"/>
      </iconSet>
    </cfRule>
  </conditionalFormatting>
  <conditionalFormatting sqref="Q174">
    <cfRule type="iconSet" priority="2225">
      <iconSet iconSet="3Symbols" showValue="0" reverse="1">
        <cfvo type="percent" val="0"/>
        <cfvo type="num" val="1"/>
        <cfvo type="num" val="1.05"/>
      </iconSet>
    </cfRule>
  </conditionalFormatting>
  <conditionalFormatting sqref="N174">
    <cfRule type="cellIs" dxfId="1803" priority="2223" operator="lessThan">
      <formula>0</formula>
    </cfRule>
    <cfRule type="cellIs" dxfId="1802" priority="2224" operator="greaterThan">
      <formula>0</formula>
    </cfRule>
  </conditionalFormatting>
  <conditionalFormatting sqref="F174">
    <cfRule type="cellIs" dxfId="1801" priority="2221" operator="lessThan">
      <formula>0</formula>
    </cfRule>
    <cfRule type="cellIs" dxfId="1800" priority="2222" operator="greaterThan">
      <formula>0</formula>
    </cfRule>
  </conditionalFormatting>
  <conditionalFormatting sqref="U174">
    <cfRule type="iconSet" priority="2226">
      <iconSet iconSet="3Symbols" showValue="0" reverse="1">
        <cfvo type="percent" val="0"/>
        <cfvo type="num" val="1"/>
        <cfvo type="num" val="1.05"/>
      </iconSet>
    </cfRule>
  </conditionalFormatting>
  <conditionalFormatting sqref="P174">
    <cfRule type="iconSet" priority="2227">
      <iconSet iconSet="3Symbols" showValue="0" reverse="1">
        <cfvo type="percent" val="0"/>
        <cfvo type="num" val="1"/>
        <cfvo type="num" val="1.05"/>
      </iconSet>
    </cfRule>
  </conditionalFormatting>
  <conditionalFormatting sqref="Q173">
    <cfRule type="iconSet" priority="2218">
      <iconSet iconSet="3Symbols" showValue="0" reverse="1">
        <cfvo type="percent" val="0"/>
        <cfvo type="num" val="1"/>
        <cfvo type="num" val="1.05"/>
      </iconSet>
    </cfRule>
  </conditionalFormatting>
  <conditionalFormatting sqref="N173">
    <cfRule type="cellIs" dxfId="1799" priority="2216" operator="lessThan">
      <formula>0</formula>
    </cfRule>
    <cfRule type="cellIs" dxfId="1798" priority="2217" operator="greaterThan">
      <formula>0</formula>
    </cfRule>
  </conditionalFormatting>
  <conditionalFormatting sqref="F173">
    <cfRule type="cellIs" dxfId="1797" priority="2214" operator="lessThan">
      <formula>0</formula>
    </cfRule>
    <cfRule type="cellIs" dxfId="1796" priority="2215" operator="greaterThan">
      <formula>0</formula>
    </cfRule>
  </conditionalFormatting>
  <conditionalFormatting sqref="U173">
    <cfRule type="iconSet" priority="2219">
      <iconSet iconSet="3Symbols" showValue="0" reverse="1">
        <cfvo type="percent" val="0"/>
        <cfvo type="num" val="1"/>
        <cfvo type="num" val="1.05"/>
      </iconSet>
    </cfRule>
  </conditionalFormatting>
  <conditionalFormatting sqref="P173">
    <cfRule type="iconSet" priority="2220">
      <iconSet iconSet="3Symbols" showValue="0" reverse="1">
        <cfvo type="percent" val="0"/>
        <cfvo type="num" val="1"/>
        <cfvo type="num" val="1.05"/>
      </iconSet>
    </cfRule>
  </conditionalFormatting>
  <conditionalFormatting sqref="Q172">
    <cfRule type="iconSet" priority="2211">
      <iconSet iconSet="3Symbols" showValue="0" reverse="1">
        <cfvo type="percent" val="0"/>
        <cfvo type="num" val="1"/>
        <cfvo type="num" val="1.05"/>
      </iconSet>
    </cfRule>
  </conditionalFormatting>
  <conditionalFormatting sqref="N172">
    <cfRule type="cellIs" dxfId="1795" priority="2209" operator="lessThan">
      <formula>0</formula>
    </cfRule>
    <cfRule type="cellIs" dxfId="1794" priority="2210" operator="greaterThan">
      <formula>0</formula>
    </cfRule>
  </conditionalFormatting>
  <conditionalFormatting sqref="F172">
    <cfRule type="cellIs" dxfId="1793" priority="2207" operator="lessThan">
      <formula>0</formula>
    </cfRule>
    <cfRule type="cellIs" dxfId="1792" priority="2208" operator="greaterThan">
      <formula>0</formula>
    </cfRule>
  </conditionalFormatting>
  <conditionalFormatting sqref="U172">
    <cfRule type="iconSet" priority="2212">
      <iconSet iconSet="3Symbols" showValue="0" reverse="1">
        <cfvo type="percent" val="0"/>
        <cfvo type="num" val="1"/>
        <cfvo type="num" val="1.05"/>
      </iconSet>
    </cfRule>
  </conditionalFormatting>
  <conditionalFormatting sqref="P172">
    <cfRule type="iconSet" priority="2213">
      <iconSet iconSet="3Symbols" showValue="0" reverse="1">
        <cfvo type="percent" val="0"/>
        <cfvo type="num" val="1"/>
        <cfvo type="num" val="1.05"/>
      </iconSet>
    </cfRule>
  </conditionalFormatting>
  <conditionalFormatting sqref="Q171">
    <cfRule type="iconSet" priority="2204">
      <iconSet iconSet="3Symbols" showValue="0" reverse="1">
        <cfvo type="percent" val="0"/>
        <cfvo type="num" val="1"/>
        <cfvo type="num" val="1.05"/>
      </iconSet>
    </cfRule>
  </conditionalFormatting>
  <conditionalFormatting sqref="N171">
    <cfRule type="cellIs" dxfId="1791" priority="2202" operator="lessThan">
      <formula>0</formula>
    </cfRule>
    <cfRule type="cellIs" dxfId="1790" priority="2203" operator="greaterThan">
      <formula>0</formula>
    </cfRule>
  </conditionalFormatting>
  <conditionalFormatting sqref="F171">
    <cfRule type="cellIs" dxfId="1789" priority="2200" operator="lessThan">
      <formula>0</formula>
    </cfRule>
    <cfRule type="cellIs" dxfId="1788" priority="2201" operator="greaterThan">
      <formula>0</formula>
    </cfRule>
  </conditionalFormatting>
  <conditionalFormatting sqref="U171">
    <cfRule type="iconSet" priority="2205">
      <iconSet iconSet="3Symbols" showValue="0" reverse="1">
        <cfvo type="percent" val="0"/>
        <cfvo type="num" val="1"/>
        <cfvo type="num" val="1.05"/>
      </iconSet>
    </cfRule>
  </conditionalFormatting>
  <conditionalFormatting sqref="P171">
    <cfRule type="iconSet" priority="2206">
      <iconSet iconSet="3Symbols" showValue="0" reverse="1">
        <cfvo type="percent" val="0"/>
        <cfvo type="num" val="1"/>
        <cfvo type="num" val="1.05"/>
      </iconSet>
    </cfRule>
  </conditionalFormatting>
  <conditionalFormatting sqref="Q170">
    <cfRule type="iconSet" priority="2197">
      <iconSet iconSet="3Symbols" showValue="0" reverse="1">
        <cfvo type="percent" val="0"/>
        <cfvo type="num" val="1"/>
        <cfvo type="num" val="1.05"/>
      </iconSet>
    </cfRule>
  </conditionalFormatting>
  <conditionalFormatting sqref="N170">
    <cfRule type="cellIs" dxfId="1787" priority="2195" operator="lessThan">
      <formula>0</formula>
    </cfRule>
    <cfRule type="cellIs" dxfId="1786" priority="2196" operator="greaterThan">
      <formula>0</formula>
    </cfRule>
  </conditionalFormatting>
  <conditionalFormatting sqref="F170">
    <cfRule type="cellIs" dxfId="1785" priority="2193" operator="lessThan">
      <formula>0</formula>
    </cfRule>
    <cfRule type="cellIs" dxfId="1784" priority="2194" operator="greaterThan">
      <formula>0</formula>
    </cfRule>
  </conditionalFormatting>
  <conditionalFormatting sqref="U170">
    <cfRule type="iconSet" priority="2198">
      <iconSet iconSet="3Symbols" showValue="0" reverse="1">
        <cfvo type="percent" val="0"/>
        <cfvo type="num" val="1"/>
        <cfvo type="num" val="1.05"/>
      </iconSet>
    </cfRule>
  </conditionalFormatting>
  <conditionalFormatting sqref="P170">
    <cfRule type="iconSet" priority="2199">
      <iconSet iconSet="3Symbols" showValue="0" reverse="1">
        <cfvo type="percent" val="0"/>
        <cfvo type="num" val="1"/>
        <cfvo type="num" val="1.05"/>
      </iconSet>
    </cfRule>
  </conditionalFormatting>
  <conditionalFormatting sqref="Q169">
    <cfRule type="iconSet" priority="2190">
      <iconSet iconSet="3Symbols" showValue="0" reverse="1">
        <cfvo type="percent" val="0"/>
        <cfvo type="num" val="1"/>
        <cfvo type="num" val="1.05"/>
      </iconSet>
    </cfRule>
  </conditionalFormatting>
  <conditionalFormatting sqref="N169">
    <cfRule type="cellIs" dxfId="1783" priority="2188" operator="lessThan">
      <formula>0</formula>
    </cfRule>
    <cfRule type="cellIs" dxfId="1782" priority="2189" operator="greaterThan">
      <formula>0</formula>
    </cfRule>
  </conditionalFormatting>
  <conditionalFormatting sqref="F169">
    <cfRule type="cellIs" dxfId="1781" priority="2186" operator="lessThan">
      <formula>0</formula>
    </cfRule>
    <cfRule type="cellIs" dxfId="1780" priority="2187" operator="greaterThan">
      <formula>0</formula>
    </cfRule>
  </conditionalFormatting>
  <conditionalFormatting sqref="U169">
    <cfRule type="iconSet" priority="2191">
      <iconSet iconSet="3Symbols" showValue="0" reverse="1">
        <cfvo type="percent" val="0"/>
        <cfvo type="num" val="1"/>
        <cfvo type="num" val="1.05"/>
      </iconSet>
    </cfRule>
  </conditionalFormatting>
  <conditionalFormatting sqref="P169">
    <cfRule type="iconSet" priority="2192">
      <iconSet iconSet="3Symbols" showValue="0" reverse="1">
        <cfvo type="percent" val="0"/>
        <cfvo type="num" val="1"/>
        <cfvo type="num" val="1.05"/>
      </iconSet>
    </cfRule>
  </conditionalFormatting>
  <conditionalFormatting sqref="Q167:Q168">
    <cfRule type="iconSet" priority="2183">
      <iconSet iconSet="3Symbols" showValue="0" reverse="1">
        <cfvo type="percent" val="0"/>
        <cfvo type="num" val="1"/>
        <cfvo type="num" val="1.05"/>
      </iconSet>
    </cfRule>
  </conditionalFormatting>
  <conditionalFormatting sqref="N167:N168">
    <cfRule type="cellIs" dxfId="1779" priority="2181" operator="lessThan">
      <formula>0</formula>
    </cfRule>
    <cfRule type="cellIs" dxfId="1778" priority="2182" operator="greaterThan">
      <formula>0</formula>
    </cfRule>
  </conditionalFormatting>
  <conditionalFormatting sqref="F167:F168">
    <cfRule type="cellIs" dxfId="1777" priority="2179" operator="lessThan">
      <formula>0</formula>
    </cfRule>
    <cfRule type="cellIs" dxfId="1776" priority="2180" operator="greaterThan">
      <formula>0</formula>
    </cfRule>
  </conditionalFormatting>
  <conditionalFormatting sqref="U167:U168">
    <cfRule type="iconSet" priority="2184">
      <iconSet iconSet="3Symbols" showValue="0" reverse="1">
        <cfvo type="percent" val="0"/>
        <cfvo type="num" val="1"/>
        <cfvo type="num" val="1.05"/>
      </iconSet>
    </cfRule>
  </conditionalFormatting>
  <conditionalFormatting sqref="P167:P168">
    <cfRule type="iconSet" priority="2185">
      <iconSet iconSet="3Symbols" showValue="0" reverse="1">
        <cfvo type="percent" val="0"/>
        <cfvo type="num" val="1"/>
        <cfvo type="num" val="1.05"/>
      </iconSet>
    </cfRule>
  </conditionalFormatting>
  <conditionalFormatting sqref="Q166">
    <cfRule type="iconSet" priority="2176">
      <iconSet iconSet="3Symbols" showValue="0" reverse="1">
        <cfvo type="percent" val="0"/>
        <cfvo type="num" val="1"/>
        <cfvo type="num" val="1.05"/>
      </iconSet>
    </cfRule>
  </conditionalFormatting>
  <conditionalFormatting sqref="N166">
    <cfRule type="cellIs" dxfId="1775" priority="2174" operator="lessThan">
      <formula>0</formula>
    </cfRule>
    <cfRule type="cellIs" dxfId="1774" priority="2175" operator="greaterThan">
      <formula>0</formula>
    </cfRule>
  </conditionalFormatting>
  <conditionalFormatting sqref="F166">
    <cfRule type="cellIs" dxfId="1773" priority="2172" operator="lessThan">
      <formula>0</formula>
    </cfRule>
    <cfRule type="cellIs" dxfId="1772" priority="2173" operator="greaterThan">
      <formula>0</formula>
    </cfRule>
  </conditionalFormatting>
  <conditionalFormatting sqref="U166">
    <cfRule type="iconSet" priority="2177">
      <iconSet iconSet="3Symbols" showValue="0" reverse="1">
        <cfvo type="percent" val="0"/>
        <cfvo type="num" val="1"/>
        <cfvo type="num" val="1.05"/>
      </iconSet>
    </cfRule>
  </conditionalFormatting>
  <conditionalFormatting sqref="P166">
    <cfRule type="iconSet" priority="2178">
      <iconSet iconSet="3Symbols" showValue="0" reverse="1">
        <cfvo type="percent" val="0"/>
        <cfvo type="num" val="1"/>
        <cfvo type="num" val="1.05"/>
      </iconSet>
    </cfRule>
  </conditionalFormatting>
  <conditionalFormatting sqref="Q165">
    <cfRule type="iconSet" priority="2169">
      <iconSet iconSet="3Symbols" showValue="0" reverse="1">
        <cfvo type="percent" val="0"/>
        <cfvo type="num" val="1"/>
        <cfvo type="num" val="1.05"/>
      </iconSet>
    </cfRule>
  </conditionalFormatting>
  <conditionalFormatting sqref="N165">
    <cfRule type="cellIs" dxfId="1771" priority="2167" operator="lessThan">
      <formula>0</formula>
    </cfRule>
    <cfRule type="cellIs" dxfId="1770" priority="2168" operator="greaterThan">
      <formula>0</formula>
    </cfRule>
  </conditionalFormatting>
  <conditionalFormatting sqref="F165">
    <cfRule type="cellIs" dxfId="1769" priority="2165" operator="lessThan">
      <formula>0</formula>
    </cfRule>
    <cfRule type="cellIs" dxfId="1768" priority="2166" operator="greaterThan">
      <formula>0</formula>
    </cfRule>
  </conditionalFormatting>
  <conditionalFormatting sqref="U165">
    <cfRule type="iconSet" priority="2170">
      <iconSet iconSet="3Symbols" showValue="0" reverse="1">
        <cfvo type="percent" val="0"/>
        <cfvo type="num" val="1"/>
        <cfvo type="num" val="1.05"/>
      </iconSet>
    </cfRule>
  </conditionalFormatting>
  <conditionalFormatting sqref="P165">
    <cfRule type="iconSet" priority="2171">
      <iconSet iconSet="3Symbols" showValue="0" reverse="1">
        <cfvo type="percent" val="0"/>
        <cfvo type="num" val="1"/>
        <cfvo type="num" val="1.05"/>
      </iconSet>
    </cfRule>
  </conditionalFormatting>
  <conditionalFormatting sqref="Q164">
    <cfRule type="iconSet" priority="2162">
      <iconSet iconSet="3Symbols" showValue="0" reverse="1">
        <cfvo type="percent" val="0"/>
        <cfvo type="num" val="1"/>
        <cfvo type="num" val="1.05"/>
      </iconSet>
    </cfRule>
  </conditionalFormatting>
  <conditionalFormatting sqref="N164">
    <cfRule type="cellIs" dxfId="1767" priority="2160" operator="lessThan">
      <formula>0</formula>
    </cfRule>
    <cfRule type="cellIs" dxfId="1766" priority="2161" operator="greaterThan">
      <formula>0</formula>
    </cfRule>
  </conditionalFormatting>
  <conditionalFormatting sqref="F164">
    <cfRule type="cellIs" dxfId="1765" priority="2158" operator="lessThan">
      <formula>0</formula>
    </cfRule>
    <cfRule type="cellIs" dxfId="1764" priority="2159" operator="greaterThan">
      <formula>0</formula>
    </cfRule>
  </conditionalFormatting>
  <conditionalFormatting sqref="U164">
    <cfRule type="iconSet" priority="2163">
      <iconSet iconSet="3Symbols" showValue="0" reverse="1">
        <cfvo type="percent" val="0"/>
        <cfvo type="num" val="1"/>
        <cfvo type="num" val="1.05"/>
      </iconSet>
    </cfRule>
  </conditionalFormatting>
  <conditionalFormatting sqref="P164">
    <cfRule type="iconSet" priority="2164">
      <iconSet iconSet="3Symbols" showValue="0" reverse="1">
        <cfvo type="percent" val="0"/>
        <cfvo type="num" val="1"/>
        <cfvo type="num" val="1.05"/>
      </iconSet>
    </cfRule>
  </conditionalFormatting>
  <conditionalFormatting sqref="Q163">
    <cfRule type="iconSet" priority="2155">
      <iconSet iconSet="3Symbols" showValue="0" reverse="1">
        <cfvo type="percent" val="0"/>
        <cfvo type="num" val="1"/>
        <cfvo type="num" val="1.05"/>
      </iconSet>
    </cfRule>
  </conditionalFormatting>
  <conditionalFormatting sqref="N163">
    <cfRule type="cellIs" dxfId="1763" priority="2153" operator="lessThan">
      <formula>0</formula>
    </cfRule>
    <cfRule type="cellIs" dxfId="1762" priority="2154" operator="greaterThan">
      <formula>0</formula>
    </cfRule>
  </conditionalFormatting>
  <conditionalFormatting sqref="F163">
    <cfRule type="cellIs" dxfId="1761" priority="2151" operator="lessThan">
      <formula>0</formula>
    </cfRule>
    <cfRule type="cellIs" dxfId="1760" priority="2152" operator="greaterThan">
      <formula>0</formula>
    </cfRule>
  </conditionalFormatting>
  <conditionalFormatting sqref="U163">
    <cfRule type="iconSet" priority="2156">
      <iconSet iconSet="3Symbols" showValue="0" reverse="1">
        <cfvo type="percent" val="0"/>
        <cfvo type="num" val="1"/>
        <cfvo type="num" val="1.05"/>
      </iconSet>
    </cfRule>
  </conditionalFormatting>
  <conditionalFormatting sqref="P163">
    <cfRule type="iconSet" priority="2157">
      <iconSet iconSet="3Symbols" showValue="0" reverse="1">
        <cfvo type="percent" val="0"/>
        <cfvo type="num" val="1"/>
        <cfvo type="num" val="1.05"/>
      </iconSet>
    </cfRule>
  </conditionalFormatting>
  <conditionalFormatting sqref="Q162">
    <cfRule type="iconSet" priority="2148">
      <iconSet iconSet="3Symbols" showValue="0" reverse="1">
        <cfvo type="percent" val="0"/>
        <cfvo type="num" val="1"/>
        <cfvo type="num" val="1.05"/>
      </iconSet>
    </cfRule>
  </conditionalFormatting>
  <conditionalFormatting sqref="N162">
    <cfRule type="cellIs" dxfId="1759" priority="2146" operator="lessThan">
      <formula>0</formula>
    </cfRule>
    <cfRule type="cellIs" dxfId="1758" priority="2147" operator="greaterThan">
      <formula>0</formula>
    </cfRule>
  </conditionalFormatting>
  <conditionalFormatting sqref="F162">
    <cfRule type="cellIs" dxfId="1757" priority="2144" operator="lessThan">
      <formula>0</formula>
    </cfRule>
    <cfRule type="cellIs" dxfId="1756" priority="2145" operator="greaterThan">
      <formula>0</formula>
    </cfRule>
  </conditionalFormatting>
  <conditionalFormatting sqref="U162">
    <cfRule type="iconSet" priority="2149">
      <iconSet iconSet="3Symbols" showValue="0" reverse="1">
        <cfvo type="percent" val="0"/>
        <cfvo type="num" val="1"/>
        <cfvo type="num" val="1.05"/>
      </iconSet>
    </cfRule>
  </conditionalFormatting>
  <conditionalFormatting sqref="P162">
    <cfRule type="iconSet" priority="2150">
      <iconSet iconSet="3Symbols" showValue="0" reverse="1">
        <cfvo type="percent" val="0"/>
        <cfvo type="num" val="1"/>
        <cfvo type="num" val="1.05"/>
      </iconSet>
    </cfRule>
  </conditionalFormatting>
  <conditionalFormatting sqref="Q161">
    <cfRule type="iconSet" priority="2141">
      <iconSet iconSet="3Symbols" showValue="0" reverse="1">
        <cfvo type="percent" val="0"/>
        <cfvo type="num" val="1"/>
        <cfvo type="num" val="1.05"/>
      </iconSet>
    </cfRule>
  </conditionalFormatting>
  <conditionalFormatting sqref="N161">
    <cfRule type="cellIs" dxfId="1755" priority="2139" operator="lessThan">
      <formula>0</formula>
    </cfRule>
    <cfRule type="cellIs" dxfId="1754" priority="2140" operator="greaterThan">
      <formula>0</formula>
    </cfRule>
  </conditionalFormatting>
  <conditionalFormatting sqref="F161">
    <cfRule type="cellIs" dxfId="1753" priority="2137" operator="lessThan">
      <formula>0</formula>
    </cfRule>
    <cfRule type="cellIs" dxfId="1752" priority="2138" operator="greaterThan">
      <formula>0</formula>
    </cfRule>
  </conditionalFormatting>
  <conditionalFormatting sqref="U161">
    <cfRule type="iconSet" priority="2142">
      <iconSet iconSet="3Symbols" showValue="0" reverse="1">
        <cfvo type="percent" val="0"/>
        <cfvo type="num" val="1"/>
        <cfvo type="num" val="1.05"/>
      </iconSet>
    </cfRule>
  </conditionalFormatting>
  <conditionalFormatting sqref="P161">
    <cfRule type="iconSet" priority="2143">
      <iconSet iconSet="3Symbols" showValue="0" reverse="1">
        <cfvo type="percent" val="0"/>
        <cfvo type="num" val="1"/>
        <cfvo type="num" val="1.05"/>
      </iconSet>
    </cfRule>
  </conditionalFormatting>
  <conditionalFormatting sqref="Q160">
    <cfRule type="iconSet" priority="2134">
      <iconSet iconSet="3Symbols" showValue="0" reverse="1">
        <cfvo type="percent" val="0"/>
        <cfvo type="num" val="1"/>
        <cfvo type="num" val="1.05"/>
      </iconSet>
    </cfRule>
  </conditionalFormatting>
  <conditionalFormatting sqref="N160">
    <cfRule type="cellIs" dxfId="1751" priority="2132" operator="lessThan">
      <formula>0</formula>
    </cfRule>
    <cfRule type="cellIs" dxfId="1750" priority="2133" operator="greaterThan">
      <formula>0</formula>
    </cfRule>
  </conditionalFormatting>
  <conditionalFormatting sqref="F160">
    <cfRule type="cellIs" dxfId="1749" priority="2130" operator="lessThan">
      <formula>0</formula>
    </cfRule>
    <cfRule type="cellIs" dxfId="1748" priority="2131" operator="greaterThan">
      <formula>0</formula>
    </cfRule>
  </conditionalFormatting>
  <conditionalFormatting sqref="U160">
    <cfRule type="iconSet" priority="2135">
      <iconSet iconSet="3Symbols" showValue="0" reverse="1">
        <cfvo type="percent" val="0"/>
        <cfvo type="num" val="1"/>
        <cfvo type="num" val="1.05"/>
      </iconSet>
    </cfRule>
  </conditionalFormatting>
  <conditionalFormatting sqref="P160">
    <cfRule type="iconSet" priority="2136">
      <iconSet iconSet="3Symbols" showValue="0" reverse="1">
        <cfvo type="percent" val="0"/>
        <cfvo type="num" val="1"/>
        <cfvo type="num" val="1.05"/>
      </iconSet>
    </cfRule>
  </conditionalFormatting>
  <conditionalFormatting sqref="Q158:Q159">
    <cfRule type="iconSet" priority="2127">
      <iconSet iconSet="3Symbols" showValue="0" reverse="1">
        <cfvo type="percent" val="0"/>
        <cfvo type="num" val="1"/>
        <cfvo type="num" val="1.05"/>
      </iconSet>
    </cfRule>
  </conditionalFormatting>
  <conditionalFormatting sqref="N158:N159">
    <cfRule type="cellIs" dxfId="1747" priority="2125" operator="lessThan">
      <formula>0</formula>
    </cfRule>
    <cfRule type="cellIs" dxfId="1746" priority="2126" operator="greaterThan">
      <formula>0</formula>
    </cfRule>
  </conditionalFormatting>
  <conditionalFormatting sqref="F158:F159">
    <cfRule type="cellIs" dxfId="1745" priority="2123" operator="lessThan">
      <formula>0</formula>
    </cfRule>
    <cfRule type="cellIs" dxfId="1744" priority="2124" operator="greaterThan">
      <formula>0</formula>
    </cfRule>
  </conditionalFormatting>
  <conditionalFormatting sqref="U158:U159">
    <cfRule type="iconSet" priority="2128">
      <iconSet iconSet="3Symbols" showValue="0" reverse="1">
        <cfvo type="percent" val="0"/>
        <cfvo type="num" val="1"/>
        <cfvo type="num" val="1.05"/>
      </iconSet>
    </cfRule>
  </conditionalFormatting>
  <conditionalFormatting sqref="P158:P159">
    <cfRule type="iconSet" priority="2129">
      <iconSet iconSet="3Symbols" showValue="0" reverse="1">
        <cfvo type="percent" val="0"/>
        <cfvo type="num" val="1"/>
        <cfvo type="num" val="1.05"/>
      </iconSet>
    </cfRule>
  </conditionalFormatting>
  <conditionalFormatting sqref="Q157">
    <cfRule type="iconSet" priority="2120">
      <iconSet iconSet="3Symbols" showValue="0" reverse="1">
        <cfvo type="percent" val="0"/>
        <cfvo type="num" val="1"/>
        <cfvo type="num" val="1.05"/>
      </iconSet>
    </cfRule>
  </conditionalFormatting>
  <conditionalFormatting sqref="N157">
    <cfRule type="cellIs" dxfId="1743" priority="2118" operator="lessThan">
      <formula>0</formula>
    </cfRule>
    <cfRule type="cellIs" dxfId="1742" priority="2119" operator="greaterThan">
      <formula>0</formula>
    </cfRule>
  </conditionalFormatting>
  <conditionalFormatting sqref="F157">
    <cfRule type="cellIs" dxfId="1741" priority="2116" operator="lessThan">
      <formula>0</formula>
    </cfRule>
    <cfRule type="cellIs" dxfId="1740" priority="2117" operator="greaterThan">
      <formula>0</formula>
    </cfRule>
  </conditionalFormatting>
  <conditionalFormatting sqref="U157">
    <cfRule type="iconSet" priority="2121">
      <iconSet iconSet="3Symbols" showValue="0" reverse="1">
        <cfvo type="percent" val="0"/>
        <cfvo type="num" val="1"/>
        <cfvo type="num" val="1.05"/>
      </iconSet>
    </cfRule>
  </conditionalFormatting>
  <conditionalFormatting sqref="P157">
    <cfRule type="iconSet" priority="2122">
      <iconSet iconSet="3Symbols" showValue="0" reverse="1">
        <cfvo type="percent" val="0"/>
        <cfvo type="num" val="1"/>
        <cfvo type="num" val="1.05"/>
      </iconSet>
    </cfRule>
  </conditionalFormatting>
  <conditionalFormatting sqref="Q156">
    <cfRule type="iconSet" priority="2113">
      <iconSet iconSet="3Symbols" showValue="0" reverse="1">
        <cfvo type="percent" val="0"/>
        <cfvo type="num" val="1"/>
        <cfvo type="num" val="1.05"/>
      </iconSet>
    </cfRule>
  </conditionalFormatting>
  <conditionalFormatting sqref="N156">
    <cfRule type="cellIs" dxfId="1739" priority="2111" operator="lessThan">
      <formula>0</formula>
    </cfRule>
    <cfRule type="cellIs" dxfId="1738" priority="2112" operator="greaterThan">
      <formula>0</formula>
    </cfRule>
  </conditionalFormatting>
  <conditionalFormatting sqref="F156">
    <cfRule type="cellIs" dxfId="1737" priority="2109" operator="lessThan">
      <formula>0</formula>
    </cfRule>
    <cfRule type="cellIs" dxfId="1736" priority="2110" operator="greaterThan">
      <formula>0</formula>
    </cfRule>
  </conditionalFormatting>
  <conditionalFormatting sqref="U156">
    <cfRule type="iconSet" priority="2114">
      <iconSet iconSet="3Symbols" showValue="0" reverse="1">
        <cfvo type="percent" val="0"/>
        <cfvo type="num" val="1"/>
        <cfvo type="num" val="1.05"/>
      </iconSet>
    </cfRule>
  </conditionalFormatting>
  <conditionalFormatting sqref="P156">
    <cfRule type="iconSet" priority="2115">
      <iconSet iconSet="3Symbols" showValue="0" reverse="1">
        <cfvo type="percent" val="0"/>
        <cfvo type="num" val="1"/>
        <cfvo type="num" val="1.05"/>
      </iconSet>
    </cfRule>
  </conditionalFormatting>
  <conditionalFormatting sqref="Q155">
    <cfRule type="iconSet" priority="2106">
      <iconSet iconSet="3Symbols" showValue="0" reverse="1">
        <cfvo type="percent" val="0"/>
        <cfvo type="num" val="1"/>
        <cfvo type="num" val="1.05"/>
      </iconSet>
    </cfRule>
  </conditionalFormatting>
  <conditionalFormatting sqref="N155">
    <cfRule type="cellIs" dxfId="1735" priority="2104" operator="lessThan">
      <formula>0</formula>
    </cfRule>
    <cfRule type="cellIs" dxfId="1734" priority="2105" operator="greaterThan">
      <formula>0</formula>
    </cfRule>
  </conditionalFormatting>
  <conditionalFormatting sqref="F155">
    <cfRule type="cellIs" dxfId="1733" priority="2102" operator="lessThan">
      <formula>0</formula>
    </cfRule>
    <cfRule type="cellIs" dxfId="1732" priority="2103" operator="greaterThan">
      <formula>0</formula>
    </cfRule>
  </conditionalFormatting>
  <conditionalFormatting sqref="U155">
    <cfRule type="iconSet" priority="2107">
      <iconSet iconSet="3Symbols" showValue="0" reverse="1">
        <cfvo type="percent" val="0"/>
        <cfvo type="num" val="1"/>
        <cfvo type="num" val="1.05"/>
      </iconSet>
    </cfRule>
  </conditionalFormatting>
  <conditionalFormatting sqref="P155">
    <cfRule type="iconSet" priority="2108">
      <iconSet iconSet="3Symbols" showValue="0" reverse="1">
        <cfvo type="percent" val="0"/>
        <cfvo type="num" val="1"/>
        <cfvo type="num" val="1.05"/>
      </iconSet>
    </cfRule>
  </conditionalFormatting>
  <conditionalFormatting sqref="Q154">
    <cfRule type="iconSet" priority="2099">
      <iconSet iconSet="3Symbols" showValue="0" reverse="1">
        <cfvo type="percent" val="0"/>
        <cfvo type="num" val="1"/>
        <cfvo type="num" val="1.05"/>
      </iconSet>
    </cfRule>
  </conditionalFormatting>
  <conditionalFormatting sqref="N154">
    <cfRule type="cellIs" dxfId="1731" priority="2097" operator="lessThan">
      <formula>0</formula>
    </cfRule>
    <cfRule type="cellIs" dxfId="1730" priority="2098" operator="greaterThan">
      <formula>0</formula>
    </cfRule>
  </conditionalFormatting>
  <conditionalFormatting sqref="F154">
    <cfRule type="cellIs" dxfId="1729" priority="2095" operator="lessThan">
      <formula>0</formula>
    </cfRule>
    <cfRule type="cellIs" dxfId="1728" priority="2096" operator="greaterThan">
      <formula>0</formula>
    </cfRule>
  </conditionalFormatting>
  <conditionalFormatting sqref="U154">
    <cfRule type="iconSet" priority="2100">
      <iconSet iconSet="3Symbols" showValue="0" reverse="1">
        <cfvo type="percent" val="0"/>
        <cfvo type="num" val="1"/>
        <cfvo type="num" val="1.05"/>
      </iconSet>
    </cfRule>
  </conditionalFormatting>
  <conditionalFormatting sqref="P154">
    <cfRule type="iconSet" priority="2101">
      <iconSet iconSet="3Symbols" showValue="0" reverse="1">
        <cfvo type="percent" val="0"/>
        <cfvo type="num" val="1"/>
        <cfvo type="num" val="1.05"/>
      </iconSet>
    </cfRule>
  </conditionalFormatting>
  <conditionalFormatting sqref="Q153">
    <cfRule type="iconSet" priority="2092">
      <iconSet iconSet="3Symbols" showValue="0" reverse="1">
        <cfvo type="percent" val="0"/>
        <cfvo type="num" val="1"/>
        <cfvo type="num" val="1.05"/>
      </iconSet>
    </cfRule>
  </conditionalFormatting>
  <conditionalFormatting sqref="N153">
    <cfRule type="cellIs" dxfId="1727" priority="2090" operator="lessThan">
      <formula>0</formula>
    </cfRule>
    <cfRule type="cellIs" dxfId="1726" priority="2091" operator="greaterThan">
      <formula>0</formula>
    </cfRule>
  </conditionalFormatting>
  <conditionalFormatting sqref="F153">
    <cfRule type="cellIs" dxfId="1725" priority="2088" operator="lessThan">
      <formula>0</formula>
    </cfRule>
    <cfRule type="cellIs" dxfId="1724" priority="2089" operator="greaterThan">
      <formula>0</formula>
    </cfRule>
  </conditionalFormatting>
  <conditionalFormatting sqref="U153">
    <cfRule type="iconSet" priority="2093">
      <iconSet iconSet="3Symbols" showValue="0" reverse="1">
        <cfvo type="percent" val="0"/>
        <cfvo type="num" val="1"/>
        <cfvo type="num" val="1.05"/>
      </iconSet>
    </cfRule>
  </conditionalFormatting>
  <conditionalFormatting sqref="P153">
    <cfRule type="iconSet" priority="2094">
      <iconSet iconSet="3Symbols" showValue="0" reverse="1">
        <cfvo type="percent" val="0"/>
        <cfvo type="num" val="1"/>
        <cfvo type="num" val="1.05"/>
      </iconSet>
    </cfRule>
  </conditionalFormatting>
  <conditionalFormatting sqref="Q152">
    <cfRule type="iconSet" priority="2085">
      <iconSet iconSet="3Symbols" showValue="0" reverse="1">
        <cfvo type="percent" val="0"/>
        <cfvo type="num" val="1"/>
        <cfvo type="num" val="1.05"/>
      </iconSet>
    </cfRule>
  </conditionalFormatting>
  <conditionalFormatting sqref="N152">
    <cfRule type="cellIs" dxfId="1723" priority="2083" operator="lessThan">
      <formula>0</formula>
    </cfRule>
    <cfRule type="cellIs" dxfId="1722" priority="2084" operator="greaterThan">
      <formula>0</formula>
    </cfRule>
  </conditionalFormatting>
  <conditionalFormatting sqref="F152">
    <cfRule type="cellIs" dxfId="1721" priority="2081" operator="lessThan">
      <formula>0</formula>
    </cfRule>
    <cfRule type="cellIs" dxfId="1720" priority="2082" operator="greaterThan">
      <formula>0</formula>
    </cfRule>
  </conditionalFormatting>
  <conditionalFormatting sqref="U152">
    <cfRule type="iconSet" priority="2086">
      <iconSet iconSet="3Symbols" showValue="0" reverse="1">
        <cfvo type="percent" val="0"/>
        <cfvo type="num" val="1"/>
        <cfvo type="num" val="1.05"/>
      </iconSet>
    </cfRule>
  </conditionalFormatting>
  <conditionalFormatting sqref="P152">
    <cfRule type="iconSet" priority="2087">
      <iconSet iconSet="3Symbols" showValue="0" reverse="1">
        <cfvo type="percent" val="0"/>
        <cfvo type="num" val="1"/>
        <cfvo type="num" val="1.05"/>
      </iconSet>
    </cfRule>
  </conditionalFormatting>
  <conditionalFormatting sqref="Q151">
    <cfRule type="iconSet" priority="2078">
      <iconSet iconSet="3Symbols" showValue="0" reverse="1">
        <cfvo type="percent" val="0"/>
        <cfvo type="num" val="1"/>
        <cfvo type="num" val="1.05"/>
      </iconSet>
    </cfRule>
  </conditionalFormatting>
  <conditionalFormatting sqref="N151">
    <cfRule type="cellIs" dxfId="1719" priority="2076" operator="lessThan">
      <formula>0</formula>
    </cfRule>
    <cfRule type="cellIs" dxfId="1718" priority="2077" operator="greaterThan">
      <formula>0</formula>
    </cfRule>
  </conditionalFormatting>
  <conditionalFormatting sqref="F151">
    <cfRule type="cellIs" dxfId="1717" priority="2074" operator="lessThan">
      <formula>0</formula>
    </cfRule>
    <cfRule type="cellIs" dxfId="1716" priority="2075" operator="greaterThan">
      <formula>0</formula>
    </cfRule>
  </conditionalFormatting>
  <conditionalFormatting sqref="U151">
    <cfRule type="iconSet" priority="2079">
      <iconSet iconSet="3Symbols" showValue="0" reverse="1">
        <cfvo type="percent" val="0"/>
        <cfvo type="num" val="1"/>
        <cfvo type="num" val="1.05"/>
      </iconSet>
    </cfRule>
  </conditionalFormatting>
  <conditionalFormatting sqref="P151">
    <cfRule type="iconSet" priority="2080">
      <iconSet iconSet="3Symbols" showValue="0" reverse="1">
        <cfvo type="percent" val="0"/>
        <cfvo type="num" val="1"/>
        <cfvo type="num" val="1.05"/>
      </iconSet>
    </cfRule>
  </conditionalFormatting>
  <conditionalFormatting sqref="Q149:Q150">
    <cfRule type="iconSet" priority="2071">
      <iconSet iconSet="3Symbols" showValue="0" reverse="1">
        <cfvo type="percent" val="0"/>
        <cfvo type="num" val="1"/>
        <cfvo type="num" val="1.05"/>
      </iconSet>
    </cfRule>
  </conditionalFormatting>
  <conditionalFormatting sqref="N149:N150">
    <cfRule type="cellIs" dxfId="1715" priority="2069" operator="lessThan">
      <formula>0</formula>
    </cfRule>
    <cfRule type="cellIs" dxfId="1714" priority="2070" operator="greaterThan">
      <formula>0</formula>
    </cfRule>
  </conditionalFormatting>
  <conditionalFormatting sqref="F149:F150">
    <cfRule type="cellIs" dxfId="1713" priority="2067" operator="lessThan">
      <formula>0</formula>
    </cfRule>
    <cfRule type="cellIs" dxfId="1712" priority="2068" operator="greaterThan">
      <formula>0</formula>
    </cfRule>
  </conditionalFormatting>
  <conditionalFormatting sqref="U149:U150">
    <cfRule type="iconSet" priority="2072">
      <iconSet iconSet="3Symbols" showValue="0" reverse="1">
        <cfvo type="percent" val="0"/>
        <cfvo type="num" val="1"/>
        <cfvo type="num" val="1.05"/>
      </iconSet>
    </cfRule>
  </conditionalFormatting>
  <conditionalFormatting sqref="P149:P150">
    <cfRule type="iconSet" priority="2073">
      <iconSet iconSet="3Symbols" showValue="0" reverse="1">
        <cfvo type="percent" val="0"/>
        <cfvo type="num" val="1"/>
        <cfvo type="num" val="1.05"/>
      </iconSet>
    </cfRule>
  </conditionalFormatting>
  <conditionalFormatting sqref="Q148">
    <cfRule type="iconSet" priority="2064">
      <iconSet iconSet="3Symbols" showValue="0" reverse="1">
        <cfvo type="percent" val="0"/>
        <cfvo type="num" val="1"/>
        <cfvo type="num" val="1.05"/>
      </iconSet>
    </cfRule>
  </conditionalFormatting>
  <conditionalFormatting sqref="N148">
    <cfRule type="cellIs" dxfId="1711" priority="2062" operator="lessThan">
      <formula>0</formula>
    </cfRule>
    <cfRule type="cellIs" dxfId="1710" priority="2063" operator="greaterThan">
      <formula>0</formula>
    </cfRule>
  </conditionalFormatting>
  <conditionalFormatting sqref="F148">
    <cfRule type="cellIs" dxfId="1709" priority="2060" operator="lessThan">
      <formula>0</formula>
    </cfRule>
    <cfRule type="cellIs" dxfId="1708" priority="2061" operator="greaterThan">
      <formula>0</formula>
    </cfRule>
  </conditionalFormatting>
  <conditionalFormatting sqref="U148">
    <cfRule type="iconSet" priority="2065">
      <iconSet iconSet="3Symbols" showValue="0" reverse="1">
        <cfvo type="percent" val="0"/>
        <cfvo type="num" val="1"/>
        <cfvo type="num" val="1.05"/>
      </iconSet>
    </cfRule>
  </conditionalFormatting>
  <conditionalFormatting sqref="P148">
    <cfRule type="iconSet" priority="2066">
      <iconSet iconSet="3Symbols" showValue="0" reverse="1">
        <cfvo type="percent" val="0"/>
        <cfvo type="num" val="1"/>
        <cfvo type="num" val="1.05"/>
      </iconSet>
    </cfRule>
  </conditionalFormatting>
  <conditionalFormatting sqref="Q147">
    <cfRule type="iconSet" priority="2057">
      <iconSet iconSet="3Symbols" showValue="0" reverse="1">
        <cfvo type="percent" val="0"/>
        <cfvo type="num" val="1"/>
        <cfvo type="num" val="1.05"/>
      </iconSet>
    </cfRule>
  </conditionalFormatting>
  <conditionalFormatting sqref="N147">
    <cfRule type="cellIs" dxfId="1707" priority="2055" operator="lessThan">
      <formula>0</formula>
    </cfRule>
    <cfRule type="cellIs" dxfId="1706" priority="2056" operator="greaterThan">
      <formula>0</formula>
    </cfRule>
  </conditionalFormatting>
  <conditionalFormatting sqref="F147">
    <cfRule type="cellIs" dxfId="1705" priority="2053" operator="lessThan">
      <formula>0</formula>
    </cfRule>
    <cfRule type="cellIs" dxfId="1704" priority="2054" operator="greaterThan">
      <formula>0</formula>
    </cfRule>
  </conditionalFormatting>
  <conditionalFormatting sqref="U147">
    <cfRule type="iconSet" priority="2058">
      <iconSet iconSet="3Symbols" showValue="0" reverse="1">
        <cfvo type="percent" val="0"/>
        <cfvo type="num" val="1"/>
        <cfvo type="num" val="1.05"/>
      </iconSet>
    </cfRule>
  </conditionalFormatting>
  <conditionalFormatting sqref="P147">
    <cfRule type="iconSet" priority="2059">
      <iconSet iconSet="3Symbols" showValue="0" reverse="1">
        <cfvo type="percent" val="0"/>
        <cfvo type="num" val="1"/>
        <cfvo type="num" val="1.05"/>
      </iconSet>
    </cfRule>
  </conditionalFormatting>
  <conditionalFormatting sqref="Q146">
    <cfRule type="iconSet" priority="2050">
      <iconSet iconSet="3Symbols" showValue="0" reverse="1">
        <cfvo type="percent" val="0"/>
        <cfvo type="num" val="1"/>
        <cfvo type="num" val="1.05"/>
      </iconSet>
    </cfRule>
  </conditionalFormatting>
  <conditionalFormatting sqref="N146">
    <cfRule type="cellIs" dxfId="1703" priority="2048" operator="lessThan">
      <formula>0</formula>
    </cfRule>
    <cfRule type="cellIs" dxfId="1702" priority="2049" operator="greaterThan">
      <formula>0</formula>
    </cfRule>
  </conditionalFormatting>
  <conditionalFormatting sqref="F146">
    <cfRule type="cellIs" dxfId="1701" priority="2046" operator="lessThan">
      <formula>0</formula>
    </cfRule>
    <cfRule type="cellIs" dxfId="1700" priority="2047" operator="greaterThan">
      <formula>0</formula>
    </cfRule>
  </conditionalFormatting>
  <conditionalFormatting sqref="U146">
    <cfRule type="iconSet" priority="2051">
      <iconSet iconSet="3Symbols" showValue="0" reverse="1">
        <cfvo type="percent" val="0"/>
        <cfvo type="num" val="1"/>
        <cfvo type="num" val="1.05"/>
      </iconSet>
    </cfRule>
  </conditionalFormatting>
  <conditionalFormatting sqref="P146">
    <cfRule type="iconSet" priority="2052">
      <iconSet iconSet="3Symbols" showValue="0" reverse="1">
        <cfvo type="percent" val="0"/>
        <cfvo type="num" val="1"/>
        <cfvo type="num" val="1.05"/>
      </iconSet>
    </cfRule>
  </conditionalFormatting>
  <conditionalFormatting sqref="Q145">
    <cfRule type="iconSet" priority="2043">
      <iconSet iconSet="3Symbols" showValue="0" reverse="1">
        <cfvo type="percent" val="0"/>
        <cfvo type="num" val="1"/>
        <cfvo type="num" val="1.05"/>
      </iconSet>
    </cfRule>
  </conditionalFormatting>
  <conditionalFormatting sqref="N145">
    <cfRule type="cellIs" dxfId="1699" priority="2041" operator="lessThan">
      <formula>0</formula>
    </cfRule>
    <cfRule type="cellIs" dxfId="1698" priority="2042" operator="greaterThan">
      <formula>0</formula>
    </cfRule>
  </conditionalFormatting>
  <conditionalFormatting sqref="F145">
    <cfRule type="cellIs" dxfId="1697" priority="2039" operator="lessThan">
      <formula>0</formula>
    </cfRule>
    <cfRule type="cellIs" dxfId="1696" priority="2040" operator="greaterThan">
      <formula>0</formula>
    </cfRule>
  </conditionalFormatting>
  <conditionalFormatting sqref="U145">
    <cfRule type="iconSet" priority="2044">
      <iconSet iconSet="3Symbols" showValue="0" reverse="1">
        <cfvo type="percent" val="0"/>
        <cfvo type="num" val="1"/>
        <cfvo type="num" val="1.05"/>
      </iconSet>
    </cfRule>
  </conditionalFormatting>
  <conditionalFormatting sqref="P145">
    <cfRule type="iconSet" priority="2045">
      <iconSet iconSet="3Symbols" showValue="0" reverse="1">
        <cfvo type="percent" val="0"/>
        <cfvo type="num" val="1"/>
        <cfvo type="num" val="1.05"/>
      </iconSet>
    </cfRule>
  </conditionalFormatting>
  <conditionalFormatting sqref="Q144">
    <cfRule type="iconSet" priority="2036">
      <iconSet iconSet="3Symbols" showValue="0" reverse="1">
        <cfvo type="percent" val="0"/>
        <cfvo type="num" val="1"/>
        <cfvo type="num" val="1.05"/>
      </iconSet>
    </cfRule>
  </conditionalFormatting>
  <conditionalFormatting sqref="N144">
    <cfRule type="cellIs" dxfId="1695" priority="2034" operator="lessThan">
      <formula>0</formula>
    </cfRule>
    <cfRule type="cellIs" dxfId="1694" priority="2035" operator="greaterThan">
      <formula>0</formula>
    </cfRule>
  </conditionalFormatting>
  <conditionalFormatting sqref="F144">
    <cfRule type="cellIs" dxfId="1693" priority="2032" operator="lessThan">
      <formula>0</formula>
    </cfRule>
    <cfRule type="cellIs" dxfId="1692" priority="2033" operator="greaterThan">
      <formula>0</formula>
    </cfRule>
  </conditionalFormatting>
  <conditionalFormatting sqref="U144">
    <cfRule type="iconSet" priority="2037">
      <iconSet iconSet="3Symbols" showValue="0" reverse="1">
        <cfvo type="percent" val="0"/>
        <cfvo type="num" val="1"/>
        <cfvo type="num" val="1.05"/>
      </iconSet>
    </cfRule>
  </conditionalFormatting>
  <conditionalFormatting sqref="P144">
    <cfRule type="iconSet" priority="2038">
      <iconSet iconSet="3Symbols" showValue="0" reverse="1">
        <cfvo type="percent" val="0"/>
        <cfvo type="num" val="1"/>
        <cfvo type="num" val="1.05"/>
      </iconSet>
    </cfRule>
  </conditionalFormatting>
  <conditionalFormatting sqref="Q143">
    <cfRule type="iconSet" priority="2029">
      <iconSet iconSet="3Symbols" showValue="0" reverse="1">
        <cfvo type="percent" val="0"/>
        <cfvo type="num" val="1"/>
        <cfvo type="num" val="1.05"/>
      </iconSet>
    </cfRule>
  </conditionalFormatting>
  <conditionalFormatting sqref="N143">
    <cfRule type="cellIs" dxfId="1691" priority="2027" operator="lessThan">
      <formula>0</formula>
    </cfRule>
    <cfRule type="cellIs" dxfId="1690" priority="2028" operator="greaterThan">
      <formula>0</formula>
    </cfRule>
  </conditionalFormatting>
  <conditionalFormatting sqref="F143">
    <cfRule type="cellIs" dxfId="1689" priority="2025" operator="lessThan">
      <formula>0</formula>
    </cfRule>
    <cfRule type="cellIs" dxfId="1688" priority="2026" operator="greaterThan">
      <formula>0</formula>
    </cfRule>
  </conditionalFormatting>
  <conditionalFormatting sqref="U143">
    <cfRule type="iconSet" priority="2030">
      <iconSet iconSet="3Symbols" showValue="0" reverse="1">
        <cfvo type="percent" val="0"/>
        <cfvo type="num" val="1"/>
        <cfvo type="num" val="1.05"/>
      </iconSet>
    </cfRule>
  </conditionalFormatting>
  <conditionalFormatting sqref="P143">
    <cfRule type="iconSet" priority="2031">
      <iconSet iconSet="3Symbols" showValue="0" reverse="1">
        <cfvo type="percent" val="0"/>
        <cfvo type="num" val="1"/>
        <cfvo type="num" val="1.05"/>
      </iconSet>
    </cfRule>
  </conditionalFormatting>
  <conditionalFormatting sqref="Q142">
    <cfRule type="iconSet" priority="2022">
      <iconSet iconSet="3Symbols" showValue="0" reverse="1">
        <cfvo type="percent" val="0"/>
        <cfvo type="num" val="1"/>
        <cfvo type="num" val="1.05"/>
      </iconSet>
    </cfRule>
  </conditionalFormatting>
  <conditionalFormatting sqref="N142">
    <cfRule type="cellIs" dxfId="1687" priority="2020" operator="lessThan">
      <formula>0</formula>
    </cfRule>
    <cfRule type="cellIs" dxfId="1686" priority="2021" operator="greaterThan">
      <formula>0</formula>
    </cfRule>
  </conditionalFormatting>
  <conditionalFormatting sqref="F142">
    <cfRule type="cellIs" dxfId="1685" priority="2018" operator="lessThan">
      <formula>0</formula>
    </cfRule>
    <cfRule type="cellIs" dxfId="1684" priority="2019" operator="greaterThan">
      <formula>0</formula>
    </cfRule>
  </conditionalFormatting>
  <conditionalFormatting sqref="U142">
    <cfRule type="iconSet" priority="2023">
      <iconSet iconSet="3Symbols" showValue="0" reverse="1">
        <cfvo type="percent" val="0"/>
        <cfvo type="num" val="1"/>
        <cfvo type="num" val="1.05"/>
      </iconSet>
    </cfRule>
  </conditionalFormatting>
  <conditionalFormatting sqref="P142">
    <cfRule type="iconSet" priority="2024">
      <iconSet iconSet="3Symbols" showValue="0" reverse="1">
        <cfvo type="percent" val="0"/>
        <cfvo type="num" val="1"/>
        <cfvo type="num" val="1.05"/>
      </iconSet>
    </cfRule>
  </conditionalFormatting>
  <conditionalFormatting sqref="Q140:Q141">
    <cfRule type="iconSet" priority="2015">
      <iconSet iconSet="3Symbols" showValue="0" reverse="1">
        <cfvo type="percent" val="0"/>
        <cfvo type="num" val="1"/>
        <cfvo type="num" val="1.05"/>
      </iconSet>
    </cfRule>
  </conditionalFormatting>
  <conditionalFormatting sqref="N140:N141">
    <cfRule type="cellIs" dxfId="1683" priority="2013" operator="lessThan">
      <formula>0</formula>
    </cfRule>
    <cfRule type="cellIs" dxfId="1682" priority="2014" operator="greaterThan">
      <formula>0</formula>
    </cfRule>
  </conditionalFormatting>
  <conditionalFormatting sqref="F140:F141">
    <cfRule type="cellIs" dxfId="1681" priority="2011" operator="lessThan">
      <formula>0</formula>
    </cfRule>
    <cfRule type="cellIs" dxfId="1680" priority="2012" operator="greaterThan">
      <formula>0</formula>
    </cfRule>
  </conditionalFormatting>
  <conditionalFormatting sqref="U140:U141">
    <cfRule type="iconSet" priority="2016">
      <iconSet iconSet="3Symbols" showValue="0" reverse="1">
        <cfvo type="percent" val="0"/>
        <cfvo type="num" val="1"/>
        <cfvo type="num" val="1.05"/>
      </iconSet>
    </cfRule>
  </conditionalFormatting>
  <conditionalFormatting sqref="P140:P141">
    <cfRule type="iconSet" priority="2017">
      <iconSet iconSet="3Symbols" showValue="0" reverse="1">
        <cfvo type="percent" val="0"/>
        <cfvo type="num" val="1"/>
        <cfvo type="num" val="1.05"/>
      </iconSet>
    </cfRule>
  </conditionalFormatting>
  <conditionalFormatting sqref="Q139">
    <cfRule type="iconSet" priority="2008">
      <iconSet iconSet="3Symbols" showValue="0" reverse="1">
        <cfvo type="percent" val="0"/>
        <cfvo type="num" val="1"/>
        <cfvo type="num" val="1.05"/>
      </iconSet>
    </cfRule>
  </conditionalFormatting>
  <conditionalFormatting sqref="N139">
    <cfRule type="cellIs" dxfId="1679" priority="2006" operator="lessThan">
      <formula>0</formula>
    </cfRule>
    <cfRule type="cellIs" dxfId="1678" priority="2007" operator="greaterThan">
      <formula>0</formula>
    </cfRule>
  </conditionalFormatting>
  <conditionalFormatting sqref="F139">
    <cfRule type="cellIs" dxfId="1677" priority="2004" operator="lessThan">
      <formula>0</formula>
    </cfRule>
    <cfRule type="cellIs" dxfId="1676" priority="2005" operator="greaterThan">
      <formula>0</formula>
    </cfRule>
  </conditionalFormatting>
  <conditionalFormatting sqref="U139">
    <cfRule type="iconSet" priority="2009">
      <iconSet iconSet="3Symbols" showValue="0" reverse="1">
        <cfvo type="percent" val="0"/>
        <cfvo type="num" val="1"/>
        <cfvo type="num" val="1.05"/>
      </iconSet>
    </cfRule>
  </conditionalFormatting>
  <conditionalFormatting sqref="P139">
    <cfRule type="iconSet" priority="2010">
      <iconSet iconSet="3Symbols" showValue="0" reverse="1">
        <cfvo type="percent" val="0"/>
        <cfvo type="num" val="1"/>
        <cfvo type="num" val="1.05"/>
      </iconSet>
    </cfRule>
  </conditionalFormatting>
  <conditionalFormatting sqref="Q138">
    <cfRule type="iconSet" priority="2001">
      <iconSet iconSet="3Symbols" showValue="0" reverse="1">
        <cfvo type="percent" val="0"/>
        <cfvo type="num" val="1"/>
        <cfvo type="num" val="1.05"/>
      </iconSet>
    </cfRule>
  </conditionalFormatting>
  <conditionalFormatting sqref="N138">
    <cfRule type="cellIs" dxfId="1675" priority="1999" operator="lessThan">
      <formula>0</formula>
    </cfRule>
    <cfRule type="cellIs" dxfId="1674" priority="2000" operator="greaterThan">
      <formula>0</formula>
    </cfRule>
  </conditionalFormatting>
  <conditionalFormatting sqref="F138">
    <cfRule type="cellIs" dxfId="1673" priority="1997" operator="lessThan">
      <formula>0</formula>
    </cfRule>
    <cfRule type="cellIs" dxfId="1672" priority="1998" operator="greaterThan">
      <formula>0</formula>
    </cfRule>
  </conditionalFormatting>
  <conditionalFormatting sqref="U138">
    <cfRule type="iconSet" priority="2002">
      <iconSet iconSet="3Symbols" showValue="0" reverse="1">
        <cfvo type="percent" val="0"/>
        <cfvo type="num" val="1"/>
        <cfvo type="num" val="1.05"/>
      </iconSet>
    </cfRule>
  </conditionalFormatting>
  <conditionalFormatting sqref="P138">
    <cfRule type="iconSet" priority="2003">
      <iconSet iconSet="3Symbols" showValue="0" reverse="1">
        <cfvo type="percent" val="0"/>
        <cfvo type="num" val="1"/>
        <cfvo type="num" val="1.05"/>
      </iconSet>
    </cfRule>
  </conditionalFormatting>
  <conditionalFormatting sqref="Q137">
    <cfRule type="iconSet" priority="1994">
      <iconSet iconSet="3Symbols" showValue="0" reverse="1">
        <cfvo type="percent" val="0"/>
        <cfvo type="num" val="1"/>
        <cfvo type="num" val="1.05"/>
      </iconSet>
    </cfRule>
  </conditionalFormatting>
  <conditionalFormatting sqref="N137">
    <cfRule type="cellIs" dxfId="1671" priority="1992" operator="lessThan">
      <formula>0</formula>
    </cfRule>
    <cfRule type="cellIs" dxfId="1670" priority="1993" operator="greaterThan">
      <formula>0</formula>
    </cfRule>
  </conditionalFormatting>
  <conditionalFormatting sqref="F137">
    <cfRule type="cellIs" dxfId="1669" priority="1990" operator="lessThan">
      <formula>0</formula>
    </cfRule>
    <cfRule type="cellIs" dxfId="1668" priority="1991" operator="greaterThan">
      <formula>0</formula>
    </cfRule>
  </conditionalFormatting>
  <conditionalFormatting sqref="U137">
    <cfRule type="iconSet" priority="1995">
      <iconSet iconSet="3Symbols" showValue="0" reverse="1">
        <cfvo type="percent" val="0"/>
        <cfvo type="num" val="1"/>
        <cfvo type="num" val="1.05"/>
      </iconSet>
    </cfRule>
  </conditionalFormatting>
  <conditionalFormatting sqref="P137">
    <cfRule type="iconSet" priority="1996">
      <iconSet iconSet="3Symbols" showValue="0" reverse="1">
        <cfvo type="percent" val="0"/>
        <cfvo type="num" val="1"/>
        <cfvo type="num" val="1.05"/>
      </iconSet>
    </cfRule>
  </conditionalFormatting>
  <conditionalFormatting sqref="Q136">
    <cfRule type="iconSet" priority="1987">
      <iconSet iconSet="3Symbols" showValue="0" reverse="1">
        <cfvo type="percent" val="0"/>
        <cfvo type="num" val="1"/>
        <cfvo type="num" val="1.05"/>
      </iconSet>
    </cfRule>
  </conditionalFormatting>
  <conditionalFormatting sqref="N136">
    <cfRule type="cellIs" dxfId="1667" priority="1985" operator="lessThan">
      <formula>0</formula>
    </cfRule>
    <cfRule type="cellIs" dxfId="1666" priority="1986" operator="greaterThan">
      <formula>0</formula>
    </cfRule>
  </conditionalFormatting>
  <conditionalFormatting sqref="F136">
    <cfRule type="cellIs" dxfId="1665" priority="1983" operator="lessThan">
      <formula>0</formula>
    </cfRule>
    <cfRule type="cellIs" dxfId="1664" priority="1984" operator="greaterThan">
      <formula>0</formula>
    </cfRule>
  </conditionalFormatting>
  <conditionalFormatting sqref="U136">
    <cfRule type="iconSet" priority="1988">
      <iconSet iconSet="3Symbols" showValue="0" reverse="1">
        <cfvo type="percent" val="0"/>
        <cfvo type="num" val="1"/>
        <cfvo type="num" val="1.05"/>
      </iconSet>
    </cfRule>
  </conditionalFormatting>
  <conditionalFormatting sqref="P136">
    <cfRule type="iconSet" priority="1989">
      <iconSet iconSet="3Symbols" showValue="0" reverse="1">
        <cfvo type="percent" val="0"/>
        <cfvo type="num" val="1"/>
        <cfvo type="num" val="1.05"/>
      </iconSet>
    </cfRule>
  </conditionalFormatting>
  <conditionalFormatting sqref="Q135">
    <cfRule type="iconSet" priority="1980">
      <iconSet iconSet="3Symbols" showValue="0" reverse="1">
        <cfvo type="percent" val="0"/>
        <cfvo type="num" val="1"/>
        <cfvo type="num" val="1.05"/>
      </iconSet>
    </cfRule>
  </conditionalFormatting>
  <conditionalFormatting sqref="N135">
    <cfRule type="cellIs" dxfId="1663" priority="1978" operator="lessThan">
      <formula>0</formula>
    </cfRule>
    <cfRule type="cellIs" dxfId="1662" priority="1979" operator="greaterThan">
      <formula>0</formula>
    </cfRule>
  </conditionalFormatting>
  <conditionalFormatting sqref="F135">
    <cfRule type="cellIs" dxfId="1661" priority="1976" operator="lessThan">
      <formula>0</formula>
    </cfRule>
    <cfRule type="cellIs" dxfId="1660" priority="1977" operator="greaterThan">
      <formula>0</formula>
    </cfRule>
  </conditionalFormatting>
  <conditionalFormatting sqref="U135">
    <cfRule type="iconSet" priority="1981">
      <iconSet iconSet="3Symbols" showValue="0" reverse="1">
        <cfvo type="percent" val="0"/>
        <cfvo type="num" val="1"/>
        <cfvo type="num" val="1.05"/>
      </iconSet>
    </cfRule>
  </conditionalFormatting>
  <conditionalFormatting sqref="P135">
    <cfRule type="iconSet" priority="1982">
      <iconSet iconSet="3Symbols" showValue="0" reverse="1">
        <cfvo type="percent" val="0"/>
        <cfvo type="num" val="1"/>
        <cfvo type="num" val="1.05"/>
      </iconSet>
    </cfRule>
  </conditionalFormatting>
  <conditionalFormatting sqref="Q134">
    <cfRule type="iconSet" priority="1973">
      <iconSet iconSet="3Symbols" showValue="0" reverse="1">
        <cfvo type="percent" val="0"/>
        <cfvo type="num" val="1"/>
        <cfvo type="num" val="1.05"/>
      </iconSet>
    </cfRule>
  </conditionalFormatting>
  <conditionalFormatting sqref="N134">
    <cfRule type="cellIs" dxfId="1659" priority="1971" operator="lessThan">
      <formula>0</formula>
    </cfRule>
    <cfRule type="cellIs" dxfId="1658" priority="1972" operator="greaterThan">
      <formula>0</formula>
    </cfRule>
  </conditionalFormatting>
  <conditionalFormatting sqref="F134">
    <cfRule type="cellIs" dxfId="1657" priority="1969" operator="lessThan">
      <formula>0</formula>
    </cfRule>
    <cfRule type="cellIs" dxfId="1656" priority="1970" operator="greaterThan">
      <formula>0</formula>
    </cfRule>
  </conditionalFormatting>
  <conditionalFormatting sqref="U134">
    <cfRule type="iconSet" priority="1974">
      <iconSet iconSet="3Symbols" showValue="0" reverse="1">
        <cfvo type="percent" val="0"/>
        <cfvo type="num" val="1"/>
        <cfvo type="num" val="1.05"/>
      </iconSet>
    </cfRule>
  </conditionalFormatting>
  <conditionalFormatting sqref="P134">
    <cfRule type="iconSet" priority="1975">
      <iconSet iconSet="3Symbols" showValue="0" reverse="1">
        <cfvo type="percent" val="0"/>
        <cfvo type="num" val="1"/>
        <cfvo type="num" val="1.05"/>
      </iconSet>
    </cfRule>
  </conditionalFormatting>
  <conditionalFormatting sqref="Q133">
    <cfRule type="iconSet" priority="1966">
      <iconSet iconSet="3Symbols" showValue="0" reverse="1">
        <cfvo type="percent" val="0"/>
        <cfvo type="num" val="1"/>
        <cfvo type="num" val="1.05"/>
      </iconSet>
    </cfRule>
  </conditionalFormatting>
  <conditionalFormatting sqref="N133">
    <cfRule type="cellIs" dxfId="1655" priority="1964" operator="lessThan">
      <formula>0</formula>
    </cfRule>
    <cfRule type="cellIs" dxfId="1654" priority="1965" operator="greaterThan">
      <formula>0</formula>
    </cfRule>
  </conditionalFormatting>
  <conditionalFormatting sqref="F133">
    <cfRule type="cellIs" dxfId="1653" priority="1962" operator="lessThan">
      <formula>0</formula>
    </cfRule>
    <cfRule type="cellIs" dxfId="1652" priority="1963" operator="greaterThan">
      <formula>0</formula>
    </cfRule>
  </conditionalFormatting>
  <conditionalFormatting sqref="U133">
    <cfRule type="iconSet" priority="1967">
      <iconSet iconSet="3Symbols" showValue="0" reverse="1">
        <cfvo type="percent" val="0"/>
        <cfvo type="num" val="1"/>
        <cfvo type="num" val="1.05"/>
      </iconSet>
    </cfRule>
  </conditionalFormatting>
  <conditionalFormatting sqref="P133">
    <cfRule type="iconSet" priority="1968">
      <iconSet iconSet="3Symbols" showValue="0" reverse="1">
        <cfvo type="percent" val="0"/>
        <cfvo type="num" val="1"/>
        <cfvo type="num" val="1.05"/>
      </iconSet>
    </cfRule>
  </conditionalFormatting>
  <conditionalFormatting sqref="Q131:Q132">
    <cfRule type="iconSet" priority="1959">
      <iconSet iconSet="3Symbols" showValue="0" reverse="1">
        <cfvo type="percent" val="0"/>
        <cfvo type="num" val="1"/>
        <cfvo type="num" val="1.05"/>
      </iconSet>
    </cfRule>
  </conditionalFormatting>
  <conditionalFormatting sqref="N131:N132">
    <cfRule type="cellIs" dxfId="1651" priority="1957" operator="lessThan">
      <formula>0</formula>
    </cfRule>
    <cfRule type="cellIs" dxfId="1650" priority="1958" operator="greaterThan">
      <formula>0</formula>
    </cfRule>
  </conditionalFormatting>
  <conditionalFormatting sqref="F131:F132">
    <cfRule type="cellIs" dxfId="1649" priority="1955" operator="lessThan">
      <formula>0</formula>
    </cfRule>
    <cfRule type="cellIs" dxfId="1648" priority="1956" operator="greaterThan">
      <formula>0</formula>
    </cfRule>
  </conditionalFormatting>
  <conditionalFormatting sqref="U131:U132">
    <cfRule type="iconSet" priority="1960">
      <iconSet iconSet="3Symbols" showValue="0" reverse="1">
        <cfvo type="percent" val="0"/>
        <cfvo type="num" val="1"/>
        <cfvo type="num" val="1.05"/>
      </iconSet>
    </cfRule>
  </conditionalFormatting>
  <conditionalFormatting sqref="P131:P132">
    <cfRule type="iconSet" priority="1961">
      <iconSet iconSet="3Symbols" showValue="0" reverse="1">
        <cfvo type="percent" val="0"/>
        <cfvo type="num" val="1"/>
        <cfvo type="num" val="1.05"/>
      </iconSet>
    </cfRule>
  </conditionalFormatting>
  <conditionalFormatting sqref="Q130">
    <cfRule type="iconSet" priority="1952">
      <iconSet iconSet="3Symbols" showValue="0" reverse="1">
        <cfvo type="percent" val="0"/>
        <cfvo type="num" val="1"/>
        <cfvo type="num" val="1.05"/>
      </iconSet>
    </cfRule>
  </conditionalFormatting>
  <conditionalFormatting sqref="N130">
    <cfRule type="cellIs" dxfId="1647" priority="1950" operator="lessThan">
      <formula>0</formula>
    </cfRule>
    <cfRule type="cellIs" dxfId="1646" priority="1951" operator="greaterThan">
      <formula>0</formula>
    </cfRule>
  </conditionalFormatting>
  <conditionalFormatting sqref="F130">
    <cfRule type="cellIs" dxfId="1645" priority="1948" operator="lessThan">
      <formula>0</formula>
    </cfRule>
    <cfRule type="cellIs" dxfId="1644" priority="1949" operator="greaterThan">
      <formula>0</formula>
    </cfRule>
  </conditionalFormatting>
  <conditionalFormatting sqref="U130">
    <cfRule type="iconSet" priority="1953">
      <iconSet iconSet="3Symbols" showValue="0" reverse="1">
        <cfvo type="percent" val="0"/>
        <cfvo type="num" val="1"/>
        <cfvo type="num" val="1.05"/>
      </iconSet>
    </cfRule>
  </conditionalFormatting>
  <conditionalFormatting sqref="P130">
    <cfRule type="iconSet" priority="1954">
      <iconSet iconSet="3Symbols" showValue="0" reverse="1">
        <cfvo type="percent" val="0"/>
        <cfvo type="num" val="1"/>
        <cfvo type="num" val="1.05"/>
      </iconSet>
    </cfRule>
  </conditionalFormatting>
  <conditionalFormatting sqref="Q129">
    <cfRule type="iconSet" priority="1945">
      <iconSet iconSet="3Symbols" showValue="0" reverse="1">
        <cfvo type="percent" val="0"/>
        <cfvo type="num" val="1"/>
        <cfvo type="num" val="1.05"/>
      </iconSet>
    </cfRule>
  </conditionalFormatting>
  <conditionalFormatting sqref="N129">
    <cfRule type="cellIs" dxfId="1643" priority="1943" operator="lessThan">
      <formula>0</formula>
    </cfRule>
    <cfRule type="cellIs" dxfId="1642" priority="1944" operator="greaterThan">
      <formula>0</formula>
    </cfRule>
  </conditionalFormatting>
  <conditionalFormatting sqref="F129">
    <cfRule type="cellIs" dxfId="1641" priority="1941" operator="lessThan">
      <formula>0</formula>
    </cfRule>
    <cfRule type="cellIs" dxfId="1640" priority="1942" operator="greaterThan">
      <formula>0</formula>
    </cfRule>
  </conditionalFormatting>
  <conditionalFormatting sqref="U129">
    <cfRule type="iconSet" priority="1946">
      <iconSet iconSet="3Symbols" showValue="0" reverse="1">
        <cfvo type="percent" val="0"/>
        <cfvo type="num" val="1"/>
        <cfvo type="num" val="1.05"/>
      </iconSet>
    </cfRule>
  </conditionalFormatting>
  <conditionalFormatting sqref="P129">
    <cfRule type="iconSet" priority="1947">
      <iconSet iconSet="3Symbols" showValue="0" reverse="1">
        <cfvo type="percent" val="0"/>
        <cfvo type="num" val="1"/>
        <cfvo type="num" val="1.05"/>
      </iconSet>
    </cfRule>
  </conditionalFormatting>
  <conditionalFormatting sqref="Q128">
    <cfRule type="iconSet" priority="1938">
      <iconSet iconSet="3Symbols" showValue="0" reverse="1">
        <cfvo type="percent" val="0"/>
        <cfvo type="num" val="1"/>
        <cfvo type="num" val="1.05"/>
      </iconSet>
    </cfRule>
  </conditionalFormatting>
  <conditionalFormatting sqref="N128">
    <cfRule type="cellIs" dxfId="1639" priority="1936" operator="lessThan">
      <formula>0</formula>
    </cfRule>
    <cfRule type="cellIs" dxfId="1638" priority="1937" operator="greaterThan">
      <formula>0</formula>
    </cfRule>
  </conditionalFormatting>
  <conditionalFormatting sqref="F128">
    <cfRule type="cellIs" dxfId="1637" priority="1934" operator="lessThan">
      <formula>0</formula>
    </cfRule>
    <cfRule type="cellIs" dxfId="1636" priority="1935" operator="greaterThan">
      <formula>0</formula>
    </cfRule>
  </conditionalFormatting>
  <conditionalFormatting sqref="U128">
    <cfRule type="iconSet" priority="1939">
      <iconSet iconSet="3Symbols" showValue="0" reverse="1">
        <cfvo type="percent" val="0"/>
        <cfvo type="num" val="1"/>
        <cfvo type="num" val="1.05"/>
      </iconSet>
    </cfRule>
  </conditionalFormatting>
  <conditionalFormatting sqref="P128">
    <cfRule type="iconSet" priority="1940">
      <iconSet iconSet="3Symbols" showValue="0" reverse="1">
        <cfvo type="percent" val="0"/>
        <cfvo type="num" val="1"/>
        <cfvo type="num" val="1.05"/>
      </iconSet>
    </cfRule>
  </conditionalFormatting>
  <conditionalFormatting sqref="Q127">
    <cfRule type="iconSet" priority="1931">
      <iconSet iconSet="3Symbols" showValue="0" reverse="1">
        <cfvo type="percent" val="0"/>
        <cfvo type="num" val="1"/>
        <cfvo type="num" val="1.05"/>
      </iconSet>
    </cfRule>
  </conditionalFormatting>
  <conditionalFormatting sqref="N127">
    <cfRule type="cellIs" dxfId="1635" priority="1929" operator="lessThan">
      <formula>0</formula>
    </cfRule>
    <cfRule type="cellIs" dxfId="1634" priority="1930" operator="greaterThan">
      <formula>0</formula>
    </cfRule>
  </conditionalFormatting>
  <conditionalFormatting sqref="F127">
    <cfRule type="cellIs" dxfId="1633" priority="1927" operator="lessThan">
      <formula>0</formula>
    </cfRule>
    <cfRule type="cellIs" dxfId="1632" priority="1928" operator="greaterThan">
      <formula>0</formula>
    </cfRule>
  </conditionalFormatting>
  <conditionalFormatting sqref="U127">
    <cfRule type="iconSet" priority="1932">
      <iconSet iconSet="3Symbols" showValue="0" reverse="1">
        <cfvo type="percent" val="0"/>
        <cfvo type="num" val="1"/>
        <cfvo type="num" val="1.05"/>
      </iconSet>
    </cfRule>
  </conditionalFormatting>
  <conditionalFormatting sqref="P127">
    <cfRule type="iconSet" priority="1933">
      <iconSet iconSet="3Symbols" showValue="0" reverse="1">
        <cfvo type="percent" val="0"/>
        <cfvo type="num" val="1"/>
        <cfvo type="num" val="1.05"/>
      </iconSet>
    </cfRule>
  </conditionalFormatting>
  <conditionalFormatting sqref="Q126">
    <cfRule type="iconSet" priority="1924">
      <iconSet iconSet="3Symbols" showValue="0" reverse="1">
        <cfvo type="percent" val="0"/>
        <cfvo type="num" val="1"/>
        <cfvo type="num" val="1.05"/>
      </iconSet>
    </cfRule>
  </conditionalFormatting>
  <conditionalFormatting sqref="N126">
    <cfRule type="cellIs" dxfId="1631" priority="1922" operator="lessThan">
      <formula>0</formula>
    </cfRule>
    <cfRule type="cellIs" dxfId="1630" priority="1923" operator="greaterThan">
      <formula>0</formula>
    </cfRule>
  </conditionalFormatting>
  <conditionalFormatting sqref="F126">
    <cfRule type="cellIs" dxfId="1629" priority="1920" operator="lessThan">
      <formula>0</formula>
    </cfRule>
    <cfRule type="cellIs" dxfId="1628" priority="1921" operator="greaterThan">
      <formula>0</formula>
    </cfRule>
  </conditionalFormatting>
  <conditionalFormatting sqref="U126">
    <cfRule type="iconSet" priority="1925">
      <iconSet iconSet="3Symbols" showValue="0" reverse="1">
        <cfvo type="percent" val="0"/>
        <cfvo type="num" val="1"/>
        <cfvo type="num" val="1.05"/>
      </iconSet>
    </cfRule>
  </conditionalFormatting>
  <conditionalFormatting sqref="P126">
    <cfRule type="iconSet" priority="1926">
      <iconSet iconSet="3Symbols" showValue="0" reverse="1">
        <cfvo type="percent" val="0"/>
        <cfvo type="num" val="1"/>
        <cfvo type="num" val="1.05"/>
      </iconSet>
    </cfRule>
  </conditionalFormatting>
  <conditionalFormatting sqref="Q125">
    <cfRule type="iconSet" priority="1917">
      <iconSet iconSet="3Symbols" showValue="0" reverse="1">
        <cfvo type="percent" val="0"/>
        <cfvo type="num" val="1"/>
        <cfvo type="num" val="1.05"/>
      </iconSet>
    </cfRule>
  </conditionalFormatting>
  <conditionalFormatting sqref="N125">
    <cfRule type="cellIs" dxfId="1627" priority="1915" operator="lessThan">
      <formula>0</formula>
    </cfRule>
    <cfRule type="cellIs" dxfId="1626" priority="1916" operator="greaterThan">
      <formula>0</formula>
    </cfRule>
  </conditionalFormatting>
  <conditionalFormatting sqref="F125">
    <cfRule type="cellIs" dxfId="1625" priority="1913" operator="lessThan">
      <formula>0</formula>
    </cfRule>
    <cfRule type="cellIs" dxfId="1624" priority="1914" operator="greaterThan">
      <formula>0</formula>
    </cfRule>
  </conditionalFormatting>
  <conditionalFormatting sqref="U125">
    <cfRule type="iconSet" priority="1918">
      <iconSet iconSet="3Symbols" showValue="0" reverse="1">
        <cfvo type="percent" val="0"/>
        <cfvo type="num" val="1"/>
        <cfvo type="num" val="1.05"/>
      </iconSet>
    </cfRule>
  </conditionalFormatting>
  <conditionalFormatting sqref="P125">
    <cfRule type="iconSet" priority="1919">
      <iconSet iconSet="3Symbols" showValue="0" reverse="1">
        <cfvo type="percent" val="0"/>
        <cfvo type="num" val="1"/>
        <cfvo type="num" val="1.05"/>
      </iconSet>
    </cfRule>
  </conditionalFormatting>
  <conditionalFormatting sqref="Q124">
    <cfRule type="iconSet" priority="1910">
      <iconSet iconSet="3Symbols" showValue="0" reverse="1">
        <cfvo type="percent" val="0"/>
        <cfvo type="num" val="1"/>
        <cfvo type="num" val="1.05"/>
      </iconSet>
    </cfRule>
  </conditionalFormatting>
  <conditionalFormatting sqref="N124">
    <cfRule type="cellIs" dxfId="1623" priority="1908" operator="lessThan">
      <formula>0</formula>
    </cfRule>
    <cfRule type="cellIs" dxfId="1622" priority="1909" operator="greaterThan">
      <formula>0</formula>
    </cfRule>
  </conditionalFormatting>
  <conditionalFormatting sqref="F124">
    <cfRule type="cellIs" dxfId="1621" priority="1906" operator="lessThan">
      <formula>0</formula>
    </cfRule>
    <cfRule type="cellIs" dxfId="1620" priority="1907" operator="greaterThan">
      <formula>0</formula>
    </cfRule>
  </conditionalFormatting>
  <conditionalFormatting sqref="U124">
    <cfRule type="iconSet" priority="1911">
      <iconSet iconSet="3Symbols" showValue="0" reverse="1">
        <cfvo type="percent" val="0"/>
        <cfvo type="num" val="1"/>
        <cfvo type="num" val="1.05"/>
      </iconSet>
    </cfRule>
  </conditionalFormatting>
  <conditionalFormatting sqref="P124">
    <cfRule type="iconSet" priority="1912">
      <iconSet iconSet="3Symbols" showValue="0" reverse="1">
        <cfvo type="percent" val="0"/>
        <cfvo type="num" val="1"/>
        <cfvo type="num" val="1.05"/>
      </iconSet>
    </cfRule>
  </conditionalFormatting>
  <conditionalFormatting sqref="Q122:Q123">
    <cfRule type="iconSet" priority="1903">
      <iconSet iconSet="3Symbols" showValue="0" reverse="1">
        <cfvo type="percent" val="0"/>
        <cfvo type="num" val="1"/>
        <cfvo type="num" val="1.05"/>
      </iconSet>
    </cfRule>
  </conditionalFormatting>
  <conditionalFormatting sqref="N122:N123">
    <cfRule type="cellIs" dxfId="1619" priority="1901" operator="lessThan">
      <formula>0</formula>
    </cfRule>
    <cfRule type="cellIs" dxfId="1618" priority="1902" operator="greaterThan">
      <formula>0</formula>
    </cfRule>
  </conditionalFormatting>
  <conditionalFormatting sqref="F122:F123">
    <cfRule type="cellIs" dxfId="1617" priority="1899" operator="lessThan">
      <formula>0</formula>
    </cfRule>
    <cfRule type="cellIs" dxfId="1616" priority="1900" operator="greaterThan">
      <formula>0</formula>
    </cfRule>
  </conditionalFormatting>
  <conditionalFormatting sqref="U122:U123">
    <cfRule type="iconSet" priority="1904">
      <iconSet iconSet="3Symbols" showValue="0" reverse="1">
        <cfvo type="percent" val="0"/>
        <cfvo type="num" val="1"/>
        <cfvo type="num" val="1.05"/>
      </iconSet>
    </cfRule>
  </conditionalFormatting>
  <conditionalFormatting sqref="P122:P123">
    <cfRule type="iconSet" priority="1905">
      <iconSet iconSet="3Symbols" showValue="0" reverse="1">
        <cfvo type="percent" val="0"/>
        <cfvo type="num" val="1"/>
        <cfvo type="num" val="1.05"/>
      </iconSet>
    </cfRule>
  </conditionalFormatting>
  <conditionalFormatting sqref="Q121">
    <cfRule type="iconSet" priority="1896">
      <iconSet iconSet="3Symbols" showValue="0" reverse="1">
        <cfvo type="percent" val="0"/>
        <cfvo type="num" val="1"/>
        <cfvo type="num" val="1.05"/>
      </iconSet>
    </cfRule>
  </conditionalFormatting>
  <conditionalFormatting sqref="N121">
    <cfRule type="cellIs" dxfId="1615" priority="1894" operator="lessThan">
      <formula>0</formula>
    </cfRule>
    <cfRule type="cellIs" dxfId="1614" priority="1895" operator="greaterThan">
      <formula>0</formula>
    </cfRule>
  </conditionalFormatting>
  <conditionalFormatting sqref="F121">
    <cfRule type="cellIs" dxfId="1613" priority="1892" operator="lessThan">
      <formula>0</formula>
    </cfRule>
    <cfRule type="cellIs" dxfId="1612" priority="1893" operator="greaterThan">
      <formula>0</formula>
    </cfRule>
  </conditionalFormatting>
  <conditionalFormatting sqref="U121">
    <cfRule type="iconSet" priority="1897">
      <iconSet iconSet="3Symbols" showValue="0" reverse="1">
        <cfvo type="percent" val="0"/>
        <cfvo type="num" val="1"/>
        <cfvo type="num" val="1.05"/>
      </iconSet>
    </cfRule>
  </conditionalFormatting>
  <conditionalFormatting sqref="P121">
    <cfRule type="iconSet" priority="1898">
      <iconSet iconSet="3Symbols" showValue="0" reverse="1">
        <cfvo type="percent" val="0"/>
        <cfvo type="num" val="1"/>
        <cfvo type="num" val="1.05"/>
      </iconSet>
    </cfRule>
  </conditionalFormatting>
  <conditionalFormatting sqref="Q120">
    <cfRule type="iconSet" priority="1889">
      <iconSet iconSet="3Symbols" showValue="0" reverse="1">
        <cfvo type="percent" val="0"/>
        <cfvo type="num" val="1"/>
        <cfvo type="num" val="1.05"/>
      </iconSet>
    </cfRule>
  </conditionalFormatting>
  <conditionalFormatting sqref="N120">
    <cfRule type="cellIs" dxfId="1611" priority="1887" operator="lessThan">
      <formula>0</formula>
    </cfRule>
    <cfRule type="cellIs" dxfId="1610" priority="1888" operator="greaterThan">
      <formula>0</formula>
    </cfRule>
  </conditionalFormatting>
  <conditionalFormatting sqref="F120">
    <cfRule type="cellIs" dxfId="1609" priority="1885" operator="lessThan">
      <formula>0</formula>
    </cfRule>
    <cfRule type="cellIs" dxfId="1608" priority="1886" operator="greaterThan">
      <formula>0</formula>
    </cfRule>
  </conditionalFormatting>
  <conditionalFormatting sqref="U120">
    <cfRule type="iconSet" priority="1890">
      <iconSet iconSet="3Symbols" showValue="0" reverse="1">
        <cfvo type="percent" val="0"/>
        <cfvo type="num" val="1"/>
        <cfvo type="num" val="1.05"/>
      </iconSet>
    </cfRule>
  </conditionalFormatting>
  <conditionalFormatting sqref="P120">
    <cfRule type="iconSet" priority="1891">
      <iconSet iconSet="3Symbols" showValue="0" reverse="1">
        <cfvo type="percent" val="0"/>
        <cfvo type="num" val="1"/>
        <cfvo type="num" val="1.05"/>
      </iconSet>
    </cfRule>
  </conditionalFormatting>
  <conditionalFormatting sqref="Q119">
    <cfRule type="iconSet" priority="1882">
      <iconSet iconSet="3Symbols" showValue="0" reverse="1">
        <cfvo type="percent" val="0"/>
        <cfvo type="num" val="1"/>
        <cfvo type="num" val="1.05"/>
      </iconSet>
    </cfRule>
  </conditionalFormatting>
  <conditionalFormatting sqref="N119">
    <cfRule type="cellIs" dxfId="1607" priority="1880" operator="lessThan">
      <formula>0</formula>
    </cfRule>
    <cfRule type="cellIs" dxfId="1606" priority="1881" operator="greaterThan">
      <formula>0</formula>
    </cfRule>
  </conditionalFormatting>
  <conditionalFormatting sqref="F119">
    <cfRule type="cellIs" dxfId="1605" priority="1878" operator="lessThan">
      <formula>0</formula>
    </cfRule>
    <cfRule type="cellIs" dxfId="1604" priority="1879" operator="greaterThan">
      <formula>0</formula>
    </cfRule>
  </conditionalFormatting>
  <conditionalFormatting sqref="U119">
    <cfRule type="iconSet" priority="1883">
      <iconSet iconSet="3Symbols" showValue="0" reverse="1">
        <cfvo type="percent" val="0"/>
        <cfvo type="num" val="1"/>
        <cfvo type="num" val="1.05"/>
      </iconSet>
    </cfRule>
  </conditionalFormatting>
  <conditionalFormatting sqref="P119">
    <cfRule type="iconSet" priority="1884">
      <iconSet iconSet="3Symbols" showValue="0" reverse="1">
        <cfvo type="percent" val="0"/>
        <cfvo type="num" val="1"/>
        <cfvo type="num" val="1.05"/>
      </iconSet>
    </cfRule>
  </conditionalFormatting>
  <conditionalFormatting sqref="Q118">
    <cfRule type="iconSet" priority="1875">
      <iconSet iconSet="3Symbols" showValue="0" reverse="1">
        <cfvo type="percent" val="0"/>
        <cfvo type="num" val="1"/>
        <cfvo type="num" val="1.05"/>
      </iconSet>
    </cfRule>
  </conditionalFormatting>
  <conditionalFormatting sqref="N118">
    <cfRule type="cellIs" dxfId="1603" priority="1873" operator="lessThan">
      <formula>0</formula>
    </cfRule>
    <cfRule type="cellIs" dxfId="1602" priority="1874" operator="greaterThan">
      <formula>0</formula>
    </cfRule>
  </conditionalFormatting>
  <conditionalFormatting sqref="F118">
    <cfRule type="cellIs" dxfId="1601" priority="1871" operator="lessThan">
      <formula>0</formula>
    </cfRule>
    <cfRule type="cellIs" dxfId="1600" priority="1872" operator="greaterThan">
      <formula>0</formula>
    </cfRule>
  </conditionalFormatting>
  <conditionalFormatting sqref="U118">
    <cfRule type="iconSet" priority="1876">
      <iconSet iconSet="3Symbols" showValue="0" reverse="1">
        <cfvo type="percent" val="0"/>
        <cfvo type="num" val="1"/>
        <cfvo type="num" val="1.05"/>
      </iconSet>
    </cfRule>
  </conditionalFormatting>
  <conditionalFormatting sqref="P118">
    <cfRule type="iconSet" priority="1877">
      <iconSet iconSet="3Symbols" showValue="0" reverse="1">
        <cfvo type="percent" val="0"/>
        <cfvo type="num" val="1"/>
        <cfvo type="num" val="1.05"/>
      </iconSet>
    </cfRule>
  </conditionalFormatting>
  <conditionalFormatting sqref="Q117">
    <cfRule type="iconSet" priority="1868">
      <iconSet iconSet="3Symbols" showValue="0" reverse="1">
        <cfvo type="percent" val="0"/>
        <cfvo type="num" val="1"/>
        <cfvo type="num" val="1.05"/>
      </iconSet>
    </cfRule>
  </conditionalFormatting>
  <conditionalFormatting sqref="N117">
    <cfRule type="cellIs" dxfId="1599" priority="1866" operator="lessThan">
      <formula>0</formula>
    </cfRule>
    <cfRule type="cellIs" dxfId="1598" priority="1867" operator="greaterThan">
      <formula>0</formula>
    </cfRule>
  </conditionalFormatting>
  <conditionalFormatting sqref="F117">
    <cfRule type="cellIs" dxfId="1597" priority="1864" operator="lessThan">
      <formula>0</formula>
    </cfRule>
    <cfRule type="cellIs" dxfId="1596" priority="1865" operator="greaterThan">
      <formula>0</formula>
    </cfRule>
  </conditionalFormatting>
  <conditionalFormatting sqref="U117">
    <cfRule type="iconSet" priority="1869">
      <iconSet iconSet="3Symbols" showValue="0" reverse="1">
        <cfvo type="percent" val="0"/>
        <cfvo type="num" val="1"/>
        <cfvo type="num" val="1.05"/>
      </iconSet>
    </cfRule>
  </conditionalFormatting>
  <conditionalFormatting sqref="P117">
    <cfRule type="iconSet" priority="1870">
      <iconSet iconSet="3Symbols" showValue="0" reverse="1">
        <cfvo type="percent" val="0"/>
        <cfvo type="num" val="1"/>
        <cfvo type="num" val="1.05"/>
      </iconSet>
    </cfRule>
  </conditionalFormatting>
  <conditionalFormatting sqref="Q116">
    <cfRule type="iconSet" priority="1861">
      <iconSet iconSet="3Symbols" showValue="0" reverse="1">
        <cfvo type="percent" val="0"/>
        <cfvo type="num" val="1"/>
        <cfvo type="num" val="1.05"/>
      </iconSet>
    </cfRule>
  </conditionalFormatting>
  <conditionalFormatting sqref="N116">
    <cfRule type="cellIs" dxfId="1595" priority="1859" operator="lessThan">
      <formula>0</formula>
    </cfRule>
    <cfRule type="cellIs" dxfId="1594" priority="1860" operator="greaterThan">
      <formula>0</formula>
    </cfRule>
  </conditionalFormatting>
  <conditionalFormatting sqref="F116">
    <cfRule type="cellIs" dxfId="1593" priority="1857" operator="lessThan">
      <formula>0</formula>
    </cfRule>
    <cfRule type="cellIs" dxfId="1592" priority="1858" operator="greaterThan">
      <formula>0</formula>
    </cfRule>
  </conditionalFormatting>
  <conditionalFormatting sqref="U116">
    <cfRule type="iconSet" priority="1862">
      <iconSet iconSet="3Symbols" showValue="0" reverse="1">
        <cfvo type="percent" val="0"/>
        <cfvo type="num" val="1"/>
        <cfvo type="num" val="1.05"/>
      </iconSet>
    </cfRule>
  </conditionalFormatting>
  <conditionalFormatting sqref="P116">
    <cfRule type="iconSet" priority="1863">
      <iconSet iconSet="3Symbols" showValue="0" reverse="1">
        <cfvo type="percent" val="0"/>
        <cfvo type="num" val="1"/>
        <cfvo type="num" val="1.05"/>
      </iconSet>
    </cfRule>
  </conditionalFormatting>
  <conditionalFormatting sqref="Q115">
    <cfRule type="iconSet" priority="1854">
      <iconSet iconSet="3Symbols" showValue="0" reverse="1">
        <cfvo type="percent" val="0"/>
        <cfvo type="num" val="1"/>
        <cfvo type="num" val="1.05"/>
      </iconSet>
    </cfRule>
  </conditionalFormatting>
  <conditionalFormatting sqref="N115">
    <cfRule type="cellIs" dxfId="1591" priority="1852" operator="lessThan">
      <formula>0</formula>
    </cfRule>
    <cfRule type="cellIs" dxfId="1590" priority="1853" operator="greaterThan">
      <formula>0</formula>
    </cfRule>
  </conditionalFormatting>
  <conditionalFormatting sqref="F115">
    <cfRule type="cellIs" dxfId="1589" priority="1850" operator="lessThan">
      <formula>0</formula>
    </cfRule>
    <cfRule type="cellIs" dxfId="1588" priority="1851" operator="greaterThan">
      <formula>0</formula>
    </cfRule>
  </conditionalFormatting>
  <conditionalFormatting sqref="U115">
    <cfRule type="iconSet" priority="1855">
      <iconSet iconSet="3Symbols" showValue="0" reverse="1">
        <cfvo type="percent" val="0"/>
        <cfvo type="num" val="1"/>
        <cfvo type="num" val="1.05"/>
      </iconSet>
    </cfRule>
  </conditionalFormatting>
  <conditionalFormatting sqref="P115">
    <cfRule type="iconSet" priority="1856">
      <iconSet iconSet="3Symbols" showValue="0" reverse="1">
        <cfvo type="percent" val="0"/>
        <cfvo type="num" val="1"/>
        <cfvo type="num" val="1.05"/>
      </iconSet>
    </cfRule>
  </conditionalFormatting>
  <conditionalFormatting sqref="Q113:Q114">
    <cfRule type="iconSet" priority="1847">
      <iconSet iconSet="3Symbols" showValue="0" reverse="1">
        <cfvo type="percent" val="0"/>
        <cfvo type="num" val="1"/>
        <cfvo type="num" val="1.05"/>
      </iconSet>
    </cfRule>
  </conditionalFormatting>
  <conditionalFormatting sqref="N113:N114">
    <cfRule type="cellIs" dxfId="1587" priority="1845" operator="lessThan">
      <formula>0</formula>
    </cfRule>
    <cfRule type="cellIs" dxfId="1586" priority="1846" operator="greaterThan">
      <formula>0</formula>
    </cfRule>
  </conditionalFormatting>
  <conditionalFormatting sqref="F113:F114">
    <cfRule type="cellIs" dxfId="1585" priority="1843" operator="lessThan">
      <formula>0</formula>
    </cfRule>
    <cfRule type="cellIs" dxfId="1584" priority="1844" operator="greaterThan">
      <formula>0</formula>
    </cfRule>
  </conditionalFormatting>
  <conditionalFormatting sqref="U113:U114">
    <cfRule type="iconSet" priority="1848">
      <iconSet iconSet="3Symbols" showValue="0" reverse="1">
        <cfvo type="percent" val="0"/>
        <cfvo type="num" val="1"/>
        <cfvo type="num" val="1.05"/>
      </iconSet>
    </cfRule>
  </conditionalFormatting>
  <conditionalFormatting sqref="P113:P114">
    <cfRule type="iconSet" priority="1849">
      <iconSet iconSet="3Symbols" showValue="0" reverse="1">
        <cfvo type="percent" val="0"/>
        <cfvo type="num" val="1"/>
        <cfvo type="num" val="1.05"/>
      </iconSet>
    </cfRule>
  </conditionalFormatting>
  <conditionalFormatting sqref="Q112">
    <cfRule type="iconSet" priority="1840">
      <iconSet iconSet="3Symbols" showValue="0" reverse="1">
        <cfvo type="percent" val="0"/>
        <cfvo type="num" val="1"/>
        <cfvo type="num" val="1.05"/>
      </iconSet>
    </cfRule>
  </conditionalFormatting>
  <conditionalFormatting sqref="N112">
    <cfRule type="cellIs" dxfId="1583" priority="1838" operator="lessThan">
      <formula>0</formula>
    </cfRule>
    <cfRule type="cellIs" dxfId="1582" priority="1839" operator="greaterThan">
      <formula>0</formula>
    </cfRule>
  </conditionalFormatting>
  <conditionalFormatting sqref="F112">
    <cfRule type="cellIs" dxfId="1581" priority="1836" operator="lessThan">
      <formula>0</formula>
    </cfRule>
    <cfRule type="cellIs" dxfId="1580" priority="1837" operator="greaterThan">
      <formula>0</formula>
    </cfRule>
  </conditionalFormatting>
  <conditionalFormatting sqref="U112">
    <cfRule type="iconSet" priority="1841">
      <iconSet iconSet="3Symbols" showValue="0" reverse="1">
        <cfvo type="percent" val="0"/>
        <cfvo type="num" val="1"/>
        <cfvo type="num" val="1.05"/>
      </iconSet>
    </cfRule>
  </conditionalFormatting>
  <conditionalFormatting sqref="P112">
    <cfRule type="iconSet" priority="1842">
      <iconSet iconSet="3Symbols" showValue="0" reverse="1">
        <cfvo type="percent" val="0"/>
        <cfvo type="num" val="1"/>
        <cfvo type="num" val="1.05"/>
      </iconSet>
    </cfRule>
  </conditionalFormatting>
  <conditionalFormatting sqref="Q111">
    <cfRule type="iconSet" priority="1833">
      <iconSet iconSet="3Symbols" showValue="0" reverse="1">
        <cfvo type="percent" val="0"/>
        <cfvo type="num" val="1"/>
        <cfvo type="num" val="1.05"/>
      </iconSet>
    </cfRule>
  </conditionalFormatting>
  <conditionalFormatting sqref="N111">
    <cfRule type="cellIs" dxfId="1579" priority="1831" operator="lessThan">
      <formula>0</formula>
    </cfRule>
    <cfRule type="cellIs" dxfId="1578" priority="1832" operator="greaterThan">
      <formula>0</formula>
    </cfRule>
  </conditionalFormatting>
  <conditionalFormatting sqref="F111">
    <cfRule type="cellIs" dxfId="1577" priority="1829" operator="lessThan">
      <formula>0</formula>
    </cfRule>
    <cfRule type="cellIs" dxfId="1576" priority="1830" operator="greaterThan">
      <formula>0</formula>
    </cfRule>
  </conditionalFormatting>
  <conditionalFormatting sqref="U111">
    <cfRule type="iconSet" priority="1834">
      <iconSet iconSet="3Symbols" showValue="0" reverse="1">
        <cfvo type="percent" val="0"/>
        <cfvo type="num" val="1"/>
        <cfvo type="num" val="1.05"/>
      </iconSet>
    </cfRule>
  </conditionalFormatting>
  <conditionalFormatting sqref="P111">
    <cfRule type="iconSet" priority="1835">
      <iconSet iconSet="3Symbols" showValue="0" reverse="1">
        <cfvo type="percent" val="0"/>
        <cfvo type="num" val="1"/>
        <cfvo type="num" val="1.05"/>
      </iconSet>
    </cfRule>
  </conditionalFormatting>
  <conditionalFormatting sqref="Q110">
    <cfRule type="iconSet" priority="1826">
      <iconSet iconSet="3Symbols" showValue="0" reverse="1">
        <cfvo type="percent" val="0"/>
        <cfvo type="num" val="1"/>
        <cfvo type="num" val="1.05"/>
      </iconSet>
    </cfRule>
  </conditionalFormatting>
  <conditionalFormatting sqref="N110">
    <cfRule type="cellIs" dxfId="1575" priority="1824" operator="lessThan">
      <formula>0</formula>
    </cfRule>
    <cfRule type="cellIs" dxfId="1574" priority="1825" operator="greaterThan">
      <formula>0</formula>
    </cfRule>
  </conditionalFormatting>
  <conditionalFormatting sqref="F110">
    <cfRule type="cellIs" dxfId="1573" priority="1822" operator="lessThan">
      <formula>0</formula>
    </cfRule>
    <cfRule type="cellIs" dxfId="1572" priority="1823" operator="greaterThan">
      <formula>0</formula>
    </cfRule>
  </conditionalFormatting>
  <conditionalFormatting sqref="U110">
    <cfRule type="iconSet" priority="1827">
      <iconSet iconSet="3Symbols" showValue="0" reverse="1">
        <cfvo type="percent" val="0"/>
        <cfvo type="num" val="1"/>
        <cfvo type="num" val="1.05"/>
      </iconSet>
    </cfRule>
  </conditionalFormatting>
  <conditionalFormatting sqref="P110">
    <cfRule type="iconSet" priority="1828">
      <iconSet iconSet="3Symbols" showValue="0" reverse="1">
        <cfvo type="percent" val="0"/>
        <cfvo type="num" val="1"/>
        <cfvo type="num" val="1.05"/>
      </iconSet>
    </cfRule>
  </conditionalFormatting>
  <conditionalFormatting sqref="Q109">
    <cfRule type="iconSet" priority="1819">
      <iconSet iconSet="3Symbols" showValue="0" reverse="1">
        <cfvo type="percent" val="0"/>
        <cfvo type="num" val="1"/>
        <cfvo type="num" val="1.05"/>
      </iconSet>
    </cfRule>
  </conditionalFormatting>
  <conditionalFormatting sqref="N109">
    <cfRule type="cellIs" dxfId="1571" priority="1817" operator="lessThan">
      <formula>0</formula>
    </cfRule>
    <cfRule type="cellIs" dxfId="1570" priority="1818" operator="greaterThan">
      <formula>0</formula>
    </cfRule>
  </conditionalFormatting>
  <conditionalFormatting sqref="F109">
    <cfRule type="cellIs" dxfId="1569" priority="1815" operator="lessThan">
      <formula>0</formula>
    </cfRule>
    <cfRule type="cellIs" dxfId="1568" priority="1816" operator="greaterThan">
      <formula>0</formula>
    </cfRule>
  </conditionalFormatting>
  <conditionalFormatting sqref="U109">
    <cfRule type="iconSet" priority="1820">
      <iconSet iconSet="3Symbols" showValue="0" reverse="1">
        <cfvo type="percent" val="0"/>
        <cfvo type="num" val="1"/>
        <cfvo type="num" val="1.05"/>
      </iconSet>
    </cfRule>
  </conditionalFormatting>
  <conditionalFormatting sqref="P109">
    <cfRule type="iconSet" priority="1821">
      <iconSet iconSet="3Symbols" showValue="0" reverse="1">
        <cfvo type="percent" val="0"/>
        <cfvo type="num" val="1"/>
        <cfvo type="num" val="1.05"/>
      </iconSet>
    </cfRule>
  </conditionalFormatting>
  <conditionalFormatting sqref="Q108">
    <cfRule type="iconSet" priority="1812">
      <iconSet iconSet="3Symbols" showValue="0" reverse="1">
        <cfvo type="percent" val="0"/>
        <cfvo type="num" val="1"/>
        <cfvo type="num" val="1.05"/>
      </iconSet>
    </cfRule>
  </conditionalFormatting>
  <conditionalFormatting sqref="N108">
    <cfRule type="cellIs" dxfId="1567" priority="1810" operator="lessThan">
      <formula>0</formula>
    </cfRule>
    <cfRule type="cellIs" dxfId="1566" priority="1811" operator="greaterThan">
      <formula>0</formula>
    </cfRule>
  </conditionalFormatting>
  <conditionalFormatting sqref="F108">
    <cfRule type="cellIs" dxfId="1565" priority="1808" operator="lessThan">
      <formula>0</formula>
    </cfRule>
    <cfRule type="cellIs" dxfId="1564" priority="1809" operator="greaterThan">
      <formula>0</formula>
    </cfRule>
  </conditionalFormatting>
  <conditionalFormatting sqref="U108">
    <cfRule type="iconSet" priority="1813">
      <iconSet iconSet="3Symbols" showValue="0" reverse="1">
        <cfvo type="percent" val="0"/>
        <cfvo type="num" val="1"/>
        <cfvo type="num" val="1.05"/>
      </iconSet>
    </cfRule>
  </conditionalFormatting>
  <conditionalFormatting sqref="P108">
    <cfRule type="iconSet" priority="1814">
      <iconSet iconSet="3Symbols" showValue="0" reverse="1">
        <cfvo type="percent" val="0"/>
        <cfvo type="num" val="1"/>
        <cfvo type="num" val="1.05"/>
      </iconSet>
    </cfRule>
  </conditionalFormatting>
  <conditionalFormatting sqref="Q107">
    <cfRule type="iconSet" priority="1805">
      <iconSet iconSet="3Symbols" showValue="0" reverse="1">
        <cfvo type="percent" val="0"/>
        <cfvo type="num" val="1"/>
        <cfvo type="num" val="1.05"/>
      </iconSet>
    </cfRule>
  </conditionalFormatting>
  <conditionalFormatting sqref="N107">
    <cfRule type="cellIs" dxfId="1563" priority="1803" operator="lessThan">
      <formula>0</formula>
    </cfRule>
    <cfRule type="cellIs" dxfId="1562" priority="1804" operator="greaterThan">
      <formula>0</formula>
    </cfRule>
  </conditionalFormatting>
  <conditionalFormatting sqref="F107">
    <cfRule type="cellIs" dxfId="1561" priority="1801" operator="lessThan">
      <formula>0</formula>
    </cfRule>
    <cfRule type="cellIs" dxfId="1560" priority="1802" operator="greaterThan">
      <formula>0</formula>
    </cfRule>
  </conditionalFormatting>
  <conditionalFormatting sqref="U107">
    <cfRule type="iconSet" priority="1806">
      <iconSet iconSet="3Symbols" showValue="0" reverse="1">
        <cfvo type="percent" val="0"/>
        <cfvo type="num" val="1"/>
        <cfvo type="num" val="1.05"/>
      </iconSet>
    </cfRule>
  </conditionalFormatting>
  <conditionalFormatting sqref="P107">
    <cfRule type="iconSet" priority="1807">
      <iconSet iconSet="3Symbols" showValue="0" reverse="1">
        <cfvo type="percent" val="0"/>
        <cfvo type="num" val="1"/>
        <cfvo type="num" val="1.05"/>
      </iconSet>
    </cfRule>
  </conditionalFormatting>
  <conditionalFormatting sqref="Q106">
    <cfRule type="iconSet" priority="1798">
      <iconSet iconSet="3Symbols" showValue="0" reverse="1">
        <cfvo type="percent" val="0"/>
        <cfvo type="num" val="1"/>
        <cfvo type="num" val="1.05"/>
      </iconSet>
    </cfRule>
  </conditionalFormatting>
  <conditionalFormatting sqref="N106">
    <cfRule type="cellIs" dxfId="1559" priority="1796" operator="lessThan">
      <formula>0</formula>
    </cfRule>
    <cfRule type="cellIs" dxfId="1558" priority="1797" operator="greaterThan">
      <formula>0</formula>
    </cfRule>
  </conditionalFormatting>
  <conditionalFormatting sqref="F106">
    <cfRule type="cellIs" dxfId="1557" priority="1794" operator="lessThan">
      <formula>0</formula>
    </cfRule>
    <cfRule type="cellIs" dxfId="1556" priority="1795" operator="greaterThan">
      <formula>0</formula>
    </cfRule>
  </conditionalFormatting>
  <conditionalFormatting sqref="U106">
    <cfRule type="iconSet" priority="1799">
      <iconSet iconSet="3Symbols" showValue="0" reverse="1">
        <cfvo type="percent" val="0"/>
        <cfvo type="num" val="1"/>
        <cfvo type="num" val="1.05"/>
      </iconSet>
    </cfRule>
  </conditionalFormatting>
  <conditionalFormatting sqref="P106">
    <cfRule type="iconSet" priority="1800">
      <iconSet iconSet="3Symbols" showValue="0" reverse="1">
        <cfvo type="percent" val="0"/>
        <cfvo type="num" val="1"/>
        <cfvo type="num" val="1.05"/>
      </iconSet>
    </cfRule>
  </conditionalFormatting>
  <conditionalFormatting sqref="Q104:Q105">
    <cfRule type="iconSet" priority="1791">
      <iconSet iconSet="3Symbols" showValue="0" reverse="1">
        <cfvo type="percent" val="0"/>
        <cfvo type="num" val="1"/>
        <cfvo type="num" val="1.05"/>
      </iconSet>
    </cfRule>
  </conditionalFormatting>
  <conditionalFormatting sqref="N104:N105">
    <cfRule type="cellIs" dxfId="1555" priority="1789" operator="lessThan">
      <formula>0</formula>
    </cfRule>
    <cfRule type="cellIs" dxfId="1554" priority="1790" operator="greaterThan">
      <formula>0</formula>
    </cfRule>
  </conditionalFormatting>
  <conditionalFormatting sqref="F104:F105">
    <cfRule type="cellIs" dxfId="1553" priority="1787" operator="lessThan">
      <formula>0</formula>
    </cfRule>
    <cfRule type="cellIs" dxfId="1552" priority="1788" operator="greaterThan">
      <formula>0</formula>
    </cfRule>
  </conditionalFormatting>
  <conditionalFormatting sqref="U104:U105">
    <cfRule type="iconSet" priority="1792">
      <iconSet iconSet="3Symbols" showValue="0" reverse="1">
        <cfvo type="percent" val="0"/>
        <cfvo type="num" val="1"/>
        <cfvo type="num" val="1.05"/>
      </iconSet>
    </cfRule>
  </conditionalFormatting>
  <conditionalFormatting sqref="P104:P105">
    <cfRule type="iconSet" priority="1793">
      <iconSet iconSet="3Symbols" showValue="0" reverse="1">
        <cfvo type="percent" val="0"/>
        <cfvo type="num" val="1"/>
        <cfvo type="num" val="1.05"/>
      </iconSet>
    </cfRule>
  </conditionalFormatting>
  <conditionalFormatting sqref="Q103">
    <cfRule type="iconSet" priority="1784">
      <iconSet iconSet="3Symbols" showValue="0" reverse="1">
        <cfvo type="percent" val="0"/>
        <cfvo type="num" val="1"/>
        <cfvo type="num" val="1.05"/>
      </iconSet>
    </cfRule>
  </conditionalFormatting>
  <conditionalFormatting sqref="N103">
    <cfRule type="cellIs" dxfId="1551" priority="1782" operator="lessThan">
      <formula>0</formula>
    </cfRule>
    <cfRule type="cellIs" dxfId="1550" priority="1783" operator="greaterThan">
      <formula>0</formula>
    </cfRule>
  </conditionalFormatting>
  <conditionalFormatting sqref="F103">
    <cfRule type="cellIs" dxfId="1549" priority="1780" operator="lessThan">
      <formula>0</formula>
    </cfRule>
    <cfRule type="cellIs" dxfId="1548" priority="1781" operator="greaterThan">
      <formula>0</formula>
    </cfRule>
  </conditionalFormatting>
  <conditionalFormatting sqref="U103">
    <cfRule type="iconSet" priority="1785">
      <iconSet iconSet="3Symbols" showValue="0" reverse="1">
        <cfvo type="percent" val="0"/>
        <cfvo type="num" val="1"/>
        <cfvo type="num" val="1.05"/>
      </iconSet>
    </cfRule>
  </conditionalFormatting>
  <conditionalFormatting sqref="P103">
    <cfRule type="iconSet" priority="1786">
      <iconSet iconSet="3Symbols" showValue="0" reverse="1">
        <cfvo type="percent" val="0"/>
        <cfvo type="num" val="1"/>
        <cfvo type="num" val="1.05"/>
      </iconSet>
    </cfRule>
  </conditionalFormatting>
  <conditionalFormatting sqref="Q102">
    <cfRule type="iconSet" priority="1777">
      <iconSet iconSet="3Symbols" showValue="0" reverse="1">
        <cfvo type="percent" val="0"/>
        <cfvo type="num" val="1"/>
        <cfvo type="num" val="1.05"/>
      </iconSet>
    </cfRule>
  </conditionalFormatting>
  <conditionalFormatting sqref="N102">
    <cfRule type="cellIs" dxfId="1547" priority="1775" operator="lessThan">
      <formula>0</formula>
    </cfRule>
    <cfRule type="cellIs" dxfId="1546" priority="1776" operator="greaterThan">
      <formula>0</formula>
    </cfRule>
  </conditionalFormatting>
  <conditionalFormatting sqref="F102">
    <cfRule type="cellIs" dxfId="1545" priority="1773" operator="lessThan">
      <formula>0</formula>
    </cfRule>
    <cfRule type="cellIs" dxfId="1544" priority="1774" operator="greaterThan">
      <formula>0</formula>
    </cfRule>
  </conditionalFormatting>
  <conditionalFormatting sqref="U102">
    <cfRule type="iconSet" priority="1778">
      <iconSet iconSet="3Symbols" showValue="0" reverse="1">
        <cfvo type="percent" val="0"/>
        <cfvo type="num" val="1"/>
        <cfvo type="num" val="1.05"/>
      </iconSet>
    </cfRule>
  </conditionalFormatting>
  <conditionalFormatting sqref="P102">
    <cfRule type="iconSet" priority="1779">
      <iconSet iconSet="3Symbols" showValue="0" reverse="1">
        <cfvo type="percent" val="0"/>
        <cfvo type="num" val="1"/>
        <cfvo type="num" val="1.05"/>
      </iconSet>
    </cfRule>
  </conditionalFormatting>
  <conditionalFormatting sqref="Q101">
    <cfRule type="iconSet" priority="1770">
      <iconSet iconSet="3Symbols" showValue="0" reverse="1">
        <cfvo type="percent" val="0"/>
        <cfvo type="num" val="1"/>
        <cfvo type="num" val="1.05"/>
      </iconSet>
    </cfRule>
  </conditionalFormatting>
  <conditionalFormatting sqref="N101">
    <cfRule type="cellIs" dxfId="1543" priority="1768" operator="lessThan">
      <formula>0</formula>
    </cfRule>
    <cfRule type="cellIs" dxfId="1542" priority="1769" operator="greaterThan">
      <formula>0</formula>
    </cfRule>
  </conditionalFormatting>
  <conditionalFormatting sqref="F101">
    <cfRule type="cellIs" dxfId="1541" priority="1766" operator="lessThan">
      <formula>0</formula>
    </cfRule>
    <cfRule type="cellIs" dxfId="1540" priority="1767" operator="greaterThan">
      <formula>0</formula>
    </cfRule>
  </conditionalFormatting>
  <conditionalFormatting sqref="U101">
    <cfRule type="iconSet" priority="1771">
      <iconSet iconSet="3Symbols" showValue="0" reverse="1">
        <cfvo type="percent" val="0"/>
        <cfvo type="num" val="1"/>
        <cfvo type="num" val="1.05"/>
      </iconSet>
    </cfRule>
  </conditionalFormatting>
  <conditionalFormatting sqref="P101">
    <cfRule type="iconSet" priority="1772">
      <iconSet iconSet="3Symbols" showValue="0" reverse="1">
        <cfvo type="percent" val="0"/>
        <cfvo type="num" val="1"/>
        <cfvo type="num" val="1.05"/>
      </iconSet>
    </cfRule>
  </conditionalFormatting>
  <conditionalFormatting sqref="Q100">
    <cfRule type="iconSet" priority="1763">
      <iconSet iconSet="3Symbols" showValue="0" reverse="1">
        <cfvo type="percent" val="0"/>
        <cfvo type="num" val="1"/>
        <cfvo type="num" val="1.05"/>
      </iconSet>
    </cfRule>
  </conditionalFormatting>
  <conditionalFormatting sqref="N100">
    <cfRule type="cellIs" dxfId="1539" priority="1761" operator="lessThan">
      <formula>0</formula>
    </cfRule>
    <cfRule type="cellIs" dxfId="1538" priority="1762" operator="greaterThan">
      <formula>0</formula>
    </cfRule>
  </conditionalFormatting>
  <conditionalFormatting sqref="F100">
    <cfRule type="cellIs" dxfId="1537" priority="1759" operator="lessThan">
      <formula>0</formula>
    </cfRule>
    <cfRule type="cellIs" dxfId="1536" priority="1760" operator="greaterThan">
      <formula>0</formula>
    </cfRule>
  </conditionalFormatting>
  <conditionalFormatting sqref="U100">
    <cfRule type="iconSet" priority="1764">
      <iconSet iconSet="3Symbols" showValue="0" reverse="1">
        <cfvo type="percent" val="0"/>
        <cfvo type="num" val="1"/>
        <cfvo type="num" val="1.05"/>
      </iconSet>
    </cfRule>
  </conditionalFormatting>
  <conditionalFormatting sqref="P100">
    <cfRule type="iconSet" priority="1765">
      <iconSet iconSet="3Symbols" showValue="0" reverse="1">
        <cfvo type="percent" val="0"/>
        <cfvo type="num" val="1"/>
        <cfvo type="num" val="1.05"/>
      </iconSet>
    </cfRule>
  </conditionalFormatting>
  <conditionalFormatting sqref="Q99">
    <cfRule type="iconSet" priority="1756">
      <iconSet iconSet="3Symbols" showValue="0" reverse="1">
        <cfvo type="percent" val="0"/>
        <cfvo type="num" val="1"/>
        <cfvo type="num" val="1.05"/>
      </iconSet>
    </cfRule>
  </conditionalFormatting>
  <conditionalFormatting sqref="N99">
    <cfRule type="cellIs" dxfId="1535" priority="1754" operator="lessThan">
      <formula>0</formula>
    </cfRule>
    <cfRule type="cellIs" dxfId="1534" priority="1755" operator="greaterThan">
      <formula>0</formula>
    </cfRule>
  </conditionalFormatting>
  <conditionalFormatting sqref="F99">
    <cfRule type="cellIs" dxfId="1533" priority="1752" operator="lessThan">
      <formula>0</formula>
    </cfRule>
    <cfRule type="cellIs" dxfId="1532" priority="1753" operator="greaterThan">
      <formula>0</formula>
    </cfRule>
  </conditionalFormatting>
  <conditionalFormatting sqref="U99">
    <cfRule type="iconSet" priority="1757">
      <iconSet iconSet="3Symbols" showValue="0" reverse="1">
        <cfvo type="percent" val="0"/>
        <cfvo type="num" val="1"/>
        <cfvo type="num" val="1.05"/>
      </iconSet>
    </cfRule>
  </conditionalFormatting>
  <conditionalFormatting sqref="P99">
    <cfRule type="iconSet" priority="1758">
      <iconSet iconSet="3Symbols" showValue="0" reverse="1">
        <cfvo type="percent" val="0"/>
        <cfvo type="num" val="1"/>
        <cfvo type="num" val="1.05"/>
      </iconSet>
    </cfRule>
  </conditionalFormatting>
  <conditionalFormatting sqref="Q98">
    <cfRule type="iconSet" priority="1749">
      <iconSet iconSet="3Symbols" showValue="0" reverse="1">
        <cfvo type="percent" val="0"/>
        <cfvo type="num" val="1"/>
        <cfvo type="num" val="1.05"/>
      </iconSet>
    </cfRule>
  </conditionalFormatting>
  <conditionalFormatting sqref="N98">
    <cfRule type="cellIs" dxfId="1531" priority="1747" operator="lessThan">
      <formula>0</formula>
    </cfRule>
    <cfRule type="cellIs" dxfId="1530" priority="1748" operator="greaterThan">
      <formula>0</formula>
    </cfRule>
  </conditionalFormatting>
  <conditionalFormatting sqref="F98">
    <cfRule type="cellIs" dxfId="1529" priority="1745" operator="lessThan">
      <formula>0</formula>
    </cfRule>
    <cfRule type="cellIs" dxfId="1528" priority="1746" operator="greaterThan">
      <formula>0</formula>
    </cfRule>
  </conditionalFormatting>
  <conditionalFormatting sqref="U98">
    <cfRule type="iconSet" priority="1750">
      <iconSet iconSet="3Symbols" showValue="0" reverse="1">
        <cfvo type="percent" val="0"/>
        <cfvo type="num" val="1"/>
        <cfvo type="num" val="1.05"/>
      </iconSet>
    </cfRule>
  </conditionalFormatting>
  <conditionalFormatting sqref="P98">
    <cfRule type="iconSet" priority="1751">
      <iconSet iconSet="3Symbols" showValue="0" reverse="1">
        <cfvo type="percent" val="0"/>
        <cfvo type="num" val="1"/>
        <cfvo type="num" val="1.05"/>
      </iconSet>
    </cfRule>
  </conditionalFormatting>
  <conditionalFormatting sqref="Q97">
    <cfRule type="iconSet" priority="1742">
      <iconSet iconSet="3Symbols" showValue="0" reverse="1">
        <cfvo type="percent" val="0"/>
        <cfvo type="num" val="1"/>
        <cfvo type="num" val="1.05"/>
      </iconSet>
    </cfRule>
  </conditionalFormatting>
  <conditionalFormatting sqref="N97">
    <cfRule type="cellIs" dxfId="1527" priority="1740" operator="lessThan">
      <formula>0</formula>
    </cfRule>
    <cfRule type="cellIs" dxfId="1526" priority="1741" operator="greaterThan">
      <formula>0</formula>
    </cfRule>
  </conditionalFormatting>
  <conditionalFormatting sqref="F97">
    <cfRule type="cellIs" dxfId="1525" priority="1738" operator="lessThan">
      <formula>0</formula>
    </cfRule>
    <cfRule type="cellIs" dxfId="1524" priority="1739" operator="greaterThan">
      <formula>0</formula>
    </cfRule>
  </conditionalFormatting>
  <conditionalFormatting sqref="U97">
    <cfRule type="iconSet" priority="1743">
      <iconSet iconSet="3Symbols" showValue="0" reverse="1">
        <cfvo type="percent" val="0"/>
        <cfvo type="num" val="1"/>
        <cfvo type="num" val="1.05"/>
      </iconSet>
    </cfRule>
  </conditionalFormatting>
  <conditionalFormatting sqref="P97">
    <cfRule type="iconSet" priority="1744">
      <iconSet iconSet="3Symbols" showValue="0" reverse="1">
        <cfvo type="percent" val="0"/>
        <cfvo type="num" val="1"/>
        <cfvo type="num" val="1.05"/>
      </iconSet>
    </cfRule>
  </conditionalFormatting>
  <conditionalFormatting sqref="Q95:Q96">
    <cfRule type="iconSet" priority="1735">
      <iconSet iconSet="3Symbols" showValue="0" reverse="1">
        <cfvo type="percent" val="0"/>
        <cfvo type="num" val="1"/>
        <cfvo type="num" val="1.05"/>
      </iconSet>
    </cfRule>
  </conditionalFormatting>
  <conditionalFormatting sqref="N95:N96">
    <cfRule type="cellIs" dxfId="1523" priority="1733" operator="lessThan">
      <formula>0</formula>
    </cfRule>
    <cfRule type="cellIs" dxfId="1522" priority="1734" operator="greaterThan">
      <formula>0</formula>
    </cfRule>
  </conditionalFormatting>
  <conditionalFormatting sqref="F95:F96">
    <cfRule type="cellIs" dxfId="1521" priority="1731" operator="lessThan">
      <formula>0</formula>
    </cfRule>
    <cfRule type="cellIs" dxfId="1520" priority="1732" operator="greaterThan">
      <formula>0</formula>
    </cfRule>
  </conditionalFormatting>
  <conditionalFormatting sqref="U95:U96">
    <cfRule type="iconSet" priority="1736">
      <iconSet iconSet="3Symbols" showValue="0" reverse="1">
        <cfvo type="percent" val="0"/>
        <cfvo type="num" val="1"/>
        <cfvo type="num" val="1.05"/>
      </iconSet>
    </cfRule>
  </conditionalFormatting>
  <conditionalFormatting sqref="P95:P96">
    <cfRule type="iconSet" priority="1737">
      <iconSet iconSet="3Symbols" showValue="0" reverse="1">
        <cfvo type="percent" val="0"/>
        <cfvo type="num" val="1"/>
        <cfvo type="num" val="1.05"/>
      </iconSet>
    </cfRule>
  </conditionalFormatting>
  <conditionalFormatting sqref="Q94">
    <cfRule type="iconSet" priority="1728">
      <iconSet iconSet="3Symbols" showValue="0" reverse="1">
        <cfvo type="percent" val="0"/>
        <cfvo type="num" val="1"/>
        <cfvo type="num" val="1.05"/>
      </iconSet>
    </cfRule>
  </conditionalFormatting>
  <conditionalFormatting sqref="N94">
    <cfRule type="cellIs" dxfId="1519" priority="1726" operator="lessThan">
      <formula>0</formula>
    </cfRule>
    <cfRule type="cellIs" dxfId="1518" priority="1727" operator="greaterThan">
      <formula>0</formula>
    </cfRule>
  </conditionalFormatting>
  <conditionalFormatting sqref="F94">
    <cfRule type="cellIs" dxfId="1517" priority="1724" operator="lessThan">
      <formula>0</formula>
    </cfRule>
    <cfRule type="cellIs" dxfId="1516" priority="1725" operator="greaterThan">
      <formula>0</formula>
    </cfRule>
  </conditionalFormatting>
  <conditionalFormatting sqref="U94">
    <cfRule type="iconSet" priority="1729">
      <iconSet iconSet="3Symbols" showValue="0" reverse="1">
        <cfvo type="percent" val="0"/>
        <cfvo type="num" val="1"/>
        <cfvo type="num" val="1.05"/>
      </iconSet>
    </cfRule>
  </conditionalFormatting>
  <conditionalFormatting sqref="P94">
    <cfRule type="iconSet" priority="1730">
      <iconSet iconSet="3Symbols" showValue="0" reverse="1">
        <cfvo type="percent" val="0"/>
        <cfvo type="num" val="1"/>
        <cfvo type="num" val="1.05"/>
      </iconSet>
    </cfRule>
  </conditionalFormatting>
  <conditionalFormatting sqref="Q93">
    <cfRule type="iconSet" priority="1721">
      <iconSet iconSet="3Symbols" showValue="0" reverse="1">
        <cfvo type="percent" val="0"/>
        <cfvo type="num" val="1"/>
        <cfvo type="num" val="1.05"/>
      </iconSet>
    </cfRule>
  </conditionalFormatting>
  <conditionalFormatting sqref="N93">
    <cfRule type="cellIs" dxfId="1515" priority="1719" operator="lessThan">
      <formula>0</formula>
    </cfRule>
    <cfRule type="cellIs" dxfId="1514" priority="1720" operator="greaterThan">
      <formula>0</formula>
    </cfRule>
  </conditionalFormatting>
  <conditionalFormatting sqref="F93">
    <cfRule type="cellIs" dxfId="1513" priority="1717" operator="lessThan">
      <formula>0</formula>
    </cfRule>
    <cfRule type="cellIs" dxfId="1512" priority="1718" operator="greaterThan">
      <formula>0</formula>
    </cfRule>
  </conditionalFormatting>
  <conditionalFormatting sqref="U93">
    <cfRule type="iconSet" priority="1722">
      <iconSet iconSet="3Symbols" showValue="0" reverse="1">
        <cfvo type="percent" val="0"/>
        <cfvo type="num" val="1"/>
        <cfvo type="num" val="1.05"/>
      </iconSet>
    </cfRule>
  </conditionalFormatting>
  <conditionalFormatting sqref="P93">
    <cfRule type="iconSet" priority="1723">
      <iconSet iconSet="3Symbols" showValue="0" reverse="1">
        <cfvo type="percent" val="0"/>
        <cfvo type="num" val="1"/>
        <cfvo type="num" val="1.05"/>
      </iconSet>
    </cfRule>
  </conditionalFormatting>
  <conditionalFormatting sqref="Q92">
    <cfRule type="iconSet" priority="1714">
      <iconSet iconSet="3Symbols" showValue="0" reverse="1">
        <cfvo type="percent" val="0"/>
        <cfvo type="num" val="1"/>
        <cfvo type="num" val="1.05"/>
      </iconSet>
    </cfRule>
  </conditionalFormatting>
  <conditionalFormatting sqref="N92">
    <cfRule type="cellIs" dxfId="1511" priority="1712" operator="lessThan">
      <formula>0</formula>
    </cfRule>
    <cfRule type="cellIs" dxfId="1510" priority="1713" operator="greaterThan">
      <formula>0</formula>
    </cfRule>
  </conditionalFormatting>
  <conditionalFormatting sqref="F92">
    <cfRule type="cellIs" dxfId="1509" priority="1710" operator="lessThan">
      <formula>0</formula>
    </cfRule>
    <cfRule type="cellIs" dxfId="1508" priority="1711" operator="greaterThan">
      <formula>0</formula>
    </cfRule>
  </conditionalFormatting>
  <conditionalFormatting sqref="U92">
    <cfRule type="iconSet" priority="1715">
      <iconSet iconSet="3Symbols" showValue="0" reverse="1">
        <cfvo type="percent" val="0"/>
        <cfvo type="num" val="1"/>
        <cfvo type="num" val="1.05"/>
      </iconSet>
    </cfRule>
  </conditionalFormatting>
  <conditionalFormatting sqref="P92">
    <cfRule type="iconSet" priority="1716">
      <iconSet iconSet="3Symbols" showValue="0" reverse="1">
        <cfvo type="percent" val="0"/>
        <cfvo type="num" val="1"/>
        <cfvo type="num" val="1.05"/>
      </iconSet>
    </cfRule>
  </conditionalFormatting>
  <conditionalFormatting sqref="Q91">
    <cfRule type="iconSet" priority="1707">
      <iconSet iconSet="3Symbols" showValue="0" reverse="1">
        <cfvo type="percent" val="0"/>
        <cfvo type="num" val="1"/>
        <cfvo type="num" val="1.05"/>
      </iconSet>
    </cfRule>
  </conditionalFormatting>
  <conditionalFormatting sqref="N91">
    <cfRule type="cellIs" dxfId="1507" priority="1705" operator="lessThan">
      <formula>0</formula>
    </cfRule>
    <cfRule type="cellIs" dxfId="1506" priority="1706" operator="greaterThan">
      <formula>0</formula>
    </cfRule>
  </conditionalFormatting>
  <conditionalFormatting sqref="F91">
    <cfRule type="cellIs" dxfId="1505" priority="1703" operator="lessThan">
      <formula>0</formula>
    </cfRule>
    <cfRule type="cellIs" dxfId="1504" priority="1704" operator="greaterThan">
      <formula>0</formula>
    </cfRule>
  </conditionalFormatting>
  <conditionalFormatting sqref="U91">
    <cfRule type="iconSet" priority="1708">
      <iconSet iconSet="3Symbols" showValue="0" reverse="1">
        <cfvo type="percent" val="0"/>
        <cfvo type="num" val="1"/>
        <cfvo type="num" val="1.05"/>
      </iconSet>
    </cfRule>
  </conditionalFormatting>
  <conditionalFormatting sqref="P91">
    <cfRule type="iconSet" priority="1709">
      <iconSet iconSet="3Symbols" showValue="0" reverse="1">
        <cfvo type="percent" val="0"/>
        <cfvo type="num" val="1"/>
        <cfvo type="num" val="1.05"/>
      </iconSet>
    </cfRule>
  </conditionalFormatting>
  <conditionalFormatting sqref="Q90">
    <cfRule type="iconSet" priority="1700">
      <iconSet iconSet="3Symbols" showValue="0" reverse="1">
        <cfvo type="percent" val="0"/>
        <cfvo type="num" val="1"/>
        <cfvo type="num" val="1.05"/>
      </iconSet>
    </cfRule>
  </conditionalFormatting>
  <conditionalFormatting sqref="N90">
    <cfRule type="cellIs" dxfId="1503" priority="1698" operator="lessThan">
      <formula>0</formula>
    </cfRule>
    <cfRule type="cellIs" dxfId="1502" priority="1699" operator="greaterThan">
      <formula>0</formula>
    </cfRule>
  </conditionalFormatting>
  <conditionalFormatting sqref="F90">
    <cfRule type="cellIs" dxfId="1501" priority="1696" operator="lessThan">
      <formula>0</formula>
    </cfRule>
    <cfRule type="cellIs" dxfId="1500" priority="1697" operator="greaterThan">
      <formula>0</formula>
    </cfRule>
  </conditionalFormatting>
  <conditionalFormatting sqref="U90">
    <cfRule type="iconSet" priority="1701">
      <iconSet iconSet="3Symbols" showValue="0" reverse="1">
        <cfvo type="percent" val="0"/>
        <cfvo type="num" val="1"/>
        <cfvo type="num" val="1.05"/>
      </iconSet>
    </cfRule>
  </conditionalFormatting>
  <conditionalFormatting sqref="P90">
    <cfRule type="iconSet" priority="1702">
      <iconSet iconSet="3Symbols" showValue="0" reverse="1">
        <cfvo type="percent" val="0"/>
        <cfvo type="num" val="1"/>
        <cfvo type="num" val="1.05"/>
      </iconSet>
    </cfRule>
  </conditionalFormatting>
  <conditionalFormatting sqref="Q89">
    <cfRule type="iconSet" priority="1693">
      <iconSet iconSet="3Symbols" showValue="0" reverse="1">
        <cfvo type="percent" val="0"/>
        <cfvo type="num" val="1"/>
        <cfvo type="num" val="1.05"/>
      </iconSet>
    </cfRule>
  </conditionalFormatting>
  <conditionalFormatting sqref="N89">
    <cfRule type="cellIs" dxfId="1499" priority="1691" operator="lessThan">
      <formula>0</formula>
    </cfRule>
    <cfRule type="cellIs" dxfId="1498" priority="1692" operator="greaterThan">
      <formula>0</formula>
    </cfRule>
  </conditionalFormatting>
  <conditionalFormatting sqref="F89">
    <cfRule type="cellIs" dxfId="1497" priority="1689" operator="lessThan">
      <formula>0</formula>
    </cfRule>
    <cfRule type="cellIs" dxfId="1496" priority="1690" operator="greaterThan">
      <formula>0</formula>
    </cfRule>
  </conditionalFormatting>
  <conditionalFormatting sqref="U89">
    <cfRule type="iconSet" priority="1694">
      <iconSet iconSet="3Symbols" showValue="0" reverse="1">
        <cfvo type="percent" val="0"/>
        <cfvo type="num" val="1"/>
        <cfvo type="num" val="1.05"/>
      </iconSet>
    </cfRule>
  </conditionalFormatting>
  <conditionalFormatting sqref="P89">
    <cfRule type="iconSet" priority="1695">
      <iconSet iconSet="3Symbols" showValue="0" reverse="1">
        <cfvo type="percent" val="0"/>
        <cfvo type="num" val="1"/>
        <cfvo type="num" val="1.05"/>
      </iconSet>
    </cfRule>
  </conditionalFormatting>
  <conditionalFormatting sqref="Q88">
    <cfRule type="iconSet" priority="1686">
      <iconSet iconSet="3Symbols" showValue="0" reverse="1">
        <cfvo type="percent" val="0"/>
        <cfvo type="num" val="1"/>
        <cfvo type="num" val="1.05"/>
      </iconSet>
    </cfRule>
  </conditionalFormatting>
  <conditionalFormatting sqref="N88">
    <cfRule type="cellIs" dxfId="1495" priority="1684" operator="lessThan">
      <formula>0</formula>
    </cfRule>
    <cfRule type="cellIs" dxfId="1494" priority="1685" operator="greaterThan">
      <formula>0</formula>
    </cfRule>
  </conditionalFormatting>
  <conditionalFormatting sqref="F88">
    <cfRule type="cellIs" dxfId="1493" priority="1682" operator="lessThan">
      <formula>0</formula>
    </cfRule>
    <cfRule type="cellIs" dxfId="1492" priority="1683" operator="greaterThan">
      <formula>0</formula>
    </cfRule>
  </conditionalFormatting>
  <conditionalFormatting sqref="U88">
    <cfRule type="iconSet" priority="1687">
      <iconSet iconSet="3Symbols" showValue="0" reverse="1">
        <cfvo type="percent" val="0"/>
        <cfvo type="num" val="1"/>
        <cfvo type="num" val="1.05"/>
      </iconSet>
    </cfRule>
  </conditionalFormatting>
  <conditionalFormatting sqref="P88">
    <cfRule type="iconSet" priority="1688">
      <iconSet iconSet="3Symbols" showValue="0" reverse="1">
        <cfvo type="percent" val="0"/>
        <cfvo type="num" val="1"/>
        <cfvo type="num" val="1.05"/>
      </iconSet>
    </cfRule>
  </conditionalFormatting>
  <conditionalFormatting sqref="Q86:Q87">
    <cfRule type="iconSet" priority="1679">
      <iconSet iconSet="3Symbols" showValue="0" reverse="1">
        <cfvo type="percent" val="0"/>
        <cfvo type="num" val="1"/>
        <cfvo type="num" val="1.05"/>
      </iconSet>
    </cfRule>
  </conditionalFormatting>
  <conditionalFormatting sqref="N86:N87">
    <cfRule type="cellIs" dxfId="1491" priority="1677" operator="lessThan">
      <formula>0</formula>
    </cfRule>
    <cfRule type="cellIs" dxfId="1490" priority="1678" operator="greaterThan">
      <formula>0</formula>
    </cfRule>
  </conditionalFormatting>
  <conditionalFormatting sqref="F86:F87">
    <cfRule type="cellIs" dxfId="1489" priority="1675" operator="lessThan">
      <formula>0</formula>
    </cfRule>
    <cfRule type="cellIs" dxfId="1488" priority="1676" operator="greaterThan">
      <formula>0</formula>
    </cfRule>
  </conditionalFormatting>
  <conditionalFormatting sqref="U86:U87">
    <cfRule type="iconSet" priority="1680">
      <iconSet iconSet="3Symbols" showValue="0" reverse="1">
        <cfvo type="percent" val="0"/>
        <cfvo type="num" val="1"/>
        <cfvo type="num" val="1.05"/>
      </iconSet>
    </cfRule>
  </conditionalFormatting>
  <conditionalFormatting sqref="P86:P87">
    <cfRule type="iconSet" priority="1681">
      <iconSet iconSet="3Symbols" showValue="0" reverse="1">
        <cfvo type="percent" val="0"/>
        <cfvo type="num" val="1"/>
        <cfvo type="num" val="1.05"/>
      </iconSet>
    </cfRule>
  </conditionalFormatting>
  <conditionalFormatting sqref="Q85">
    <cfRule type="iconSet" priority="1672">
      <iconSet iconSet="3Symbols" showValue="0" reverse="1">
        <cfvo type="percent" val="0"/>
        <cfvo type="num" val="1"/>
        <cfvo type="num" val="1.05"/>
      </iconSet>
    </cfRule>
  </conditionalFormatting>
  <conditionalFormatting sqref="N85">
    <cfRule type="cellIs" dxfId="1487" priority="1670" operator="lessThan">
      <formula>0</formula>
    </cfRule>
    <cfRule type="cellIs" dxfId="1486" priority="1671" operator="greaterThan">
      <formula>0</formula>
    </cfRule>
  </conditionalFormatting>
  <conditionalFormatting sqref="F85">
    <cfRule type="cellIs" dxfId="1485" priority="1668" operator="lessThan">
      <formula>0</formula>
    </cfRule>
    <cfRule type="cellIs" dxfId="1484" priority="1669" operator="greaterThan">
      <formula>0</formula>
    </cfRule>
  </conditionalFormatting>
  <conditionalFormatting sqref="U85">
    <cfRule type="iconSet" priority="1673">
      <iconSet iconSet="3Symbols" showValue="0" reverse="1">
        <cfvo type="percent" val="0"/>
        <cfvo type="num" val="1"/>
        <cfvo type="num" val="1.05"/>
      </iconSet>
    </cfRule>
  </conditionalFormatting>
  <conditionalFormatting sqref="P85">
    <cfRule type="iconSet" priority="1674">
      <iconSet iconSet="3Symbols" showValue="0" reverse="1">
        <cfvo type="percent" val="0"/>
        <cfvo type="num" val="1"/>
        <cfvo type="num" val="1.05"/>
      </iconSet>
    </cfRule>
  </conditionalFormatting>
  <conditionalFormatting sqref="Q84">
    <cfRule type="iconSet" priority="1665">
      <iconSet iconSet="3Symbols" showValue="0" reverse="1">
        <cfvo type="percent" val="0"/>
        <cfvo type="num" val="1"/>
        <cfvo type="num" val="1.05"/>
      </iconSet>
    </cfRule>
  </conditionalFormatting>
  <conditionalFormatting sqref="N84">
    <cfRule type="cellIs" dxfId="1483" priority="1663" operator="lessThan">
      <formula>0</formula>
    </cfRule>
    <cfRule type="cellIs" dxfId="1482" priority="1664" operator="greaterThan">
      <formula>0</formula>
    </cfRule>
  </conditionalFormatting>
  <conditionalFormatting sqref="F84">
    <cfRule type="cellIs" dxfId="1481" priority="1661" operator="lessThan">
      <formula>0</formula>
    </cfRule>
    <cfRule type="cellIs" dxfId="1480" priority="1662" operator="greaterThan">
      <formula>0</formula>
    </cfRule>
  </conditionalFormatting>
  <conditionalFormatting sqref="U84">
    <cfRule type="iconSet" priority="1666">
      <iconSet iconSet="3Symbols" showValue="0" reverse="1">
        <cfvo type="percent" val="0"/>
        <cfvo type="num" val="1"/>
        <cfvo type="num" val="1.05"/>
      </iconSet>
    </cfRule>
  </conditionalFormatting>
  <conditionalFormatting sqref="P84">
    <cfRule type="iconSet" priority="1667">
      <iconSet iconSet="3Symbols" showValue="0" reverse="1">
        <cfvo type="percent" val="0"/>
        <cfvo type="num" val="1"/>
        <cfvo type="num" val="1.05"/>
      </iconSet>
    </cfRule>
  </conditionalFormatting>
  <conditionalFormatting sqref="Q83">
    <cfRule type="iconSet" priority="1658">
      <iconSet iconSet="3Symbols" showValue="0" reverse="1">
        <cfvo type="percent" val="0"/>
        <cfvo type="num" val="1"/>
        <cfvo type="num" val="1.05"/>
      </iconSet>
    </cfRule>
  </conditionalFormatting>
  <conditionalFormatting sqref="N83">
    <cfRule type="cellIs" dxfId="1479" priority="1656" operator="lessThan">
      <formula>0</formula>
    </cfRule>
    <cfRule type="cellIs" dxfId="1478" priority="1657" operator="greaterThan">
      <formula>0</formula>
    </cfRule>
  </conditionalFormatting>
  <conditionalFormatting sqref="F83">
    <cfRule type="cellIs" dxfId="1477" priority="1654" operator="lessThan">
      <formula>0</formula>
    </cfRule>
    <cfRule type="cellIs" dxfId="1476" priority="1655" operator="greaterThan">
      <formula>0</formula>
    </cfRule>
  </conditionalFormatting>
  <conditionalFormatting sqref="U83">
    <cfRule type="iconSet" priority="1659">
      <iconSet iconSet="3Symbols" showValue="0" reverse="1">
        <cfvo type="percent" val="0"/>
        <cfvo type="num" val="1"/>
        <cfvo type="num" val="1.05"/>
      </iconSet>
    </cfRule>
  </conditionalFormatting>
  <conditionalFormatting sqref="P83">
    <cfRule type="iconSet" priority="1660">
      <iconSet iconSet="3Symbols" showValue="0" reverse="1">
        <cfvo type="percent" val="0"/>
        <cfvo type="num" val="1"/>
        <cfvo type="num" val="1.05"/>
      </iconSet>
    </cfRule>
  </conditionalFormatting>
  <conditionalFormatting sqref="Q82">
    <cfRule type="iconSet" priority="1651">
      <iconSet iconSet="3Symbols" showValue="0" reverse="1">
        <cfvo type="percent" val="0"/>
        <cfvo type="num" val="1"/>
        <cfvo type="num" val="1.05"/>
      </iconSet>
    </cfRule>
  </conditionalFormatting>
  <conditionalFormatting sqref="N82">
    <cfRule type="cellIs" dxfId="1475" priority="1649" operator="lessThan">
      <formula>0</formula>
    </cfRule>
    <cfRule type="cellIs" dxfId="1474" priority="1650" operator="greaterThan">
      <formula>0</formula>
    </cfRule>
  </conditionalFormatting>
  <conditionalFormatting sqref="F82">
    <cfRule type="cellIs" dxfId="1473" priority="1647" operator="lessThan">
      <formula>0</formula>
    </cfRule>
    <cfRule type="cellIs" dxfId="1472" priority="1648" operator="greaterThan">
      <formula>0</formula>
    </cfRule>
  </conditionalFormatting>
  <conditionalFormatting sqref="U82">
    <cfRule type="iconSet" priority="1652">
      <iconSet iconSet="3Symbols" showValue="0" reverse="1">
        <cfvo type="percent" val="0"/>
        <cfvo type="num" val="1"/>
        <cfvo type="num" val="1.05"/>
      </iconSet>
    </cfRule>
  </conditionalFormatting>
  <conditionalFormatting sqref="P82">
    <cfRule type="iconSet" priority="1653">
      <iconSet iconSet="3Symbols" showValue="0" reverse="1">
        <cfvo type="percent" val="0"/>
        <cfvo type="num" val="1"/>
        <cfvo type="num" val="1.05"/>
      </iconSet>
    </cfRule>
  </conditionalFormatting>
  <conditionalFormatting sqref="Q81">
    <cfRule type="iconSet" priority="1644">
      <iconSet iconSet="3Symbols" showValue="0" reverse="1">
        <cfvo type="percent" val="0"/>
        <cfvo type="num" val="1"/>
        <cfvo type="num" val="1.05"/>
      </iconSet>
    </cfRule>
  </conditionalFormatting>
  <conditionalFormatting sqref="N81">
    <cfRule type="cellIs" dxfId="1471" priority="1642" operator="lessThan">
      <formula>0</formula>
    </cfRule>
    <cfRule type="cellIs" dxfId="1470" priority="1643" operator="greaterThan">
      <formula>0</formula>
    </cfRule>
  </conditionalFormatting>
  <conditionalFormatting sqref="F81">
    <cfRule type="cellIs" dxfId="1469" priority="1640" operator="lessThan">
      <formula>0</formula>
    </cfRule>
    <cfRule type="cellIs" dxfId="1468" priority="1641" operator="greaterThan">
      <formula>0</formula>
    </cfRule>
  </conditionalFormatting>
  <conditionalFormatting sqref="U81">
    <cfRule type="iconSet" priority="1645">
      <iconSet iconSet="3Symbols" showValue="0" reverse="1">
        <cfvo type="percent" val="0"/>
        <cfvo type="num" val="1"/>
        <cfvo type="num" val="1.05"/>
      </iconSet>
    </cfRule>
  </conditionalFormatting>
  <conditionalFormatting sqref="P81">
    <cfRule type="iconSet" priority="1646">
      <iconSet iconSet="3Symbols" showValue="0" reverse="1">
        <cfvo type="percent" val="0"/>
        <cfvo type="num" val="1"/>
        <cfvo type="num" val="1.05"/>
      </iconSet>
    </cfRule>
  </conditionalFormatting>
  <conditionalFormatting sqref="Q80">
    <cfRule type="iconSet" priority="1637">
      <iconSet iconSet="3Symbols" showValue="0" reverse="1">
        <cfvo type="percent" val="0"/>
        <cfvo type="num" val="1"/>
        <cfvo type="num" val="1.05"/>
      </iconSet>
    </cfRule>
  </conditionalFormatting>
  <conditionalFormatting sqref="N80">
    <cfRule type="cellIs" dxfId="1467" priority="1635" operator="lessThan">
      <formula>0</formula>
    </cfRule>
    <cfRule type="cellIs" dxfId="1466" priority="1636" operator="greaterThan">
      <formula>0</formula>
    </cfRule>
  </conditionalFormatting>
  <conditionalFormatting sqref="F80">
    <cfRule type="cellIs" dxfId="1465" priority="1633" operator="lessThan">
      <formula>0</formula>
    </cfRule>
    <cfRule type="cellIs" dxfId="1464" priority="1634" operator="greaterThan">
      <formula>0</formula>
    </cfRule>
  </conditionalFormatting>
  <conditionalFormatting sqref="U80">
    <cfRule type="iconSet" priority="1638">
      <iconSet iconSet="3Symbols" showValue="0" reverse="1">
        <cfvo type="percent" val="0"/>
        <cfvo type="num" val="1"/>
        <cfvo type="num" val="1.05"/>
      </iconSet>
    </cfRule>
  </conditionalFormatting>
  <conditionalFormatting sqref="P80">
    <cfRule type="iconSet" priority="1639">
      <iconSet iconSet="3Symbols" showValue="0" reverse="1">
        <cfvo type="percent" val="0"/>
        <cfvo type="num" val="1"/>
        <cfvo type="num" val="1.05"/>
      </iconSet>
    </cfRule>
  </conditionalFormatting>
  <conditionalFormatting sqref="Q79">
    <cfRule type="iconSet" priority="1630">
      <iconSet iconSet="3Symbols" showValue="0" reverse="1">
        <cfvo type="percent" val="0"/>
        <cfvo type="num" val="1"/>
        <cfvo type="num" val="1.05"/>
      </iconSet>
    </cfRule>
  </conditionalFormatting>
  <conditionalFormatting sqref="N79">
    <cfRule type="cellIs" dxfId="1463" priority="1628" operator="lessThan">
      <formula>0</formula>
    </cfRule>
    <cfRule type="cellIs" dxfId="1462" priority="1629" operator="greaterThan">
      <formula>0</formula>
    </cfRule>
  </conditionalFormatting>
  <conditionalFormatting sqref="F79">
    <cfRule type="cellIs" dxfId="1461" priority="1626" operator="lessThan">
      <formula>0</formula>
    </cfRule>
    <cfRule type="cellIs" dxfId="1460" priority="1627" operator="greaterThan">
      <formula>0</formula>
    </cfRule>
  </conditionalFormatting>
  <conditionalFormatting sqref="U79">
    <cfRule type="iconSet" priority="1631">
      <iconSet iconSet="3Symbols" showValue="0" reverse="1">
        <cfvo type="percent" val="0"/>
        <cfvo type="num" val="1"/>
        <cfvo type="num" val="1.05"/>
      </iconSet>
    </cfRule>
  </conditionalFormatting>
  <conditionalFormatting sqref="P79">
    <cfRule type="iconSet" priority="1632">
      <iconSet iconSet="3Symbols" showValue="0" reverse="1">
        <cfvo type="percent" val="0"/>
        <cfvo type="num" val="1"/>
        <cfvo type="num" val="1.05"/>
      </iconSet>
    </cfRule>
  </conditionalFormatting>
  <conditionalFormatting sqref="Q77:Q78">
    <cfRule type="iconSet" priority="1623">
      <iconSet iconSet="3Symbols" showValue="0" reverse="1">
        <cfvo type="percent" val="0"/>
        <cfvo type="num" val="1"/>
        <cfvo type="num" val="1.05"/>
      </iconSet>
    </cfRule>
  </conditionalFormatting>
  <conditionalFormatting sqref="N77:N78">
    <cfRule type="cellIs" dxfId="1459" priority="1621" operator="lessThan">
      <formula>0</formula>
    </cfRule>
    <cfRule type="cellIs" dxfId="1458" priority="1622" operator="greaterThan">
      <formula>0</formula>
    </cfRule>
  </conditionalFormatting>
  <conditionalFormatting sqref="F77:F78">
    <cfRule type="cellIs" dxfId="1457" priority="1619" operator="lessThan">
      <formula>0</formula>
    </cfRule>
    <cfRule type="cellIs" dxfId="1456" priority="1620" operator="greaterThan">
      <formula>0</formula>
    </cfRule>
  </conditionalFormatting>
  <conditionalFormatting sqref="U77:U78">
    <cfRule type="iconSet" priority="1624">
      <iconSet iconSet="3Symbols" showValue="0" reverse="1">
        <cfvo type="percent" val="0"/>
        <cfvo type="num" val="1"/>
        <cfvo type="num" val="1.05"/>
      </iconSet>
    </cfRule>
  </conditionalFormatting>
  <conditionalFormatting sqref="P77:P78">
    <cfRule type="iconSet" priority="1625">
      <iconSet iconSet="3Symbols" showValue="0" reverse="1">
        <cfvo type="percent" val="0"/>
        <cfvo type="num" val="1"/>
        <cfvo type="num" val="1.05"/>
      </iconSet>
    </cfRule>
  </conditionalFormatting>
  <conditionalFormatting sqref="Q76">
    <cfRule type="iconSet" priority="1616">
      <iconSet iconSet="3Symbols" showValue="0" reverse="1">
        <cfvo type="percent" val="0"/>
        <cfvo type="num" val="1"/>
        <cfvo type="num" val="1.05"/>
      </iconSet>
    </cfRule>
  </conditionalFormatting>
  <conditionalFormatting sqref="N76">
    <cfRule type="cellIs" dxfId="1455" priority="1614" operator="lessThan">
      <formula>0</formula>
    </cfRule>
    <cfRule type="cellIs" dxfId="1454" priority="1615" operator="greaterThan">
      <formula>0</formula>
    </cfRule>
  </conditionalFormatting>
  <conditionalFormatting sqref="F76">
    <cfRule type="cellIs" dxfId="1453" priority="1612" operator="lessThan">
      <formula>0</formula>
    </cfRule>
    <cfRule type="cellIs" dxfId="1452" priority="1613" operator="greaterThan">
      <formula>0</formula>
    </cfRule>
  </conditionalFormatting>
  <conditionalFormatting sqref="U76">
    <cfRule type="iconSet" priority="1617">
      <iconSet iconSet="3Symbols" showValue="0" reverse="1">
        <cfvo type="percent" val="0"/>
        <cfvo type="num" val="1"/>
        <cfvo type="num" val="1.05"/>
      </iconSet>
    </cfRule>
  </conditionalFormatting>
  <conditionalFormatting sqref="P76">
    <cfRule type="iconSet" priority="1618">
      <iconSet iconSet="3Symbols" showValue="0" reverse="1">
        <cfvo type="percent" val="0"/>
        <cfvo type="num" val="1"/>
        <cfvo type="num" val="1.05"/>
      </iconSet>
    </cfRule>
  </conditionalFormatting>
  <conditionalFormatting sqref="Q75">
    <cfRule type="iconSet" priority="1609">
      <iconSet iconSet="3Symbols" showValue="0" reverse="1">
        <cfvo type="percent" val="0"/>
        <cfvo type="num" val="1"/>
        <cfvo type="num" val="1.05"/>
      </iconSet>
    </cfRule>
  </conditionalFormatting>
  <conditionalFormatting sqref="N75">
    <cfRule type="cellIs" dxfId="1451" priority="1607" operator="lessThan">
      <formula>0</formula>
    </cfRule>
    <cfRule type="cellIs" dxfId="1450" priority="1608" operator="greaterThan">
      <formula>0</formula>
    </cfRule>
  </conditionalFormatting>
  <conditionalFormatting sqref="F75">
    <cfRule type="cellIs" dxfId="1449" priority="1605" operator="lessThan">
      <formula>0</formula>
    </cfRule>
    <cfRule type="cellIs" dxfId="1448" priority="1606" operator="greaterThan">
      <formula>0</formula>
    </cfRule>
  </conditionalFormatting>
  <conditionalFormatting sqref="U75">
    <cfRule type="iconSet" priority="1610">
      <iconSet iconSet="3Symbols" showValue="0" reverse="1">
        <cfvo type="percent" val="0"/>
        <cfvo type="num" val="1"/>
        <cfvo type="num" val="1.05"/>
      </iconSet>
    </cfRule>
  </conditionalFormatting>
  <conditionalFormatting sqref="P75">
    <cfRule type="iconSet" priority="1611">
      <iconSet iconSet="3Symbols" showValue="0" reverse="1">
        <cfvo type="percent" val="0"/>
        <cfvo type="num" val="1"/>
        <cfvo type="num" val="1.05"/>
      </iconSet>
    </cfRule>
  </conditionalFormatting>
  <conditionalFormatting sqref="Q74">
    <cfRule type="iconSet" priority="1602">
      <iconSet iconSet="3Symbols" showValue="0" reverse="1">
        <cfvo type="percent" val="0"/>
        <cfvo type="num" val="1"/>
        <cfvo type="num" val="1.05"/>
      </iconSet>
    </cfRule>
  </conditionalFormatting>
  <conditionalFormatting sqref="N74">
    <cfRule type="cellIs" dxfId="1447" priority="1600" operator="lessThan">
      <formula>0</formula>
    </cfRule>
    <cfRule type="cellIs" dxfId="1446" priority="1601" operator="greaterThan">
      <formula>0</formula>
    </cfRule>
  </conditionalFormatting>
  <conditionalFormatting sqref="F74">
    <cfRule type="cellIs" dxfId="1445" priority="1598" operator="lessThan">
      <formula>0</formula>
    </cfRule>
    <cfRule type="cellIs" dxfId="1444" priority="1599" operator="greaterThan">
      <formula>0</formula>
    </cfRule>
  </conditionalFormatting>
  <conditionalFormatting sqref="U74">
    <cfRule type="iconSet" priority="1603">
      <iconSet iconSet="3Symbols" showValue="0" reverse="1">
        <cfvo type="percent" val="0"/>
        <cfvo type="num" val="1"/>
        <cfvo type="num" val="1.05"/>
      </iconSet>
    </cfRule>
  </conditionalFormatting>
  <conditionalFormatting sqref="P74">
    <cfRule type="iconSet" priority="1604">
      <iconSet iconSet="3Symbols" showValue="0" reverse="1">
        <cfvo type="percent" val="0"/>
        <cfvo type="num" val="1"/>
        <cfvo type="num" val="1.05"/>
      </iconSet>
    </cfRule>
  </conditionalFormatting>
  <conditionalFormatting sqref="Q73">
    <cfRule type="iconSet" priority="1595">
      <iconSet iconSet="3Symbols" showValue="0" reverse="1">
        <cfvo type="percent" val="0"/>
        <cfvo type="num" val="1"/>
        <cfvo type="num" val="1.05"/>
      </iconSet>
    </cfRule>
  </conditionalFormatting>
  <conditionalFormatting sqref="N73">
    <cfRule type="cellIs" dxfId="1443" priority="1593" operator="lessThan">
      <formula>0</formula>
    </cfRule>
    <cfRule type="cellIs" dxfId="1442" priority="1594" operator="greaterThan">
      <formula>0</formula>
    </cfRule>
  </conditionalFormatting>
  <conditionalFormatting sqref="F73">
    <cfRule type="cellIs" dxfId="1441" priority="1591" operator="lessThan">
      <formula>0</formula>
    </cfRule>
    <cfRule type="cellIs" dxfId="1440" priority="1592" operator="greaterThan">
      <formula>0</formula>
    </cfRule>
  </conditionalFormatting>
  <conditionalFormatting sqref="U73">
    <cfRule type="iconSet" priority="1596">
      <iconSet iconSet="3Symbols" showValue="0" reverse="1">
        <cfvo type="percent" val="0"/>
        <cfvo type="num" val="1"/>
        <cfvo type="num" val="1.05"/>
      </iconSet>
    </cfRule>
  </conditionalFormatting>
  <conditionalFormatting sqref="P73">
    <cfRule type="iconSet" priority="1597">
      <iconSet iconSet="3Symbols" showValue="0" reverse="1">
        <cfvo type="percent" val="0"/>
        <cfvo type="num" val="1"/>
        <cfvo type="num" val="1.05"/>
      </iconSet>
    </cfRule>
  </conditionalFormatting>
  <conditionalFormatting sqref="Q72">
    <cfRule type="iconSet" priority="1588">
      <iconSet iconSet="3Symbols" showValue="0" reverse="1">
        <cfvo type="percent" val="0"/>
        <cfvo type="num" val="1"/>
        <cfvo type="num" val="1.05"/>
      </iconSet>
    </cfRule>
  </conditionalFormatting>
  <conditionalFormatting sqref="N72">
    <cfRule type="cellIs" dxfId="1439" priority="1586" operator="lessThan">
      <formula>0</formula>
    </cfRule>
    <cfRule type="cellIs" dxfId="1438" priority="1587" operator="greaterThan">
      <formula>0</formula>
    </cfRule>
  </conditionalFormatting>
  <conditionalFormatting sqref="F72">
    <cfRule type="cellIs" dxfId="1437" priority="1584" operator="lessThan">
      <formula>0</formula>
    </cfRule>
    <cfRule type="cellIs" dxfId="1436" priority="1585" operator="greaterThan">
      <formula>0</formula>
    </cfRule>
  </conditionalFormatting>
  <conditionalFormatting sqref="U72">
    <cfRule type="iconSet" priority="1589">
      <iconSet iconSet="3Symbols" showValue="0" reverse="1">
        <cfvo type="percent" val="0"/>
        <cfvo type="num" val="1"/>
        <cfvo type="num" val="1.05"/>
      </iconSet>
    </cfRule>
  </conditionalFormatting>
  <conditionalFormatting sqref="P72">
    <cfRule type="iconSet" priority="1590">
      <iconSet iconSet="3Symbols" showValue="0" reverse="1">
        <cfvo type="percent" val="0"/>
        <cfvo type="num" val="1"/>
        <cfvo type="num" val="1.05"/>
      </iconSet>
    </cfRule>
  </conditionalFormatting>
  <conditionalFormatting sqref="Q71">
    <cfRule type="iconSet" priority="1581">
      <iconSet iconSet="3Symbols" showValue="0" reverse="1">
        <cfvo type="percent" val="0"/>
        <cfvo type="num" val="1"/>
        <cfvo type="num" val="1.05"/>
      </iconSet>
    </cfRule>
  </conditionalFormatting>
  <conditionalFormatting sqref="N71">
    <cfRule type="cellIs" dxfId="1435" priority="1579" operator="lessThan">
      <formula>0</formula>
    </cfRule>
    <cfRule type="cellIs" dxfId="1434" priority="1580" operator="greaterThan">
      <formula>0</formula>
    </cfRule>
  </conditionalFormatting>
  <conditionalFormatting sqref="F71">
    <cfRule type="cellIs" dxfId="1433" priority="1577" operator="lessThan">
      <formula>0</formula>
    </cfRule>
    <cfRule type="cellIs" dxfId="1432" priority="1578" operator="greaterThan">
      <formula>0</formula>
    </cfRule>
  </conditionalFormatting>
  <conditionalFormatting sqref="U71">
    <cfRule type="iconSet" priority="1582">
      <iconSet iconSet="3Symbols" showValue="0" reverse="1">
        <cfvo type="percent" val="0"/>
        <cfvo type="num" val="1"/>
        <cfvo type="num" val="1.05"/>
      </iconSet>
    </cfRule>
  </conditionalFormatting>
  <conditionalFormatting sqref="P71">
    <cfRule type="iconSet" priority="1583">
      <iconSet iconSet="3Symbols" showValue="0" reverse="1">
        <cfvo type="percent" val="0"/>
        <cfvo type="num" val="1"/>
        <cfvo type="num" val="1.05"/>
      </iconSet>
    </cfRule>
  </conditionalFormatting>
  <conditionalFormatting sqref="Q70">
    <cfRule type="iconSet" priority="1574">
      <iconSet iconSet="3Symbols" showValue="0" reverse="1">
        <cfvo type="percent" val="0"/>
        <cfvo type="num" val="1"/>
        <cfvo type="num" val="1.05"/>
      </iconSet>
    </cfRule>
  </conditionalFormatting>
  <conditionalFormatting sqref="N70">
    <cfRule type="cellIs" dxfId="1431" priority="1572" operator="lessThan">
      <formula>0</formula>
    </cfRule>
    <cfRule type="cellIs" dxfId="1430" priority="1573" operator="greaterThan">
      <formula>0</formula>
    </cfRule>
  </conditionalFormatting>
  <conditionalFormatting sqref="F70">
    <cfRule type="cellIs" dxfId="1429" priority="1570" operator="lessThan">
      <formula>0</formula>
    </cfRule>
    <cfRule type="cellIs" dxfId="1428" priority="1571" operator="greaterThan">
      <formula>0</formula>
    </cfRule>
  </conditionalFormatting>
  <conditionalFormatting sqref="U70">
    <cfRule type="iconSet" priority="1575">
      <iconSet iconSet="3Symbols" showValue="0" reverse="1">
        <cfvo type="percent" val="0"/>
        <cfvo type="num" val="1"/>
        <cfvo type="num" val="1.05"/>
      </iconSet>
    </cfRule>
  </conditionalFormatting>
  <conditionalFormatting sqref="P70">
    <cfRule type="iconSet" priority="1576">
      <iconSet iconSet="3Symbols" showValue="0" reverse="1">
        <cfvo type="percent" val="0"/>
        <cfvo type="num" val="1"/>
        <cfvo type="num" val="1.05"/>
      </iconSet>
    </cfRule>
  </conditionalFormatting>
  <conditionalFormatting sqref="Q68:Q69">
    <cfRule type="iconSet" priority="1567">
      <iconSet iconSet="3Symbols" showValue="0" reverse="1">
        <cfvo type="percent" val="0"/>
        <cfvo type="num" val="1"/>
        <cfvo type="num" val="1.05"/>
      </iconSet>
    </cfRule>
  </conditionalFormatting>
  <conditionalFormatting sqref="N68:N69">
    <cfRule type="cellIs" dxfId="1427" priority="1565" operator="lessThan">
      <formula>0</formula>
    </cfRule>
    <cfRule type="cellIs" dxfId="1426" priority="1566" operator="greaterThan">
      <formula>0</formula>
    </cfRule>
  </conditionalFormatting>
  <conditionalFormatting sqref="F68:F69">
    <cfRule type="cellIs" dxfId="1425" priority="1563" operator="lessThan">
      <formula>0</formula>
    </cfRule>
    <cfRule type="cellIs" dxfId="1424" priority="1564" operator="greaterThan">
      <formula>0</formula>
    </cfRule>
  </conditionalFormatting>
  <conditionalFormatting sqref="U68:U69">
    <cfRule type="iconSet" priority="1568">
      <iconSet iconSet="3Symbols" showValue="0" reverse="1">
        <cfvo type="percent" val="0"/>
        <cfvo type="num" val="1"/>
        <cfvo type="num" val="1.05"/>
      </iconSet>
    </cfRule>
  </conditionalFormatting>
  <conditionalFormatting sqref="P68:P69">
    <cfRule type="iconSet" priority="1569">
      <iconSet iconSet="3Symbols" showValue="0" reverse="1">
        <cfvo type="percent" val="0"/>
        <cfvo type="num" val="1"/>
        <cfvo type="num" val="1.05"/>
      </iconSet>
    </cfRule>
  </conditionalFormatting>
  <conditionalFormatting sqref="Q67">
    <cfRule type="iconSet" priority="1560">
      <iconSet iconSet="3Symbols" showValue="0" reverse="1">
        <cfvo type="percent" val="0"/>
        <cfvo type="num" val="1"/>
        <cfvo type="num" val="1.05"/>
      </iconSet>
    </cfRule>
  </conditionalFormatting>
  <conditionalFormatting sqref="N67">
    <cfRule type="cellIs" dxfId="1423" priority="1558" operator="lessThan">
      <formula>0</formula>
    </cfRule>
    <cfRule type="cellIs" dxfId="1422" priority="1559" operator="greaterThan">
      <formula>0</formula>
    </cfRule>
  </conditionalFormatting>
  <conditionalFormatting sqref="F67">
    <cfRule type="cellIs" dxfId="1421" priority="1556" operator="lessThan">
      <formula>0</formula>
    </cfRule>
    <cfRule type="cellIs" dxfId="1420" priority="1557" operator="greaterThan">
      <formula>0</formula>
    </cfRule>
  </conditionalFormatting>
  <conditionalFormatting sqref="U67">
    <cfRule type="iconSet" priority="1561">
      <iconSet iconSet="3Symbols" showValue="0" reverse="1">
        <cfvo type="percent" val="0"/>
        <cfvo type="num" val="1"/>
        <cfvo type="num" val="1.05"/>
      </iconSet>
    </cfRule>
  </conditionalFormatting>
  <conditionalFormatting sqref="P67">
    <cfRule type="iconSet" priority="1562">
      <iconSet iconSet="3Symbols" showValue="0" reverse="1">
        <cfvo type="percent" val="0"/>
        <cfvo type="num" val="1"/>
        <cfvo type="num" val="1.05"/>
      </iconSet>
    </cfRule>
  </conditionalFormatting>
  <conditionalFormatting sqref="Q66">
    <cfRule type="iconSet" priority="1553">
      <iconSet iconSet="3Symbols" showValue="0" reverse="1">
        <cfvo type="percent" val="0"/>
        <cfvo type="num" val="1"/>
        <cfvo type="num" val="1.05"/>
      </iconSet>
    </cfRule>
  </conditionalFormatting>
  <conditionalFormatting sqref="N66">
    <cfRule type="cellIs" dxfId="1419" priority="1551" operator="lessThan">
      <formula>0</formula>
    </cfRule>
    <cfRule type="cellIs" dxfId="1418" priority="1552" operator="greaterThan">
      <formula>0</formula>
    </cfRule>
  </conditionalFormatting>
  <conditionalFormatting sqref="F66">
    <cfRule type="cellIs" dxfId="1417" priority="1549" operator="lessThan">
      <formula>0</formula>
    </cfRule>
    <cfRule type="cellIs" dxfId="1416" priority="1550" operator="greaterThan">
      <formula>0</formula>
    </cfRule>
  </conditionalFormatting>
  <conditionalFormatting sqref="U66">
    <cfRule type="iconSet" priority="1554">
      <iconSet iconSet="3Symbols" showValue="0" reverse="1">
        <cfvo type="percent" val="0"/>
        <cfvo type="num" val="1"/>
        <cfvo type="num" val="1.05"/>
      </iconSet>
    </cfRule>
  </conditionalFormatting>
  <conditionalFormatting sqref="P66">
    <cfRule type="iconSet" priority="1555">
      <iconSet iconSet="3Symbols" showValue="0" reverse="1">
        <cfvo type="percent" val="0"/>
        <cfvo type="num" val="1"/>
        <cfvo type="num" val="1.05"/>
      </iconSet>
    </cfRule>
  </conditionalFormatting>
  <conditionalFormatting sqref="Q65">
    <cfRule type="iconSet" priority="1546">
      <iconSet iconSet="3Symbols" showValue="0" reverse="1">
        <cfvo type="percent" val="0"/>
        <cfvo type="num" val="1"/>
        <cfvo type="num" val="1.05"/>
      </iconSet>
    </cfRule>
  </conditionalFormatting>
  <conditionalFormatting sqref="N65">
    <cfRule type="cellIs" dxfId="1415" priority="1544" operator="lessThan">
      <formula>0</formula>
    </cfRule>
    <cfRule type="cellIs" dxfId="1414" priority="1545" operator="greaterThan">
      <formula>0</formula>
    </cfRule>
  </conditionalFormatting>
  <conditionalFormatting sqref="F65">
    <cfRule type="cellIs" dxfId="1413" priority="1542" operator="lessThan">
      <formula>0</formula>
    </cfRule>
    <cfRule type="cellIs" dxfId="1412" priority="1543" operator="greaterThan">
      <formula>0</formula>
    </cfRule>
  </conditionalFormatting>
  <conditionalFormatting sqref="U65">
    <cfRule type="iconSet" priority="1547">
      <iconSet iconSet="3Symbols" showValue="0" reverse="1">
        <cfvo type="percent" val="0"/>
        <cfvo type="num" val="1"/>
        <cfvo type="num" val="1.05"/>
      </iconSet>
    </cfRule>
  </conditionalFormatting>
  <conditionalFormatting sqref="P65">
    <cfRule type="iconSet" priority="1548">
      <iconSet iconSet="3Symbols" showValue="0" reverse="1">
        <cfvo type="percent" val="0"/>
        <cfvo type="num" val="1"/>
        <cfvo type="num" val="1.05"/>
      </iconSet>
    </cfRule>
  </conditionalFormatting>
  <conditionalFormatting sqref="Q64">
    <cfRule type="iconSet" priority="1539">
      <iconSet iconSet="3Symbols" showValue="0" reverse="1">
        <cfvo type="percent" val="0"/>
        <cfvo type="num" val="1"/>
        <cfvo type="num" val="1.05"/>
      </iconSet>
    </cfRule>
  </conditionalFormatting>
  <conditionalFormatting sqref="N64">
    <cfRule type="cellIs" dxfId="1411" priority="1537" operator="lessThan">
      <formula>0</formula>
    </cfRule>
    <cfRule type="cellIs" dxfId="1410" priority="1538" operator="greaterThan">
      <formula>0</formula>
    </cfRule>
  </conditionalFormatting>
  <conditionalFormatting sqref="F64">
    <cfRule type="cellIs" dxfId="1409" priority="1535" operator="lessThan">
      <formula>0</formula>
    </cfRule>
    <cfRule type="cellIs" dxfId="1408" priority="1536" operator="greaterThan">
      <formula>0</formula>
    </cfRule>
  </conditionalFormatting>
  <conditionalFormatting sqref="U64">
    <cfRule type="iconSet" priority="1540">
      <iconSet iconSet="3Symbols" showValue="0" reverse="1">
        <cfvo type="percent" val="0"/>
        <cfvo type="num" val="1"/>
        <cfvo type="num" val="1.05"/>
      </iconSet>
    </cfRule>
  </conditionalFormatting>
  <conditionalFormatting sqref="P64">
    <cfRule type="iconSet" priority="1541">
      <iconSet iconSet="3Symbols" showValue="0" reverse="1">
        <cfvo type="percent" val="0"/>
        <cfvo type="num" val="1"/>
        <cfvo type="num" val="1.05"/>
      </iconSet>
    </cfRule>
  </conditionalFormatting>
  <conditionalFormatting sqref="Q63">
    <cfRule type="iconSet" priority="1532">
      <iconSet iconSet="3Symbols" showValue="0" reverse="1">
        <cfvo type="percent" val="0"/>
        <cfvo type="num" val="1"/>
        <cfvo type="num" val="1.05"/>
      </iconSet>
    </cfRule>
  </conditionalFormatting>
  <conditionalFormatting sqref="N63">
    <cfRule type="cellIs" dxfId="1407" priority="1530" operator="lessThan">
      <formula>0</formula>
    </cfRule>
    <cfRule type="cellIs" dxfId="1406" priority="1531" operator="greaterThan">
      <formula>0</formula>
    </cfRule>
  </conditionalFormatting>
  <conditionalFormatting sqref="F63">
    <cfRule type="cellIs" dxfId="1405" priority="1528" operator="lessThan">
      <formula>0</formula>
    </cfRule>
    <cfRule type="cellIs" dxfId="1404" priority="1529" operator="greaterThan">
      <formula>0</formula>
    </cfRule>
  </conditionalFormatting>
  <conditionalFormatting sqref="U63">
    <cfRule type="iconSet" priority="1533">
      <iconSet iconSet="3Symbols" showValue="0" reverse="1">
        <cfvo type="percent" val="0"/>
        <cfvo type="num" val="1"/>
        <cfvo type="num" val="1.05"/>
      </iconSet>
    </cfRule>
  </conditionalFormatting>
  <conditionalFormatting sqref="P63">
    <cfRule type="iconSet" priority="1534">
      <iconSet iconSet="3Symbols" showValue="0" reverse="1">
        <cfvo type="percent" val="0"/>
        <cfvo type="num" val="1"/>
        <cfvo type="num" val="1.05"/>
      </iconSet>
    </cfRule>
  </conditionalFormatting>
  <conditionalFormatting sqref="Q62">
    <cfRule type="iconSet" priority="1525">
      <iconSet iconSet="3Symbols" showValue="0" reverse="1">
        <cfvo type="percent" val="0"/>
        <cfvo type="num" val="1"/>
        <cfvo type="num" val="1.05"/>
      </iconSet>
    </cfRule>
  </conditionalFormatting>
  <conditionalFormatting sqref="N62">
    <cfRule type="cellIs" dxfId="1403" priority="1523" operator="lessThan">
      <formula>0</formula>
    </cfRule>
    <cfRule type="cellIs" dxfId="1402" priority="1524" operator="greaterThan">
      <formula>0</formula>
    </cfRule>
  </conditionalFormatting>
  <conditionalFormatting sqref="F62">
    <cfRule type="cellIs" dxfId="1401" priority="1521" operator="lessThan">
      <formula>0</formula>
    </cfRule>
    <cfRule type="cellIs" dxfId="1400" priority="1522" operator="greaterThan">
      <formula>0</formula>
    </cfRule>
  </conditionalFormatting>
  <conditionalFormatting sqref="U62">
    <cfRule type="iconSet" priority="1526">
      <iconSet iconSet="3Symbols" showValue="0" reverse="1">
        <cfvo type="percent" val="0"/>
        <cfvo type="num" val="1"/>
        <cfvo type="num" val="1.05"/>
      </iconSet>
    </cfRule>
  </conditionalFormatting>
  <conditionalFormatting sqref="P62">
    <cfRule type="iconSet" priority="1527">
      <iconSet iconSet="3Symbols" showValue="0" reverse="1">
        <cfvo type="percent" val="0"/>
        <cfvo type="num" val="1"/>
        <cfvo type="num" val="1.05"/>
      </iconSet>
    </cfRule>
  </conditionalFormatting>
  <conditionalFormatting sqref="Q61">
    <cfRule type="iconSet" priority="1518">
      <iconSet iconSet="3Symbols" showValue="0" reverse="1">
        <cfvo type="percent" val="0"/>
        <cfvo type="num" val="1"/>
        <cfvo type="num" val="1.05"/>
      </iconSet>
    </cfRule>
  </conditionalFormatting>
  <conditionalFormatting sqref="N61">
    <cfRule type="cellIs" dxfId="1399" priority="1516" operator="lessThan">
      <formula>0</formula>
    </cfRule>
    <cfRule type="cellIs" dxfId="1398" priority="1517" operator="greaterThan">
      <formula>0</formula>
    </cfRule>
  </conditionalFormatting>
  <conditionalFormatting sqref="F61">
    <cfRule type="cellIs" dxfId="1397" priority="1514" operator="lessThan">
      <formula>0</formula>
    </cfRule>
    <cfRule type="cellIs" dxfId="1396" priority="1515" operator="greaterThan">
      <formula>0</formula>
    </cfRule>
  </conditionalFormatting>
  <conditionalFormatting sqref="U61">
    <cfRule type="iconSet" priority="1519">
      <iconSet iconSet="3Symbols" showValue="0" reverse="1">
        <cfvo type="percent" val="0"/>
        <cfvo type="num" val="1"/>
        <cfvo type="num" val="1.05"/>
      </iconSet>
    </cfRule>
  </conditionalFormatting>
  <conditionalFormatting sqref="P61">
    <cfRule type="iconSet" priority="1520">
      <iconSet iconSet="3Symbols" showValue="0" reverse="1">
        <cfvo type="percent" val="0"/>
        <cfvo type="num" val="1"/>
        <cfvo type="num" val="1.05"/>
      </iconSet>
    </cfRule>
  </conditionalFormatting>
  <conditionalFormatting sqref="Q59:Q60">
    <cfRule type="iconSet" priority="1511">
      <iconSet iconSet="3Symbols" showValue="0" reverse="1">
        <cfvo type="percent" val="0"/>
        <cfvo type="num" val="1"/>
        <cfvo type="num" val="1.05"/>
      </iconSet>
    </cfRule>
  </conditionalFormatting>
  <conditionalFormatting sqref="N59:N60">
    <cfRule type="cellIs" dxfId="1395" priority="1509" operator="lessThan">
      <formula>0</formula>
    </cfRule>
    <cfRule type="cellIs" dxfId="1394" priority="1510" operator="greaterThan">
      <formula>0</formula>
    </cfRule>
  </conditionalFormatting>
  <conditionalFormatting sqref="F59:F60">
    <cfRule type="cellIs" dxfId="1393" priority="1507" operator="lessThan">
      <formula>0</formula>
    </cfRule>
    <cfRule type="cellIs" dxfId="1392" priority="1508" operator="greaterThan">
      <formula>0</formula>
    </cfRule>
  </conditionalFormatting>
  <conditionalFormatting sqref="U59:U60">
    <cfRule type="iconSet" priority="1512">
      <iconSet iconSet="3Symbols" showValue="0" reverse="1">
        <cfvo type="percent" val="0"/>
        <cfvo type="num" val="1"/>
        <cfvo type="num" val="1.05"/>
      </iconSet>
    </cfRule>
  </conditionalFormatting>
  <conditionalFormatting sqref="P59:P60">
    <cfRule type="iconSet" priority="1513">
      <iconSet iconSet="3Symbols" showValue="0" reverse="1">
        <cfvo type="percent" val="0"/>
        <cfvo type="num" val="1"/>
        <cfvo type="num" val="1.05"/>
      </iconSet>
    </cfRule>
  </conditionalFormatting>
  <conditionalFormatting sqref="Q58">
    <cfRule type="iconSet" priority="1504">
      <iconSet iconSet="3Symbols" showValue="0" reverse="1">
        <cfvo type="percent" val="0"/>
        <cfvo type="num" val="1"/>
        <cfvo type="num" val="1.05"/>
      </iconSet>
    </cfRule>
  </conditionalFormatting>
  <conditionalFormatting sqref="N58">
    <cfRule type="cellIs" dxfId="1391" priority="1502" operator="lessThan">
      <formula>0</formula>
    </cfRule>
    <cfRule type="cellIs" dxfId="1390" priority="1503" operator="greaterThan">
      <formula>0</formula>
    </cfRule>
  </conditionalFormatting>
  <conditionalFormatting sqref="F58">
    <cfRule type="cellIs" dxfId="1389" priority="1500" operator="lessThan">
      <formula>0</formula>
    </cfRule>
    <cfRule type="cellIs" dxfId="1388" priority="1501" operator="greaterThan">
      <formula>0</formula>
    </cfRule>
  </conditionalFormatting>
  <conditionalFormatting sqref="U58">
    <cfRule type="iconSet" priority="1505">
      <iconSet iconSet="3Symbols" showValue="0" reverse="1">
        <cfvo type="percent" val="0"/>
        <cfvo type="num" val="1"/>
        <cfvo type="num" val="1.05"/>
      </iconSet>
    </cfRule>
  </conditionalFormatting>
  <conditionalFormatting sqref="P58">
    <cfRule type="iconSet" priority="1506">
      <iconSet iconSet="3Symbols" showValue="0" reverse="1">
        <cfvo type="percent" val="0"/>
        <cfvo type="num" val="1"/>
        <cfvo type="num" val="1.05"/>
      </iconSet>
    </cfRule>
  </conditionalFormatting>
  <conditionalFormatting sqref="Q57">
    <cfRule type="iconSet" priority="1497">
      <iconSet iconSet="3Symbols" showValue="0" reverse="1">
        <cfvo type="percent" val="0"/>
        <cfvo type="num" val="1"/>
        <cfvo type="num" val="1.05"/>
      </iconSet>
    </cfRule>
  </conditionalFormatting>
  <conditionalFormatting sqref="N57">
    <cfRule type="cellIs" dxfId="1387" priority="1495" operator="lessThan">
      <formula>0</formula>
    </cfRule>
    <cfRule type="cellIs" dxfId="1386" priority="1496" operator="greaterThan">
      <formula>0</formula>
    </cfRule>
  </conditionalFormatting>
  <conditionalFormatting sqref="F57">
    <cfRule type="cellIs" dxfId="1385" priority="1493" operator="lessThan">
      <formula>0</formula>
    </cfRule>
    <cfRule type="cellIs" dxfId="1384" priority="1494" operator="greaterThan">
      <formula>0</formula>
    </cfRule>
  </conditionalFormatting>
  <conditionalFormatting sqref="U57">
    <cfRule type="iconSet" priority="1498">
      <iconSet iconSet="3Symbols" showValue="0" reverse="1">
        <cfvo type="percent" val="0"/>
        <cfvo type="num" val="1"/>
        <cfvo type="num" val="1.05"/>
      </iconSet>
    </cfRule>
  </conditionalFormatting>
  <conditionalFormatting sqref="P57">
    <cfRule type="iconSet" priority="1499">
      <iconSet iconSet="3Symbols" showValue="0" reverse="1">
        <cfvo type="percent" val="0"/>
        <cfvo type="num" val="1"/>
        <cfvo type="num" val="1.05"/>
      </iconSet>
    </cfRule>
  </conditionalFormatting>
  <conditionalFormatting sqref="Q56">
    <cfRule type="iconSet" priority="1490">
      <iconSet iconSet="3Symbols" showValue="0" reverse="1">
        <cfvo type="percent" val="0"/>
        <cfvo type="num" val="1"/>
        <cfvo type="num" val="1.05"/>
      </iconSet>
    </cfRule>
  </conditionalFormatting>
  <conditionalFormatting sqref="N56">
    <cfRule type="cellIs" dxfId="1383" priority="1488" operator="lessThan">
      <formula>0</formula>
    </cfRule>
    <cfRule type="cellIs" dxfId="1382" priority="1489" operator="greaterThan">
      <formula>0</formula>
    </cfRule>
  </conditionalFormatting>
  <conditionalFormatting sqref="F56">
    <cfRule type="cellIs" dxfId="1381" priority="1486" operator="lessThan">
      <formula>0</formula>
    </cfRule>
    <cfRule type="cellIs" dxfId="1380" priority="1487" operator="greaterThan">
      <formula>0</formula>
    </cfRule>
  </conditionalFormatting>
  <conditionalFormatting sqref="U56">
    <cfRule type="iconSet" priority="1491">
      <iconSet iconSet="3Symbols" showValue="0" reverse="1">
        <cfvo type="percent" val="0"/>
        <cfvo type="num" val="1"/>
        <cfvo type="num" val="1.05"/>
      </iconSet>
    </cfRule>
  </conditionalFormatting>
  <conditionalFormatting sqref="P56">
    <cfRule type="iconSet" priority="1492">
      <iconSet iconSet="3Symbols" showValue="0" reverse="1">
        <cfvo type="percent" val="0"/>
        <cfvo type="num" val="1"/>
        <cfvo type="num" val="1.05"/>
      </iconSet>
    </cfRule>
  </conditionalFormatting>
  <conditionalFormatting sqref="Q55">
    <cfRule type="iconSet" priority="1483">
      <iconSet iconSet="3Symbols" showValue="0" reverse="1">
        <cfvo type="percent" val="0"/>
        <cfvo type="num" val="1"/>
        <cfvo type="num" val="1.05"/>
      </iconSet>
    </cfRule>
  </conditionalFormatting>
  <conditionalFormatting sqref="N55">
    <cfRule type="cellIs" dxfId="1379" priority="1481" operator="lessThan">
      <formula>0</formula>
    </cfRule>
    <cfRule type="cellIs" dxfId="1378" priority="1482" operator="greaterThan">
      <formula>0</formula>
    </cfRule>
  </conditionalFormatting>
  <conditionalFormatting sqref="F55">
    <cfRule type="cellIs" dxfId="1377" priority="1479" operator="lessThan">
      <formula>0</formula>
    </cfRule>
    <cfRule type="cellIs" dxfId="1376" priority="1480" operator="greaterThan">
      <formula>0</formula>
    </cfRule>
  </conditionalFormatting>
  <conditionalFormatting sqref="U55">
    <cfRule type="iconSet" priority="1484">
      <iconSet iconSet="3Symbols" showValue="0" reverse="1">
        <cfvo type="percent" val="0"/>
        <cfvo type="num" val="1"/>
        <cfvo type="num" val="1.05"/>
      </iconSet>
    </cfRule>
  </conditionalFormatting>
  <conditionalFormatting sqref="P55">
    <cfRule type="iconSet" priority="1485">
      <iconSet iconSet="3Symbols" showValue="0" reverse="1">
        <cfvo type="percent" val="0"/>
        <cfvo type="num" val="1"/>
        <cfvo type="num" val="1.05"/>
      </iconSet>
    </cfRule>
  </conditionalFormatting>
  <conditionalFormatting sqref="Q54">
    <cfRule type="iconSet" priority="1476">
      <iconSet iconSet="3Symbols" showValue="0" reverse="1">
        <cfvo type="percent" val="0"/>
        <cfvo type="num" val="1"/>
        <cfvo type="num" val="1.05"/>
      </iconSet>
    </cfRule>
  </conditionalFormatting>
  <conditionalFormatting sqref="N54">
    <cfRule type="cellIs" dxfId="1375" priority="1474" operator="lessThan">
      <formula>0</formula>
    </cfRule>
    <cfRule type="cellIs" dxfId="1374" priority="1475" operator="greaterThan">
      <formula>0</formula>
    </cfRule>
  </conditionalFormatting>
  <conditionalFormatting sqref="F54">
    <cfRule type="cellIs" dxfId="1373" priority="1472" operator="lessThan">
      <formula>0</formula>
    </cfRule>
    <cfRule type="cellIs" dxfId="1372" priority="1473" operator="greaterThan">
      <formula>0</formula>
    </cfRule>
  </conditionalFormatting>
  <conditionalFormatting sqref="U54">
    <cfRule type="iconSet" priority="1477">
      <iconSet iconSet="3Symbols" showValue="0" reverse="1">
        <cfvo type="percent" val="0"/>
        <cfvo type="num" val="1"/>
        <cfvo type="num" val="1.05"/>
      </iconSet>
    </cfRule>
  </conditionalFormatting>
  <conditionalFormatting sqref="P54">
    <cfRule type="iconSet" priority="1478">
      <iconSet iconSet="3Symbols" showValue="0" reverse="1">
        <cfvo type="percent" val="0"/>
        <cfvo type="num" val="1"/>
        <cfvo type="num" val="1.05"/>
      </iconSet>
    </cfRule>
  </conditionalFormatting>
  <conditionalFormatting sqref="Q53">
    <cfRule type="iconSet" priority="1469">
      <iconSet iconSet="3Symbols" showValue="0" reverse="1">
        <cfvo type="percent" val="0"/>
        <cfvo type="num" val="1"/>
        <cfvo type="num" val="1.05"/>
      </iconSet>
    </cfRule>
  </conditionalFormatting>
  <conditionalFormatting sqref="N53">
    <cfRule type="cellIs" dxfId="1371" priority="1467" operator="lessThan">
      <formula>0</formula>
    </cfRule>
    <cfRule type="cellIs" dxfId="1370" priority="1468" operator="greaterThan">
      <formula>0</formula>
    </cfRule>
  </conditionalFormatting>
  <conditionalFormatting sqref="F53">
    <cfRule type="cellIs" dxfId="1369" priority="1465" operator="lessThan">
      <formula>0</formula>
    </cfRule>
    <cfRule type="cellIs" dxfId="1368" priority="1466" operator="greaterThan">
      <formula>0</formula>
    </cfRule>
  </conditionalFormatting>
  <conditionalFormatting sqref="U53">
    <cfRule type="iconSet" priority="1470">
      <iconSet iconSet="3Symbols" showValue="0" reverse="1">
        <cfvo type="percent" val="0"/>
        <cfvo type="num" val="1"/>
        <cfvo type="num" val="1.05"/>
      </iconSet>
    </cfRule>
  </conditionalFormatting>
  <conditionalFormatting sqref="P53">
    <cfRule type="iconSet" priority="1471">
      <iconSet iconSet="3Symbols" showValue="0" reverse="1">
        <cfvo type="percent" val="0"/>
        <cfvo type="num" val="1"/>
        <cfvo type="num" val="1.05"/>
      </iconSet>
    </cfRule>
  </conditionalFormatting>
  <conditionalFormatting sqref="Q52">
    <cfRule type="iconSet" priority="1462">
      <iconSet iconSet="3Symbols" showValue="0" reverse="1">
        <cfvo type="percent" val="0"/>
        <cfvo type="num" val="1"/>
        <cfvo type="num" val="1.05"/>
      </iconSet>
    </cfRule>
  </conditionalFormatting>
  <conditionalFormatting sqref="N52">
    <cfRule type="cellIs" dxfId="1367" priority="1460" operator="lessThan">
      <formula>0</formula>
    </cfRule>
    <cfRule type="cellIs" dxfId="1366" priority="1461" operator="greaterThan">
      <formula>0</formula>
    </cfRule>
  </conditionalFormatting>
  <conditionalFormatting sqref="F52">
    <cfRule type="cellIs" dxfId="1365" priority="1458" operator="lessThan">
      <formula>0</formula>
    </cfRule>
    <cfRule type="cellIs" dxfId="1364" priority="1459" operator="greaterThan">
      <formula>0</formula>
    </cfRule>
  </conditionalFormatting>
  <conditionalFormatting sqref="U52">
    <cfRule type="iconSet" priority="1463">
      <iconSet iconSet="3Symbols" showValue="0" reverse="1">
        <cfvo type="percent" val="0"/>
        <cfvo type="num" val="1"/>
        <cfvo type="num" val="1.05"/>
      </iconSet>
    </cfRule>
  </conditionalFormatting>
  <conditionalFormatting sqref="P52">
    <cfRule type="iconSet" priority="1464">
      <iconSet iconSet="3Symbols" showValue="0" reverse="1">
        <cfvo type="percent" val="0"/>
        <cfvo type="num" val="1"/>
        <cfvo type="num" val="1.05"/>
      </iconSet>
    </cfRule>
  </conditionalFormatting>
  <conditionalFormatting sqref="Q50:Q51">
    <cfRule type="iconSet" priority="1455">
      <iconSet iconSet="3Symbols" showValue="0" reverse="1">
        <cfvo type="percent" val="0"/>
        <cfvo type="num" val="1"/>
        <cfvo type="num" val="1.05"/>
      </iconSet>
    </cfRule>
  </conditionalFormatting>
  <conditionalFormatting sqref="N50:N51">
    <cfRule type="cellIs" dxfId="1363" priority="1453" operator="lessThan">
      <formula>0</formula>
    </cfRule>
    <cfRule type="cellIs" dxfId="1362" priority="1454" operator="greaterThan">
      <formula>0</formula>
    </cfRule>
  </conditionalFormatting>
  <conditionalFormatting sqref="F50:F51">
    <cfRule type="cellIs" dxfId="1361" priority="1451" operator="lessThan">
      <formula>0</formula>
    </cfRule>
    <cfRule type="cellIs" dxfId="1360" priority="1452" operator="greaterThan">
      <formula>0</formula>
    </cfRule>
  </conditionalFormatting>
  <conditionalFormatting sqref="U50:U51">
    <cfRule type="iconSet" priority="1456">
      <iconSet iconSet="3Symbols" showValue="0" reverse="1">
        <cfvo type="percent" val="0"/>
        <cfvo type="num" val="1"/>
        <cfvo type="num" val="1.05"/>
      </iconSet>
    </cfRule>
  </conditionalFormatting>
  <conditionalFormatting sqref="P50:P51">
    <cfRule type="iconSet" priority="1457">
      <iconSet iconSet="3Symbols" showValue="0" reverse="1">
        <cfvo type="percent" val="0"/>
        <cfvo type="num" val="1"/>
        <cfvo type="num" val="1.05"/>
      </iconSet>
    </cfRule>
  </conditionalFormatting>
  <conditionalFormatting sqref="Q49">
    <cfRule type="iconSet" priority="1448">
      <iconSet iconSet="3Symbols" showValue="0" reverse="1">
        <cfvo type="percent" val="0"/>
        <cfvo type="num" val="1"/>
        <cfvo type="num" val="1.05"/>
      </iconSet>
    </cfRule>
  </conditionalFormatting>
  <conditionalFormatting sqref="N49">
    <cfRule type="cellIs" dxfId="1359" priority="1446" operator="lessThan">
      <formula>0</formula>
    </cfRule>
    <cfRule type="cellIs" dxfId="1358" priority="1447" operator="greaterThan">
      <formula>0</formula>
    </cfRule>
  </conditionalFormatting>
  <conditionalFormatting sqref="F49">
    <cfRule type="cellIs" dxfId="1357" priority="1444" operator="lessThan">
      <formula>0</formula>
    </cfRule>
    <cfRule type="cellIs" dxfId="1356" priority="1445" operator="greaterThan">
      <formula>0</formula>
    </cfRule>
  </conditionalFormatting>
  <conditionalFormatting sqref="U49">
    <cfRule type="iconSet" priority="1449">
      <iconSet iconSet="3Symbols" showValue="0" reverse="1">
        <cfvo type="percent" val="0"/>
        <cfvo type="num" val="1"/>
        <cfvo type="num" val="1.05"/>
      </iconSet>
    </cfRule>
  </conditionalFormatting>
  <conditionalFormatting sqref="P49">
    <cfRule type="iconSet" priority="1450">
      <iconSet iconSet="3Symbols" showValue="0" reverse="1">
        <cfvo type="percent" val="0"/>
        <cfvo type="num" val="1"/>
        <cfvo type="num" val="1.05"/>
      </iconSet>
    </cfRule>
  </conditionalFormatting>
  <conditionalFormatting sqref="Q48">
    <cfRule type="iconSet" priority="1441">
      <iconSet iconSet="3Symbols" showValue="0" reverse="1">
        <cfvo type="percent" val="0"/>
        <cfvo type="num" val="1"/>
        <cfvo type="num" val="1.05"/>
      </iconSet>
    </cfRule>
  </conditionalFormatting>
  <conditionalFormatting sqref="N48">
    <cfRule type="cellIs" dxfId="1355" priority="1439" operator="lessThan">
      <formula>0</formula>
    </cfRule>
    <cfRule type="cellIs" dxfId="1354" priority="1440" operator="greaterThan">
      <formula>0</formula>
    </cfRule>
  </conditionalFormatting>
  <conditionalFormatting sqref="F48">
    <cfRule type="cellIs" dxfId="1353" priority="1437" operator="lessThan">
      <formula>0</formula>
    </cfRule>
    <cfRule type="cellIs" dxfId="1352" priority="1438" operator="greaterThan">
      <formula>0</formula>
    </cfRule>
  </conditionalFormatting>
  <conditionalFormatting sqref="U48">
    <cfRule type="iconSet" priority="1442">
      <iconSet iconSet="3Symbols" showValue="0" reverse="1">
        <cfvo type="percent" val="0"/>
        <cfvo type="num" val="1"/>
        <cfvo type="num" val="1.05"/>
      </iconSet>
    </cfRule>
  </conditionalFormatting>
  <conditionalFormatting sqref="P48">
    <cfRule type="iconSet" priority="1443">
      <iconSet iconSet="3Symbols" showValue="0" reverse="1">
        <cfvo type="percent" val="0"/>
        <cfvo type="num" val="1"/>
        <cfvo type="num" val="1.05"/>
      </iconSet>
    </cfRule>
  </conditionalFormatting>
  <conditionalFormatting sqref="Q47">
    <cfRule type="iconSet" priority="1434">
      <iconSet iconSet="3Symbols" showValue="0" reverse="1">
        <cfvo type="percent" val="0"/>
        <cfvo type="num" val="1"/>
        <cfvo type="num" val="1.05"/>
      </iconSet>
    </cfRule>
  </conditionalFormatting>
  <conditionalFormatting sqref="N47">
    <cfRule type="cellIs" dxfId="1351" priority="1432" operator="lessThan">
      <formula>0</formula>
    </cfRule>
    <cfRule type="cellIs" dxfId="1350" priority="1433" operator="greaterThan">
      <formula>0</formula>
    </cfRule>
  </conditionalFormatting>
  <conditionalFormatting sqref="F47">
    <cfRule type="cellIs" dxfId="1349" priority="1430" operator="lessThan">
      <formula>0</formula>
    </cfRule>
    <cfRule type="cellIs" dxfId="1348" priority="1431" operator="greaterThan">
      <formula>0</formula>
    </cfRule>
  </conditionalFormatting>
  <conditionalFormatting sqref="U47">
    <cfRule type="iconSet" priority="1435">
      <iconSet iconSet="3Symbols" showValue="0" reverse="1">
        <cfvo type="percent" val="0"/>
        <cfvo type="num" val="1"/>
        <cfvo type="num" val="1.05"/>
      </iconSet>
    </cfRule>
  </conditionalFormatting>
  <conditionalFormatting sqref="P47">
    <cfRule type="iconSet" priority="1436">
      <iconSet iconSet="3Symbols" showValue="0" reverse="1">
        <cfvo type="percent" val="0"/>
        <cfvo type="num" val="1"/>
        <cfvo type="num" val="1.05"/>
      </iconSet>
    </cfRule>
  </conditionalFormatting>
  <conditionalFormatting sqref="Q46">
    <cfRule type="iconSet" priority="1427">
      <iconSet iconSet="3Symbols" showValue="0" reverse="1">
        <cfvo type="percent" val="0"/>
        <cfvo type="num" val="1"/>
        <cfvo type="num" val="1.05"/>
      </iconSet>
    </cfRule>
  </conditionalFormatting>
  <conditionalFormatting sqref="N46">
    <cfRule type="cellIs" dxfId="1347" priority="1425" operator="lessThan">
      <formula>0</formula>
    </cfRule>
    <cfRule type="cellIs" dxfId="1346" priority="1426" operator="greaterThan">
      <formula>0</formula>
    </cfRule>
  </conditionalFormatting>
  <conditionalFormatting sqref="F46">
    <cfRule type="cellIs" dxfId="1345" priority="1423" operator="lessThan">
      <formula>0</formula>
    </cfRule>
    <cfRule type="cellIs" dxfId="1344" priority="1424" operator="greaterThan">
      <formula>0</formula>
    </cfRule>
  </conditionalFormatting>
  <conditionalFormatting sqref="U46">
    <cfRule type="iconSet" priority="1428">
      <iconSet iconSet="3Symbols" showValue="0" reverse="1">
        <cfvo type="percent" val="0"/>
        <cfvo type="num" val="1"/>
        <cfvo type="num" val="1.05"/>
      </iconSet>
    </cfRule>
  </conditionalFormatting>
  <conditionalFormatting sqref="P46">
    <cfRule type="iconSet" priority="1429">
      <iconSet iconSet="3Symbols" showValue="0" reverse="1">
        <cfvo type="percent" val="0"/>
        <cfvo type="num" val="1"/>
        <cfvo type="num" val="1.05"/>
      </iconSet>
    </cfRule>
  </conditionalFormatting>
  <conditionalFormatting sqref="Q45">
    <cfRule type="iconSet" priority="1420">
      <iconSet iconSet="3Symbols" showValue="0" reverse="1">
        <cfvo type="percent" val="0"/>
        <cfvo type="num" val="1"/>
        <cfvo type="num" val="1.05"/>
      </iconSet>
    </cfRule>
  </conditionalFormatting>
  <conditionalFormatting sqref="N45">
    <cfRule type="cellIs" dxfId="1343" priority="1418" operator="lessThan">
      <formula>0</formula>
    </cfRule>
    <cfRule type="cellIs" dxfId="1342" priority="1419" operator="greaterThan">
      <formula>0</formula>
    </cfRule>
  </conditionalFormatting>
  <conditionalFormatting sqref="F45">
    <cfRule type="cellIs" dxfId="1341" priority="1416" operator="lessThan">
      <formula>0</formula>
    </cfRule>
    <cfRule type="cellIs" dxfId="1340" priority="1417" operator="greaterThan">
      <formula>0</formula>
    </cfRule>
  </conditionalFormatting>
  <conditionalFormatting sqref="U45">
    <cfRule type="iconSet" priority="1421">
      <iconSet iconSet="3Symbols" showValue="0" reverse="1">
        <cfvo type="percent" val="0"/>
        <cfvo type="num" val="1"/>
        <cfvo type="num" val="1.05"/>
      </iconSet>
    </cfRule>
  </conditionalFormatting>
  <conditionalFormatting sqref="P45">
    <cfRule type="iconSet" priority="1422">
      <iconSet iconSet="3Symbols" showValue="0" reverse="1">
        <cfvo type="percent" val="0"/>
        <cfvo type="num" val="1"/>
        <cfvo type="num" val="1.05"/>
      </iconSet>
    </cfRule>
  </conditionalFormatting>
  <conditionalFormatting sqref="Q44">
    <cfRule type="iconSet" priority="1413">
      <iconSet iconSet="3Symbols" showValue="0" reverse="1">
        <cfvo type="percent" val="0"/>
        <cfvo type="num" val="1"/>
        <cfvo type="num" val="1.05"/>
      </iconSet>
    </cfRule>
  </conditionalFormatting>
  <conditionalFormatting sqref="N44">
    <cfRule type="cellIs" dxfId="1339" priority="1411" operator="lessThan">
      <formula>0</formula>
    </cfRule>
    <cfRule type="cellIs" dxfId="1338" priority="1412" operator="greaterThan">
      <formula>0</formula>
    </cfRule>
  </conditionalFormatting>
  <conditionalFormatting sqref="F44">
    <cfRule type="cellIs" dxfId="1337" priority="1409" operator="lessThan">
      <formula>0</formula>
    </cfRule>
    <cfRule type="cellIs" dxfId="1336" priority="1410" operator="greaterThan">
      <formula>0</formula>
    </cfRule>
  </conditionalFormatting>
  <conditionalFormatting sqref="U44">
    <cfRule type="iconSet" priority="1414">
      <iconSet iconSet="3Symbols" showValue="0" reverse="1">
        <cfvo type="percent" val="0"/>
        <cfvo type="num" val="1"/>
        <cfvo type="num" val="1.05"/>
      </iconSet>
    </cfRule>
  </conditionalFormatting>
  <conditionalFormatting sqref="P44">
    <cfRule type="iconSet" priority="1415">
      <iconSet iconSet="3Symbols" showValue="0" reverse="1">
        <cfvo type="percent" val="0"/>
        <cfvo type="num" val="1"/>
        <cfvo type="num" val="1.05"/>
      </iconSet>
    </cfRule>
  </conditionalFormatting>
  <conditionalFormatting sqref="Q43">
    <cfRule type="iconSet" priority="1406">
      <iconSet iconSet="3Symbols" showValue="0" reverse="1">
        <cfvo type="percent" val="0"/>
        <cfvo type="num" val="1"/>
        <cfvo type="num" val="1.05"/>
      </iconSet>
    </cfRule>
  </conditionalFormatting>
  <conditionalFormatting sqref="N43">
    <cfRule type="cellIs" dxfId="1335" priority="1404" operator="lessThan">
      <formula>0</formula>
    </cfRule>
    <cfRule type="cellIs" dxfId="1334" priority="1405" operator="greaterThan">
      <formula>0</formula>
    </cfRule>
  </conditionalFormatting>
  <conditionalFormatting sqref="F43">
    <cfRule type="cellIs" dxfId="1333" priority="1402" operator="lessThan">
      <formula>0</formula>
    </cfRule>
    <cfRule type="cellIs" dxfId="1332" priority="1403" operator="greaterThan">
      <formula>0</formula>
    </cfRule>
  </conditionalFormatting>
  <conditionalFormatting sqref="U43">
    <cfRule type="iconSet" priority="1407">
      <iconSet iconSet="3Symbols" showValue="0" reverse="1">
        <cfvo type="percent" val="0"/>
        <cfvo type="num" val="1"/>
        <cfvo type="num" val="1.05"/>
      </iconSet>
    </cfRule>
  </conditionalFormatting>
  <conditionalFormatting sqref="P43">
    <cfRule type="iconSet" priority="1408">
      <iconSet iconSet="3Symbols" showValue="0" reverse="1">
        <cfvo type="percent" val="0"/>
        <cfvo type="num" val="1"/>
        <cfvo type="num" val="1.05"/>
      </iconSet>
    </cfRule>
  </conditionalFormatting>
  <conditionalFormatting sqref="Q41:Q42">
    <cfRule type="iconSet" priority="1399">
      <iconSet iconSet="3Symbols" showValue="0" reverse="1">
        <cfvo type="percent" val="0"/>
        <cfvo type="num" val="1"/>
        <cfvo type="num" val="1.05"/>
      </iconSet>
    </cfRule>
  </conditionalFormatting>
  <conditionalFormatting sqref="N41:N42">
    <cfRule type="cellIs" dxfId="1331" priority="1397" operator="lessThan">
      <formula>0</formula>
    </cfRule>
    <cfRule type="cellIs" dxfId="1330" priority="1398" operator="greaterThan">
      <formula>0</formula>
    </cfRule>
  </conditionalFormatting>
  <conditionalFormatting sqref="F41:F42">
    <cfRule type="cellIs" dxfId="1329" priority="1395" operator="lessThan">
      <formula>0</formula>
    </cfRule>
    <cfRule type="cellIs" dxfId="1328" priority="1396" operator="greaterThan">
      <formula>0</formula>
    </cfRule>
  </conditionalFormatting>
  <conditionalFormatting sqref="U41:U42">
    <cfRule type="iconSet" priority="1400">
      <iconSet iconSet="3Symbols" showValue="0" reverse="1">
        <cfvo type="percent" val="0"/>
        <cfvo type="num" val="1"/>
        <cfvo type="num" val="1.05"/>
      </iconSet>
    </cfRule>
  </conditionalFormatting>
  <conditionalFormatting sqref="P41:P42">
    <cfRule type="iconSet" priority="1401">
      <iconSet iconSet="3Symbols" showValue="0" reverse="1">
        <cfvo type="percent" val="0"/>
        <cfvo type="num" val="1"/>
        <cfvo type="num" val="1.05"/>
      </iconSet>
    </cfRule>
  </conditionalFormatting>
  <conditionalFormatting sqref="Q40">
    <cfRule type="iconSet" priority="1392">
      <iconSet iconSet="3Symbols" showValue="0" reverse="1">
        <cfvo type="percent" val="0"/>
        <cfvo type="num" val="1"/>
        <cfvo type="num" val="1.05"/>
      </iconSet>
    </cfRule>
  </conditionalFormatting>
  <conditionalFormatting sqref="N40">
    <cfRule type="cellIs" dxfId="1327" priority="1390" operator="lessThan">
      <formula>0</formula>
    </cfRule>
    <cfRule type="cellIs" dxfId="1326" priority="1391" operator="greaterThan">
      <formula>0</formula>
    </cfRule>
  </conditionalFormatting>
  <conditionalFormatting sqref="F40">
    <cfRule type="cellIs" dxfId="1325" priority="1388" operator="lessThan">
      <formula>0</formula>
    </cfRule>
    <cfRule type="cellIs" dxfId="1324" priority="1389" operator="greaterThan">
      <formula>0</formula>
    </cfRule>
  </conditionalFormatting>
  <conditionalFormatting sqref="U40">
    <cfRule type="iconSet" priority="1393">
      <iconSet iconSet="3Symbols" showValue="0" reverse="1">
        <cfvo type="percent" val="0"/>
        <cfvo type="num" val="1"/>
        <cfvo type="num" val="1.05"/>
      </iconSet>
    </cfRule>
  </conditionalFormatting>
  <conditionalFormatting sqref="P40">
    <cfRule type="iconSet" priority="1394">
      <iconSet iconSet="3Symbols" showValue="0" reverse="1">
        <cfvo type="percent" val="0"/>
        <cfvo type="num" val="1"/>
        <cfvo type="num" val="1.05"/>
      </iconSet>
    </cfRule>
  </conditionalFormatting>
  <conditionalFormatting sqref="Q39">
    <cfRule type="iconSet" priority="1385">
      <iconSet iconSet="3Symbols" showValue="0" reverse="1">
        <cfvo type="percent" val="0"/>
        <cfvo type="num" val="1"/>
        <cfvo type="num" val="1.05"/>
      </iconSet>
    </cfRule>
  </conditionalFormatting>
  <conditionalFormatting sqref="N39">
    <cfRule type="cellIs" dxfId="1323" priority="1383" operator="lessThan">
      <formula>0</formula>
    </cfRule>
    <cfRule type="cellIs" dxfId="1322" priority="1384" operator="greaterThan">
      <formula>0</formula>
    </cfRule>
  </conditionalFormatting>
  <conditionalFormatting sqref="F39">
    <cfRule type="cellIs" dxfId="1321" priority="1381" operator="lessThan">
      <formula>0</formula>
    </cfRule>
    <cfRule type="cellIs" dxfId="1320" priority="1382" operator="greaterThan">
      <formula>0</formula>
    </cfRule>
  </conditionalFormatting>
  <conditionalFormatting sqref="U39">
    <cfRule type="iconSet" priority="1386">
      <iconSet iconSet="3Symbols" showValue="0" reverse="1">
        <cfvo type="percent" val="0"/>
        <cfvo type="num" val="1"/>
        <cfvo type="num" val="1.05"/>
      </iconSet>
    </cfRule>
  </conditionalFormatting>
  <conditionalFormatting sqref="P39">
    <cfRule type="iconSet" priority="1387">
      <iconSet iconSet="3Symbols" showValue="0" reverse="1">
        <cfvo type="percent" val="0"/>
        <cfvo type="num" val="1"/>
        <cfvo type="num" val="1.05"/>
      </iconSet>
    </cfRule>
  </conditionalFormatting>
  <conditionalFormatting sqref="Q38">
    <cfRule type="iconSet" priority="1378">
      <iconSet iconSet="3Symbols" showValue="0" reverse="1">
        <cfvo type="percent" val="0"/>
        <cfvo type="num" val="1"/>
        <cfvo type="num" val="1.05"/>
      </iconSet>
    </cfRule>
  </conditionalFormatting>
  <conditionalFormatting sqref="N38">
    <cfRule type="cellIs" dxfId="1319" priority="1376" operator="lessThan">
      <formula>0</formula>
    </cfRule>
    <cfRule type="cellIs" dxfId="1318" priority="1377" operator="greaterThan">
      <formula>0</formula>
    </cfRule>
  </conditionalFormatting>
  <conditionalFormatting sqref="F38">
    <cfRule type="cellIs" dxfId="1317" priority="1374" operator="lessThan">
      <formula>0</formula>
    </cfRule>
    <cfRule type="cellIs" dxfId="1316" priority="1375" operator="greaterThan">
      <formula>0</formula>
    </cfRule>
  </conditionalFormatting>
  <conditionalFormatting sqref="U38">
    <cfRule type="iconSet" priority="1379">
      <iconSet iconSet="3Symbols" showValue="0" reverse="1">
        <cfvo type="percent" val="0"/>
        <cfvo type="num" val="1"/>
        <cfvo type="num" val="1.05"/>
      </iconSet>
    </cfRule>
  </conditionalFormatting>
  <conditionalFormatting sqref="P38">
    <cfRule type="iconSet" priority="1380">
      <iconSet iconSet="3Symbols" showValue="0" reverse="1">
        <cfvo type="percent" val="0"/>
        <cfvo type="num" val="1"/>
        <cfvo type="num" val="1.05"/>
      </iconSet>
    </cfRule>
  </conditionalFormatting>
  <conditionalFormatting sqref="Q37">
    <cfRule type="iconSet" priority="1371">
      <iconSet iconSet="3Symbols" showValue="0" reverse="1">
        <cfvo type="percent" val="0"/>
        <cfvo type="num" val="1"/>
        <cfvo type="num" val="1.05"/>
      </iconSet>
    </cfRule>
  </conditionalFormatting>
  <conditionalFormatting sqref="N37">
    <cfRule type="cellIs" dxfId="1315" priority="1369" operator="lessThan">
      <formula>0</formula>
    </cfRule>
    <cfRule type="cellIs" dxfId="1314" priority="1370" operator="greaterThan">
      <formula>0</formula>
    </cfRule>
  </conditionalFormatting>
  <conditionalFormatting sqref="F37">
    <cfRule type="cellIs" dxfId="1313" priority="1367" operator="lessThan">
      <formula>0</formula>
    </cfRule>
    <cfRule type="cellIs" dxfId="1312" priority="1368" operator="greaterThan">
      <formula>0</formula>
    </cfRule>
  </conditionalFormatting>
  <conditionalFormatting sqref="U37">
    <cfRule type="iconSet" priority="1372">
      <iconSet iconSet="3Symbols" showValue="0" reverse="1">
        <cfvo type="percent" val="0"/>
        <cfvo type="num" val="1"/>
        <cfvo type="num" val="1.05"/>
      </iconSet>
    </cfRule>
  </conditionalFormatting>
  <conditionalFormatting sqref="P37">
    <cfRule type="iconSet" priority="1373">
      <iconSet iconSet="3Symbols" showValue="0" reverse="1">
        <cfvo type="percent" val="0"/>
        <cfvo type="num" val="1"/>
        <cfvo type="num" val="1.05"/>
      </iconSet>
    </cfRule>
  </conditionalFormatting>
  <conditionalFormatting sqref="Q36">
    <cfRule type="iconSet" priority="1364">
      <iconSet iconSet="3Symbols" showValue="0" reverse="1">
        <cfvo type="percent" val="0"/>
        <cfvo type="num" val="1"/>
        <cfvo type="num" val="1.05"/>
      </iconSet>
    </cfRule>
  </conditionalFormatting>
  <conditionalFormatting sqref="N36">
    <cfRule type="cellIs" dxfId="1311" priority="1362" operator="lessThan">
      <formula>0</formula>
    </cfRule>
    <cfRule type="cellIs" dxfId="1310" priority="1363" operator="greaterThan">
      <formula>0</formula>
    </cfRule>
  </conditionalFormatting>
  <conditionalFormatting sqref="F36">
    <cfRule type="cellIs" dxfId="1309" priority="1360" operator="lessThan">
      <formula>0</formula>
    </cfRule>
    <cfRule type="cellIs" dxfId="1308" priority="1361" operator="greaterThan">
      <formula>0</formula>
    </cfRule>
  </conditionalFormatting>
  <conditionalFormatting sqref="U36">
    <cfRule type="iconSet" priority="1365">
      <iconSet iconSet="3Symbols" showValue="0" reverse="1">
        <cfvo type="percent" val="0"/>
        <cfvo type="num" val="1"/>
        <cfvo type="num" val="1.05"/>
      </iconSet>
    </cfRule>
  </conditionalFormatting>
  <conditionalFormatting sqref="P36">
    <cfRule type="iconSet" priority="1366">
      <iconSet iconSet="3Symbols" showValue="0" reverse="1">
        <cfvo type="percent" val="0"/>
        <cfvo type="num" val="1"/>
        <cfvo type="num" val="1.05"/>
      </iconSet>
    </cfRule>
  </conditionalFormatting>
  <conditionalFormatting sqref="Q35">
    <cfRule type="iconSet" priority="1357">
      <iconSet iconSet="3Symbols" showValue="0" reverse="1">
        <cfvo type="percent" val="0"/>
        <cfvo type="num" val="1"/>
        <cfvo type="num" val="1.05"/>
      </iconSet>
    </cfRule>
  </conditionalFormatting>
  <conditionalFormatting sqref="N35">
    <cfRule type="cellIs" dxfId="1307" priority="1355" operator="lessThan">
      <formula>0</formula>
    </cfRule>
    <cfRule type="cellIs" dxfId="1306" priority="1356" operator="greaterThan">
      <formula>0</formula>
    </cfRule>
  </conditionalFormatting>
  <conditionalFormatting sqref="F35">
    <cfRule type="cellIs" dxfId="1305" priority="1353" operator="lessThan">
      <formula>0</formula>
    </cfRule>
    <cfRule type="cellIs" dxfId="1304" priority="1354" operator="greaterThan">
      <formula>0</formula>
    </cfRule>
  </conditionalFormatting>
  <conditionalFormatting sqref="U35">
    <cfRule type="iconSet" priority="1358">
      <iconSet iconSet="3Symbols" showValue="0" reverse="1">
        <cfvo type="percent" val="0"/>
        <cfvo type="num" val="1"/>
        <cfvo type="num" val="1.05"/>
      </iconSet>
    </cfRule>
  </conditionalFormatting>
  <conditionalFormatting sqref="P35">
    <cfRule type="iconSet" priority="1359">
      <iconSet iconSet="3Symbols" showValue="0" reverse="1">
        <cfvo type="percent" val="0"/>
        <cfvo type="num" val="1"/>
        <cfvo type="num" val="1.05"/>
      </iconSet>
    </cfRule>
  </conditionalFormatting>
  <conditionalFormatting sqref="Q34">
    <cfRule type="iconSet" priority="1350">
      <iconSet iconSet="3Symbols" showValue="0" reverse="1">
        <cfvo type="percent" val="0"/>
        <cfvo type="num" val="1"/>
        <cfvo type="num" val="1.05"/>
      </iconSet>
    </cfRule>
  </conditionalFormatting>
  <conditionalFormatting sqref="N34">
    <cfRule type="cellIs" dxfId="1303" priority="1348" operator="lessThan">
      <formula>0</formula>
    </cfRule>
    <cfRule type="cellIs" dxfId="1302" priority="1349" operator="greaterThan">
      <formula>0</formula>
    </cfRule>
  </conditionalFormatting>
  <conditionalFormatting sqref="F34">
    <cfRule type="cellIs" dxfId="1301" priority="1346" operator="lessThan">
      <formula>0</formula>
    </cfRule>
    <cfRule type="cellIs" dxfId="1300" priority="1347" operator="greaterThan">
      <formula>0</formula>
    </cfRule>
  </conditionalFormatting>
  <conditionalFormatting sqref="U34">
    <cfRule type="iconSet" priority="1351">
      <iconSet iconSet="3Symbols" showValue="0" reverse="1">
        <cfvo type="percent" val="0"/>
        <cfvo type="num" val="1"/>
        <cfvo type="num" val="1.05"/>
      </iconSet>
    </cfRule>
  </conditionalFormatting>
  <conditionalFormatting sqref="P34">
    <cfRule type="iconSet" priority="1352">
      <iconSet iconSet="3Symbols" showValue="0" reverse="1">
        <cfvo type="percent" val="0"/>
        <cfvo type="num" val="1"/>
        <cfvo type="num" val="1.05"/>
      </iconSet>
    </cfRule>
  </conditionalFormatting>
  <conditionalFormatting sqref="Q32:Q33">
    <cfRule type="iconSet" priority="1343">
      <iconSet iconSet="3Symbols" showValue="0" reverse="1">
        <cfvo type="percent" val="0"/>
        <cfvo type="num" val="1"/>
        <cfvo type="num" val="1.05"/>
      </iconSet>
    </cfRule>
  </conditionalFormatting>
  <conditionalFormatting sqref="N32:N33">
    <cfRule type="cellIs" dxfId="1299" priority="1341" operator="lessThan">
      <formula>0</formula>
    </cfRule>
    <cfRule type="cellIs" dxfId="1298" priority="1342" operator="greaterThan">
      <formula>0</formula>
    </cfRule>
  </conditionalFormatting>
  <conditionalFormatting sqref="F32:F33">
    <cfRule type="cellIs" dxfId="1297" priority="1339" operator="lessThan">
      <formula>0</formula>
    </cfRule>
    <cfRule type="cellIs" dxfId="1296" priority="1340" operator="greaterThan">
      <formula>0</formula>
    </cfRule>
  </conditionalFormatting>
  <conditionalFormatting sqref="U32:U33">
    <cfRule type="iconSet" priority="1344">
      <iconSet iconSet="3Symbols" showValue="0" reverse="1">
        <cfvo type="percent" val="0"/>
        <cfvo type="num" val="1"/>
        <cfvo type="num" val="1.05"/>
      </iconSet>
    </cfRule>
  </conditionalFormatting>
  <conditionalFormatting sqref="P32:P33">
    <cfRule type="iconSet" priority="1345">
      <iconSet iconSet="3Symbols" showValue="0" reverse="1">
        <cfvo type="percent" val="0"/>
        <cfvo type="num" val="1"/>
        <cfvo type="num" val="1.05"/>
      </iconSet>
    </cfRule>
  </conditionalFormatting>
  <conditionalFormatting sqref="Q31">
    <cfRule type="iconSet" priority="1336">
      <iconSet iconSet="3Symbols" showValue="0" reverse="1">
        <cfvo type="percent" val="0"/>
        <cfvo type="num" val="1"/>
        <cfvo type="num" val="1.05"/>
      </iconSet>
    </cfRule>
  </conditionalFormatting>
  <conditionalFormatting sqref="N31">
    <cfRule type="cellIs" dxfId="1295" priority="1334" operator="lessThan">
      <formula>0</formula>
    </cfRule>
    <cfRule type="cellIs" dxfId="1294" priority="1335" operator="greaterThan">
      <formula>0</formula>
    </cfRule>
  </conditionalFormatting>
  <conditionalFormatting sqref="F31">
    <cfRule type="cellIs" dxfId="1293" priority="1332" operator="lessThan">
      <formula>0</formula>
    </cfRule>
    <cfRule type="cellIs" dxfId="1292" priority="1333" operator="greaterThan">
      <formula>0</formula>
    </cfRule>
  </conditionalFormatting>
  <conditionalFormatting sqref="U31">
    <cfRule type="iconSet" priority="1337">
      <iconSet iconSet="3Symbols" showValue="0" reverse="1">
        <cfvo type="percent" val="0"/>
        <cfvo type="num" val="1"/>
        <cfvo type="num" val="1.05"/>
      </iconSet>
    </cfRule>
  </conditionalFormatting>
  <conditionalFormatting sqref="P31">
    <cfRule type="iconSet" priority="1338">
      <iconSet iconSet="3Symbols" showValue="0" reverse="1">
        <cfvo type="percent" val="0"/>
        <cfvo type="num" val="1"/>
        <cfvo type="num" val="1.05"/>
      </iconSet>
    </cfRule>
  </conditionalFormatting>
  <conditionalFormatting sqref="Q30">
    <cfRule type="iconSet" priority="1329">
      <iconSet iconSet="3Symbols" showValue="0" reverse="1">
        <cfvo type="percent" val="0"/>
        <cfvo type="num" val="1"/>
        <cfvo type="num" val="1.05"/>
      </iconSet>
    </cfRule>
  </conditionalFormatting>
  <conditionalFormatting sqref="N30">
    <cfRule type="cellIs" dxfId="1291" priority="1327" operator="lessThan">
      <formula>0</formula>
    </cfRule>
    <cfRule type="cellIs" dxfId="1290" priority="1328" operator="greaterThan">
      <formula>0</formula>
    </cfRule>
  </conditionalFormatting>
  <conditionalFormatting sqref="F30">
    <cfRule type="cellIs" dxfId="1289" priority="1325" operator="lessThan">
      <formula>0</formula>
    </cfRule>
    <cfRule type="cellIs" dxfId="1288" priority="1326" operator="greaterThan">
      <formula>0</formula>
    </cfRule>
  </conditionalFormatting>
  <conditionalFormatting sqref="U30">
    <cfRule type="iconSet" priority="1330">
      <iconSet iconSet="3Symbols" showValue="0" reverse="1">
        <cfvo type="percent" val="0"/>
        <cfvo type="num" val="1"/>
        <cfvo type="num" val="1.05"/>
      </iconSet>
    </cfRule>
  </conditionalFormatting>
  <conditionalFormatting sqref="P30">
    <cfRule type="iconSet" priority="1331">
      <iconSet iconSet="3Symbols" showValue="0" reverse="1">
        <cfvo type="percent" val="0"/>
        <cfvo type="num" val="1"/>
        <cfvo type="num" val="1.05"/>
      </iconSet>
    </cfRule>
  </conditionalFormatting>
  <conditionalFormatting sqref="Q29">
    <cfRule type="iconSet" priority="1322">
      <iconSet iconSet="3Symbols" showValue="0" reverse="1">
        <cfvo type="percent" val="0"/>
        <cfvo type="num" val="1"/>
        <cfvo type="num" val="1.05"/>
      </iconSet>
    </cfRule>
  </conditionalFormatting>
  <conditionalFormatting sqref="N29">
    <cfRule type="cellIs" dxfId="1287" priority="1320" operator="lessThan">
      <formula>0</formula>
    </cfRule>
    <cfRule type="cellIs" dxfId="1286" priority="1321" operator="greaterThan">
      <formula>0</formula>
    </cfRule>
  </conditionalFormatting>
  <conditionalFormatting sqref="F29">
    <cfRule type="cellIs" dxfId="1285" priority="1318" operator="lessThan">
      <formula>0</formula>
    </cfRule>
    <cfRule type="cellIs" dxfId="1284" priority="1319" operator="greaterThan">
      <formula>0</formula>
    </cfRule>
  </conditionalFormatting>
  <conditionalFormatting sqref="U29">
    <cfRule type="iconSet" priority="1323">
      <iconSet iconSet="3Symbols" showValue="0" reverse="1">
        <cfvo type="percent" val="0"/>
        <cfvo type="num" val="1"/>
        <cfvo type="num" val="1.05"/>
      </iconSet>
    </cfRule>
  </conditionalFormatting>
  <conditionalFormatting sqref="P29">
    <cfRule type="iconSet" priority="1324">
      <iconSet iconSet="3Symbols" showValue="0" reverse="1">
        <cfvo type="percent" val="0"/>
        <cfvo type="num" val="1"/>
        <cfvo type="num" val="1.05"/>
      </iconSet>
    </cfRule>
  </conditionalFormatting>
  <conditionalFormatting sqref="Q28">
    <cfRule type="iconSet" priority="1315">
      <iconSet iconSet="3Symbols" showValue="0" reverse="1">
        <cfvo type="percent" val="0"/>
        <cfvo type="num" val="1"/>
        <cfvo type="num" val="1.05"/>
      </iconSet>
    </cfRule>
  </conditionalFormatting>
  <conditionalFormatting sqref="N28">
    <cfRule type="cellIs" dxfId="1283" priority="1313" operator="lessThan">
      <formula>0</formula>
    </cfRule>
    <cfRule type="cellIs" dxfId="1282" priority="1314" operator="greaterThan">
      <formula>0</formula>
    </cfRule>
  </conditionalFormatting>
  <conditionalFormatting sqref="F28">
    <cfRule type="cellIs" dxfId="1281" priority="1311" operator="lessThan">
      <formula>0</formula>
    </cfRule>
    <cfRule type="cellIs" dxfId="1280" priority="1312" operator="greaterThan">
      <formula>0</formula>
    </cfRule>
  </conditionalFormatting>
  <conditionalFormatting sqref="U28">
    <cfRule type="iconSet" priority="1316">
      <iconSet iconSet="3Symbols" showValue="0" reverse="1">
        <cfvo type="percent" val="0"/>
        <cfvo type="num" val="1"/>
        <cfvo type="num" val="1.05"/>
      </iconSet>
    </cfRule>
  </conditionalFormatting>
  <conditionalFormatting sqref="P28">
    <cfRule type="iconSet" priority="1317">
      <iconSet iconSet="3Symbols" showValue="0" reverse="1">
        <cfvo type="percent" val="0"/>
        <cfvo type="num" val="1"/>
        <cfvo type="num" val="1.05"/>
      </iconSet>
    </cfRule>
  </conditionalFormatting>
  <conditionalFormatting sqref="Q27">
    <cfRule type="iconSet" priority="1308">
      <iconSet iconSet="3Symbols" showValue="0" reverse="1">
        <cfvo type="percent" val="0"/>
        <cfvo type="num" val="1"/>
        <cfvo type="num" val="1.05"/>
      </iconSet>
    </cfRule>
  </conditionalFormatting>
  <conditionalFormatting sqref="N27">
    <cfRule type="cellIs" dxfId="1279" priority="1306" operator="lessThan">
      <formula>0</formula>
    </cfRule>
    <cfRule type="cellIs" dxfId="1278" priority="1307" operator="greaterThan">
      <formula>0</formula>
    </cfRule>
  </conditionalFormatting>
  <conditionalFormatting sqref="F27">
    <cfRule type="cellIs" dxfId="1277" priority="1304" operator="lessThan">
      <formula>0</formula>
    </cfRule>
    <cfRule type="cellIs" dxfId="1276" priority="1305" operator="greaterThan">
      <formula>0</formula>
    </cfRule>
  </conditionalFormatting>
  <conditionalFormatting sqref="U27">
    <cfRule type="iconSet" priority="1309">
      <iconSet iconSet="3Symbols" showValue="0" reverse="1">
        <cfvo type="percent" val="0"/>
        <cfvo type="num" val="1"/>
        <cfvo type="num" val="1.05"/>
      </iconSet>
    </cfRule>
  </conditionalFormatting>
  <conditionalFormatting sqref="P27">
    <cfRule type="iconSet" priority="1310">
      <iconSet iconSet="3Symbols" showValue="0" reverse="1">
        <cfvo type="percent" val="0"/>
        <cfvo type="num" val="1"/>
        <cfvo type="num" val="1.05"/>
      </iconSet>
    </cfRule>
  </conditionalFormatting>
  <conditionalFormatting sqref="Q26">
    <cfRule type="iconSet" priority="1301">
      <iconSet iconSet="3Symbols" showValue="0" reverse="1">
        <cfvo type="percent" val="0"/>
        <cfvo type="num" val="1"/>
        <cfvo type="num" val="1.05"/>
      </iconSet>
    </cfRule>
  </conditionalFormatting>
  <conditionalFormatting sqref="N26">
    <cfRule type="cellIs" dxfId="1275" priority="1299" operator="lessThan">
      <formula>0</formula>
    </cfRule>
    <cfRule type="cellIs" dxfId="1274" priority="1300" operator="greaterThan">
      <formula>0</formula>
    </cfRule>
  </conditionalFormatting>
  <conditionalFormatting sqref="F26">
    <cfRule type="cellIs" dxfId="1273" priority="1297" operator="lessThan">
      <formula>0</formula>
    </cfRule>
    <cfRule type="cellIs" dxfId="1272" priority="1298" operator="greaterThan">
      <formula>0</formula>
    </cfRule>
  </conditionalFormatting>
  <conditionalFormatting sqref="U26">
    <cfRule type="iconSet" priority="1302">
      <iconSet iconSet="3Symbols" showValue="0" reverse="1">
        <cfvo type="percent" val="0"/>
        <cfvo type="num" val="1"/>
        <cfvo type="num" val="1.05"/>
      </iconSet>
    </cfRule>
  </conditionalFormatting>
  <conditionalFormatting sqref="P26">
    <cfRule type="iconSet" priority="1303">
      <iconSet iconSet="3Symbols" showValue="0" reverse="1">
        <cfvo type="percent" val="0"/>
        <cfvo type="num" val="1"/>
        <cfvo type="num" val="1.05"/>
      </iconSet>
    </cfRule>
  </conditionalFormatting>
  <conditionalFormatting sqref="Q25">
    <cfRule type="iconSet" priority="1294">
      <iconSet iconSet="3Symbols" showValue="0" reverse="1">
        <cfvo type="percent" val="0"/>
        <cfvo type="num" val="1"/>
        <cfvo type="num" val="1.05"/>
      </iconSet>
    </cfRule>
  </conditionalFormatting>
  <conditionalFormatting sqref="N25">
    <cfRule type="cellIs" dxfId="1271" priority="1292" operator="lessThan">
      <formula>0</formula>
    </cfRule>
    <cfRule type="cellIs" dxfId="1270" priority="1293" operator="greaterThan">
      <formula>0</formula>
    </cfRule>
  </conditionalFormatting>
  <conditionalFormatting sqref="F25">
    <cfRule type="cellIs" dxfId="1269" priority="1290" operator="lessThan">
      <formula>0</formula>
    </cfRule>
    <cfRule type="cellIs" dxfId="1268" priority="1291" operator="greaterThan">
      <formula>0</formula>
    </cfRule>
  </conditionalFormatting>
  <conditionalFormatting sqref="U25">
    <cfRule type="iconSet" priority="1295">
      <iconSet iconSet="3Symbols" showValue="0" reverse="1">
        <cfvo type="percent" val="0"/>
        <cfvo type="num" val="1"/>
        <cfvo type="num" val="1.05"/>
      </iconSet>
    </cfRule>
  </conditionalFormatting>
  <conditionalFormatting sqref="P25">
    <cfRule type="iconSet" priority="1296">
      <iconSet iconSet="3Symbols" showValue="0" reverse="1">
        <cfvo type="percent" val="0"/>
        <cfvo type="num" val="1"/>
        <cfvo type="num" val="1.05"/>
      </iconSet>
    </cfRule>
  </conditionalFormatting>
  <conditionalFormatting sqref="Q23:Q24">
    <cfRule type="iconSet" priority="1287">
      <iconSet iconSet="3Symbols" showValue="0" reverse="1">
        <cfvo type="percent" val="0"/>
        <cfvo type="num" val="1"/>
        <cfvo type="num" val="1.05"/>
      </iconSet>
    </cfRule>
  </conditionalFormatting>
  <conditionalFormatting sqref="N23:N24">
    <cfRule type="cellIs" dxfId="1267" priority="1285" operator="lessThan">
      <formula>0</formula>
    </cfRule>
    <cfRule type="cellIs" dxfId="1266" priority="1286" operator="greaterThan">
      <formula>0</formula>
    </cfRule>
  </conditionalFormatting>
  <conditionalFormatting sqref="F23:F24">
    <cfRule type="cellIs" dxfId="1265" priority="1283" operator="lessThan">
      <formula>0</formula>
    </cfRule>
    <cfRule type="cellIs" dxfId="1264" priority="1284" operator="greaterThan">
      <formula>0</formula>
    </cfRule>
  </conditionalFormatting>
  <conditionalFormatting sqref="U23:U24">
    <cfRule type="iconSet" priority="1288">
      <iconSet iconSet="3Symbols" showValue="0" reverse="1">
        <cfvo type="percent" val="0"/>
        <cfvo type="num" val="1"/>
        <cfvo type="num" val="1.05"/>
      </iconSet>
    </cfRule>
  </conditionalFormatting>
  <conditionalFormatting sqref="P23:P24">
    <cfRule type="iconSet" priority="1289">
      <iconSet iconSet="3Symbols" showValue="0" reverse="1">
        <cfvo type="percent" val="0"/>
        <cfvo type="num" val="1"/>
        <cfvo type="num" val="1.05"/>
      </iconSet>
    </cfRule>
  </conditionalFormatting>
  <conditionalFormatting sqref="Q22">
    <cfRule type="iconSet" priority="1280">
      <iconSet iconSet="3Symbols" showValue="0" reverse="1">
        <cfvo type="percent" val="0"/>
        <cfvo type="num" val="1"/>
        <cfvo type="num" val="1.05"/>
      </iconSet>
    </cfRule>
  </conditionalFormatting>
  <conditionalFormatting sqref="N22">
    <cfRule type="cellIs" dxfId="1263" priority="1278" operator="lessThan">
      <formula>0</formula>
    </cfRule>
    <cfRule type="cellIs" dxfId="1262" priority="1279" operator="greaterThan">
      <formula>0</formula>
    </cfRule>
  </conditionalFormatting>
  <conditionalFormatting sqref="F22">
    <cfRule type="cellIs" dxfId="1261" priority="1276" operator="lessThan">
      <formula>0</formula>
    </cfRule>
    <cfRule type="cellIs" dxfId="1260" priority="1277" operator="greaterThan">
      <formula>0</formula>
    </cfRule>
  </conditionalFormatting>
  <conditionalFormatting sqref="U22">
    <cfRule type="iconSet" priority="1281">
      <iconSet iconSet="3Symbols" showValue="0" reverse="1">
        <cfvo type="percent" val="0"/>
        <cfvo type="num" val="1"/>
        <cfvo type="num" val="1.05"/>
      </iconSet>
    </cfRule>
  </conditionalFormatting>
  <conditionalFormatting sqref="P22">
    <cfRule type="iconSet" priority="1282">
      <iconSet iconSet="3Symbols" showValue="0" reverse="1">
        <cfvo type="percent" val="0"/>
        <cfvo type="num" val="1"/>
        <cfvo type="num" val="1.05"/>
      </iconSet>
    </cfRule>
  </conditionalFormatting>
  <conditionalFormatting sqref="Q21">
    <cfRule type="iconSet" priority="1273">
      <iconSet iconSet="3Symbols" showValue="0" reverse="1">
        <cfvo type="percent" val="0"/>
        <cfvo type="num" val="1"/>
        <cfvo type="num" val="1.05"/>
      </iconSet>
    </cfRule>
  </conditionalFormatting>
  <conditionalFormatting sqref="N21">
    <cfRule type="cellIs" dxfId="1259" priority="1271" operator="lessThan">
      <formula>0</formula>
    </cfRule>
    <cfRule type="cellIs" dxfId="1258" priority="1272" operator="greaterThan">
      <formula>0</formula>
    </cfRule>
  </conditionalFormatting>
  <conditionalFormatting sqref="F21">
    <cfRule type="cellIs" dxfId="1257" priority="1269" operator="lessThan">
      <formula>0</formula>
    </cfRule>
    <cfRule type="cellIs" dxfId="1256" priority="1270" operator="greaterThan">
      <formula>0</formula>
    </cfRule>
  </conditionalFormatting>
  <conditionalFormatting sqref="U21">
    <cfRule type="iconSet" priority="1274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1275">
      <iconSet iconSet="3Symbols" showValue="0" reverse="1">
        <cfvo type="percent" val="0"/>
        <cfvo type="num" val="1"/>
        <cfvo type="num" val="1.05"/>
      </iconSet>
    </cfRule>
  </conditionalFormatting>
  <conditionalFormatting sqref="Q20">
    <cfRule type="iconSet" priority="1266">
      <iconSet iconSet="3Symbols" showValue="0" reverse="1">
        <cfvo type="percent" val="0"/>
        <cfvo type="num" val="1"/>
        <cfvo type="num" val="1.05"/>
      </iconSet>
    </cfRule>
  </conditionalFormatting>
  <conditionalFormatting sqref="N20">
    <cfRule type="cellIs" dxfId="1255" priority="1264" operator="lessThan">
      <formula>0</formula>
    </cfRule>
    <cfRule type="cellIs" dxfId="1254" priority="1265" operator="greaterThan">
      <formula>0</formula>
    </cfRule>
  </conditionalFormatting>
  <conditionalFormatting sqref="F20">
    <cfRule type="cellIs" dxfId="1253" priority="1262" operator="lessThan">
      <formula>0</formula>
    </cfRule>
    <cfRule type="cellIs" dxfId="1252" priority="1263" operator="greaterThan">
      <formula>0</formula>
    </cfRule>
  </conditionalFormatting>
  <conditionalFormatting sqref="U20">
    <cfRule type="iconSet" priority="1267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1268">
      <iconSet iconSet="3Symbols" showValue="0" reverse="1">
        <cfvo type="percent" val="0"/>
        <cfvo type="num" val="1"/>
        <cfvo type="num" val="1.05"/>
      </iconSet>
    </cfRule>
  </conditionalFormatting>
  <conditionalFormatting sqref="Q19">
    <cfRule type="iconSet" priority="1259">
      <iconSet iconSet="3Symbols" showValue="0" reverse="1">
        <cfvo type="percent" val="0"/>
        <cfvo type="num" val="1"/>
        <cfvo type="num" val="1.05"/>
      </iconSet>
    </cfRule>
  </conditionalFormatting>
  <conditionalFormatting sqref="N19">
    <cfRule type="cellIs" dxfId="1251" priority="1257" operator="lessThan">
      <formula>0</formula>
    </cfRule>
    <cfRule type="cellIs" dxfId="1250" priority="1258" operator="greaterThan">
      <formula>0</formula>
    </cfRule>
  </conditionalFormatting>
  <conditionalFormatting sqref="F19">
    <cfRule type="cellIs" dxfId="1249" priority="1255" operator="lessThan">
      <formula>0</formula>
    </cfRule>
    <cfRule type="cellIs" dxfId="1248" priority="1256" operator="greaterThan">
      <formula>0</formula>
    </cfRule>
  </conditionalFormatting>
  <conditionalFormatting sqref="U19">
    <cfRule type="iconSet" priority="1260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1261">
      <iconSet iconSet="3Symbols" showValue="0" reverse="1">
        <cfvo type="percent" val="0"/>
        <cfvo type="num" val="1"/>
        <cfvo type="num" val="1.05"/>
      </iconSet>
    </cfRule>
  </conditionalFormatting>
  <conditionalFormatting sqref="Q18">
    <cfRule type="iconSet" priority="1252">
      <iconSet iconSet="3Symbols" showValue="0" reverse="1">
        <cfvo type="percent" val="0"/>
        <cfvo type="num" val="1"/>
        <cfvo type="num" val="1.05"/>
      </iconSet>
    </cfRule>
  </conditionalFormatting>
  <conditionalFormatting sqref="N18">
    <cfRule type="cellIs" dxfId="1247" priority="1250" operator="lessThan">
      <formula>0</formula>
    </cfRule>
    <cfRule type="cellIs" dxfId="1246" priority="1251" operator="greaterThan">
      <formula>0</formula>
    </cfRule>
  </conditionalFormatting>
  <conditionalFormatting sqref="F18">
    <cfRule type="cellIs" dxfId="1245" priority="1248" operator="lessThan">
      <formula>0</formula>
    </cfRule>
    <cfRule type="cellIs" dxfId="1244" priority="1249" operator="greaterThan">
      <formula>0</formula>
    </cfRule>
  </conditionalFormatting>
  <conditionalFormatting sqref="U18">
    <cfRule type="iconSet" priority="1253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1254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1245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1243" priority="1243" operator="lessThan">
      <formula>0</formula>
    </cfRule>
    <cfRule type="cellIs" dxfId="1242" priority="1244" operator="greaterThan">
      <formula>0</formula>
    </cfRule>
  </conditionalFormatting>
  <conditionalFormatting sqref="F17">
    <cfRule type="cellIs" dxfId="1241" priority="1241" operator="lessThan">
      <formula>0</formula>
    </cfRule>
    <cfRule type="cellIs" dxfId="1240" priority="1242" operator="greaterThan">
      <formula>0</formula>
    </cfRule>
  </conditionalFormatting>
  <conditionalFormatting sqref="U17">
    <cfRule type="iconSet" priority="1246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1247">
      <iconSet iconSet="3Symbols" showValue="0" reverse="1">
        <cfvo type="percent" val="0"/>
        <cfvo type="num" val="1"/>
        <cfvo type="num" val="1.05"/>
      </iconSet>
    </cfRule>
  </conditionalFormatting>
  <conditionalFormatting sqref="Q365:Q366">
    <cfRule type="iconSet" priority="3468">
      <iconSet iconSet="3Symbols" showValue="0" reverse="1">
        <cfvo type="percent" val="0"/>
        <cfvo type="num" val="1"/>
        <cfvo type="num" val="1.05"/>
      </iconSet>
    </cfRule>
  </conditionalFormatting>
  <conditionalFormatting sqref="U365:U366">
    <cfRule type="iconSet" priority="3469">
      <iconSet iconSet="3Symbols" showValue="0" reverse="1">
        <cfvo type="percent" val="0"/>
        <cfvo type="num" val="1"/>
        <cfvo type="num" val="1.05"/>
      </iconSet>
    </cfRule>
  </conditionalFormatting>
  <conditionalFormatting sqref="P365:P366">
    <cfRule type="iconSet" priority="3470">
      <iconSet iconSet="3Symbols" showValue="0" reverse="1">
        <cfvo type="percent" val="0"/>
        <cfvo type="num" val="1"/>
        <cfvo type="num" val="1.05"/>
      </iconSet>
    </cfRule>
  </conditionalFormatting>
  <conditionalFormatting sqref="N720">
    <cfRule type="cellIs" dxfId="1239" priority="1239" operator="lessThan">
      <formula>0</formula>
    </cfRule>
    <cfRule type="cellIs" dxfId="1238" priority="1240" operator="greaterThan">
      <formula>0</formula>
    </cfRule>
  </conditionalFormatting>
  <conditionalFormatting sqref="F720">
    <cfRule type="cellIs" dxfId="1237" priority="1237" operator="lessThan">
      <formula>0</formula>
    </cfRule>
    <cfRule type="cellIs" dxfId="1236" priority="1238" operator="greaterThan">
      <formula>0</formula>
    </cfRule>
  </conditionalFormatting>
  <conditionalFormatting sqref="N719">
    <cfRule type="cellIs" dxfId="1235" priority="1235" operator="lessThan">
      <formula>0</formula>
    </cfRule>
    <cfRule type="cellIs" dxfId="1234" priority="1236" operator="greaterThan">
      <formula>0</formula>
    </cfRule>
  </conditionalFormatting>
  <conditionalFormatting sqref="F719">
    <cfRule type="cellIs" dxfId="1233" priority="1233" operator="lessThan">
      <formula>0</formula>
    </cfRule>
    <cfRule type="cellIs" dxfId="1232" priority="1234" operator="greaterThan">
      <formula>0</formula>
    </cfRule>
  </conditionalFormatting>
  <conditionalFormatting sqref="N718">
    <cfRule type="cellIs" dxfId="1231" priority="1231" operator="lessThan">
      <formula>0</formula>
    </cfRule>
    <cfRule type="cellIs" dxfId="1230" priority="1232" operator="greaterThan">
      <formula>0</formula>
    </cfRule>
  </conditionalFormatting>
  <conditionalFormatting sqref="F718">
    <cfRule type="cellIs" dxfId="1229" priority="1229" operator="lessThan">
      <formula>0</formula>
    </cfRule>
    <cfRule type="cellIs" dxfId="1228" priority="1230" operator="greaterThan">
      <formula>0</formula>
    </cfRule>
  </conditionalFormatting>
  <conditionalFormatting sqref="N717">
    <cfRule type="cellIs" dxfId="1227" priority="1227" operator="lessThan">
      <formula>0</formula>
    </cfRule>
    <cfRule type="cellIs" dxfId="1226" priority="1228" operator="greaterThan">
      <formula>0</formula>
    </cfRule>
  </conditionalFormatting>
  <conditionalFormatting sqref="F717">
    <cfRule type="cellIs" dxfId="1225" priority="1225" operator="lessThan">
      <formula>0</formula>
    </cfRule>
    <cfRule type="cellIs" dxfId="1224" priority="1226" operator="greaterThan">
      <formula>0</formula>
    </cfRule>
  </conditionalFormatting>
  <conditionalFormatting sqref="N716">
    <cfRule type="cellIs" dxfId="1223" priority="1223" operator="lessThan">
      <formula>0</formula>
    </cfRule>
    <cfRule type="cellIs" dxfId="1222" priority="1224" operator="greaterThan">
      <formula>0</formula>
    </cfRule>
  </conditionalFormatting>
  <conditionalFormatting sqref="F716">
    <cfRule type="cellIs" dxfId="1221" priority="1221" operator="lessThan">
      <formula>0</formula>
    </cfRule>
    <cfRule type="cellIs" dxfId="1220" priority="1222" operator="greaterThan">
      <formula>0</formula>
    </cfRule>
  </conditionalFormatting>
  <conditionalFormatting sqref="N715">
    <cfRule type="cellIs" dxfId="1219" priority="1219" operator="lessThan">
      <formula>0</formula>
    </cfRule>
    <cfRule type="cellIs" dxfId="1218" priority="1220" operator="greaterThan">
      <formula>0</formula>
    </cfRule>
  </conditionalFormatting>
  <conditionalFormatting sqref="F715">
    <cfRule type="cellIs" dxfId="1217" priority="1217" operator="lessThan">
      <formula>0</formula>
    </cfRule>
    <cfRule type="cellIs" dxfId="1216" priority="1218" operator="greaterThan">
      <formula>0</formula>
    </cfRule>
  </conditionalFormatting>
  <conditionalFormatting sqref="N714">
    <cfRule type="cellIs" dxfId="1215" priority="1215" operator="lessThan">
      <formula>0</formula>
    </cfRule>
    <cfRule type="cellIs" dxfId="1214" priority="1216" operator="greaterThan">
      <formula>0</formula>
    </cfRule>
  </conditionalFormatting>
  <conditionalFormatting sqref="F714">
    <cfRule type="cellIs" dxfId="1213" priority="1213" operator="lessThan">
      <formula>0</formula>
    </cfRule>
    <cfRule type="cellIs" dxfId="1212" priority="1214" operator="greaterThan">
      <formula>0</formula>
    </cfRule>
  </conditionalFormatting>
  <conditionalFormatting sqref="N712:N713">
    <cfRule type="cellIs" dxfId="1211" priority="1211" operator="lessThan">
      <formula>0</formula>
    </cfRule>
    <cfRule type="cellIs" dxfId="1210" priority="1212" operator="greaterThan">
      <formula>0</formula>
    </cfRule>
  </conditionalFormatting>
  <conditionalFormatting sqref="F712:F713">
    <cfRule type="cellIs" dxfId="1209" priority="1209" operator="lessThan">
      <formula>0</formula>
    </cfRule>
    <cfRule type="cellIs" dxfId="1208" priority="1210" operator="greaterThan">
      <formula>0</formula>
    </cfRule>
  </conditionalFormatting>
  <conditionalFormatting sqref="N711">
    <cfRule type="cellIs" dxfId="1207" priority="1207" operator="lessThan">
      <formula>0</formula>
    </cfRule>
    <cfRule type="cellIs" dxfId="1206" priority="1208" operator="greaterThan">
      <formula>0</formula>
    </cfRule>
  </conditionalFormatting>
  <conditionalFormatting sqref="F711">
    <cfRule type="cellIs" dxfId="1205" priority="1205" operator="lessThan">
      <formula>0</formula>
    </cfRule>
    <cfRule type="cellIs" dxfId="1204" priority="1206" operator="greaterThan">
      <formula>0</formula>
    </cfRule>
  </conditionalFormatting>
  <conditionalFormatting sqref="N710">
    <cfRule type="cellIs" dxfId="1203" priority="1203" operator="lessThan">
      <formula>0</formula>
    </cfRule>
    <cfRule type="cellIs" dxfId="1202" priority="1204" operator="greaterThan">
      <formula>0</formula>
    </cfRule>
  </conditionalFormatting>
  <conditionalFormatting sqref="F710">
    <cfRule type="cellIs" dxfId="1201" priority="1201" operator="lessThan">
      <formula>0</formula>
    </cfRule>
    <cfRule type="cellIs" dxfId="1200" priority="1202" operator="greaterThan">
      <formula>0</formula>
    </cfRule>
  </conditionalFormatting>
  <conditionalFormatting sqref="N709">
    <cfRule type="cellIs" dxfId="1199" priority="1199" operator="lessThan">
      <formula>0</formula>
    </cfRule>
    <cfRule type="cellIs" dxfId="1198" priority="1200" operator="greaterThan">
      <formula>0</formula>
    </cfRule>
  </conditionalFormatting>
  <conditionalFormatting sqref="F709">
    <cfRule type="cellIs" dxfId="1197" priority="1197" operator="lessThan">
      <formula>0</formula>
    </cfRule>
    <cfRule type="cellIs" dxfId="1196" priority="1198" operator="greaterThan">
      <formula>0</formula>
    </cfRule>
  </conditionalFormatting>
  <conditionalFormatting sqref="N708">
    <cfRule type="cellIs" dxfId="1195" priority="1195" operator="lessThan">
      <formula>0</formula>
    </cfRule>
    <cfRule type="cellIs" dxfId="1194" priority="1196" operator="greaterThan">
      <formula>0</formula>
    </cfRule>
  </conditionalFormatting>
  <conditionalFormatting sqref="F708">
    <cfRule type="cellIs" dxfId="1193" priority="1193" operator="lessThan">
      <formula>0</formula>
    </cfRule>
    <cfRule type="cellIs" dxfId="1192" priority="1194" operator="greaterThan">
      <formula>0</formula>
    </cfRule>
  </conditionalFormatting>
  <conditionalFormatting sqref="N707">
    <cfRule type="cellIs" dxfId="1191" priority="1191" operator="lessThan">
      <formula>0</formula>
    </cfRule>
    <cfRule type="cellIs" dxfId="1190" priority="1192" operator="greaterThan">
      <formula>0</formula>
    </cfRule>
  </conditionalFormatting>
  <conditionalFormatting sqref="F707">
    <cfRule type="cellIs" dxfId="1189" priority="1189" operator="lessThan">
      <formula>0</formula>
    </cfRule>
    <cfRule type="cellIs" dxfId="1188" priority="1190" operator="greaterThan">
      <formula>0</formula>
    </cfRule>
  </conditionalFormatting>
  <conditionalFormatting sqref="N706">
    <cfRule type="cellIs" dxfId="1187" priority="1187" operator="lessThan">
      <formula>0</formula>
    </cfRule>
    <cfRule type="cellIs" dxfId="1186" priority="1188" operator="greaterThan">
      <formula>0</formula>
    </cfRule>
  </conditionalFormatting>
  <conditionalFormatting sqref="F706">
    <cfRule type="cellIs" dxfId="1185" priority="1185" operator="lessThan">
      <formula>0</formula>
    </cfRule>
    <cfRule type="cellIs" dxfId="1184" priority="1186" operator="greaterThan">
      <formula>0</formula>
    </cfRule>
  </conditionalFormatting>
  <conditionalFormatting sqref="N705">
    <cfRule type="cellIs" dxfId="1183" priority="1183" operator="lessThan">
      <formula>0</formula>
    </cfRule>
    <cfRule type="cellIs" dxfId="1182" priority="1184" operator="greaterThan">
      <formula>0</formula>
    </cfRule>
  </conditionalFormatting>
  <conditionalFormatting sqref="F705">
    <cfRule type="cellIs" dxfId="1181" priority="1181" operator="lessThan">
      <formula>0</formula>
    </cfRule>
    <cfRule type="cellIs" dxfId="1180" priority="1182" operator="greaterThan">
      <formula>0</formula>
    </cfRule>
  </conditionalFormatting>
  <conditionalFormatting sqref="N703:N704">
    <cfRule type="cellIs" dxfId="1179" priority="1179" operator="lessThan">
      <formula>0</formula>
    </cfRule>
    <cfRule type="cellIs" dxfId="1178" priority="1180" operator="greaterThan">
      <formula>0</formula>
    </cfRule>
  </conditionalFormatting>
  <conditionalFormatting sqref="F703:F704">
    <cfRule type="cellIs" dxfId="1177" priority="1177" operator="lessThan">
      <formula>0</formula>
    </cfRule>
    <cfRule type="cellIs" dxfId="1176" priority="1178" operator="greaterThan">
      <formula>0</formula>
    </cfRule>
  </conditionalFormatting>
  <conditionalFormatting sqref="N702">
    <cfRule type="cellIs" dxfId="1175" priority="1175" operator="lessThan">
      <formula>0</formula>
    </cfRule>
    <cfRule type="cellIs" dxfId="1174" priority="1176" operator="greaterThan">
      <formula>0</formula>
    </cfRule>
  </conditionalFormatting>
  <conditionalFormatting sqref="F702">
    <cfRule type="cellIs" dxfId="1173" priority="1173" operator="lessThan">
      <formula>0</formula>
    </cfRule>
    <cfRule type="cellIs" dxfId="1172" priority="1174" operator="greaterThan">
      <formula>0</formula>
    </cfRule>
  </conditionalFormatting>
  <conditionalFormatting sqref="N701">
    <cfRule type="cellIs" dxfId="1171" priority="1171" operator="lessThan">
      <formula>0</formula>
    </cfRule>
    <cfRule type="cellIs" dxfId="1170" priority="1172" operator="greaterThan">
      <formula>0</formula>
    </cfRule>
  </conditionalFormatting>
  <conditionalFormatting sqref="F701">
    <cfRule type="cellIs" dxfId="1169" priority="1169" operator="lessThan">
      <formula>0</formula>
    </cfRule>
    <cfRule type="cellIs" dxfId="1168" priority="1170" operator="greaterThan">
      <formula>0</formula>
    </cfRule>
  </conditionalFormatting>
  <conditionalFormatting sqref="N700">
    <cfRule type="cellIs" dxfId="1167" priority="1167" operator="lessThan">
      <formula>0</formula>
    </cfRule>
    <cfRule type="cellIs" dxfId="1166" priority="1168" operator="greaterThan">
      <formula>0</formula>
    </cfRule>
  </conditionalFormatting>
  <conditionalFormatting sqref="F700">
    <cfRule type="cellIs" dxfId="1165" priority="1165" operator="lessThan">
      <formula>0</formula>
    </cfRule>
    <cfRule type="cellIs" dxfId="1164" priority="1166" operator="greaterThan">
      <formula>0</formula>
    </cfRule>
  </conditionalFormatting>
  <conditionalFormatting sqref="N699">
    <cfRule type="cellIs" dxfId="1163" priority="1163" operator="lessThan">
      <formula>0</formula>
    </cfRule>
    <cfRule type="cellIs" dxfId="1162" priority="1164" operator="greaterThan">
      <formula>0</formula>
    </cfRule>
  </conditionalFormatting>
  <conditionalFormatting sqref="F699">
    <cfRule type="cellIs" dxfId="1161" priority="1161" operator="lessThan">
      <formula>0</formula>
    </cfRule>
    <cfRule type="cellIs" dxfId="1160" priority="1162" operator="greaterThan">
      <formula>0</formula>
    </cfRule>
  </conditionalFormatting>
  <conditionalFormatting sqref="N698">
    <cfRule type="cellIs" dxfId="1159" priority="1159" operator="lessThan">
      <formula>0</formula>
    </cfRule>
    <cfRule type="cellIs" dxfId="1158" priority="1160" operator="greaterThan">
      <formula>0</formula>
    </cfRule>
  </conditionalFormatting>
  <conditionalFormatting sqref="F698">
    <cfRule type="cellIs" dxfId="1157" priority="1157" operator="lessThan">
      <formula>0</formula>
    </cfRule>
    <cfRule type="cellIs" dxfId="1156" priority="1158" operator="greaterThan">
      <formula>0</formula>
    </cfRule>
  </conditionalFormatting>
  <conditionalFormatting sqref="N697">
    <cfRule type="cellIs" dxfId="1155" priority="1155" operator="lessThan">
      <formula>0</formula>
    </cfRule>
    <cfRule type="cellIs" dxfId="1154" priority="1156" operator="greaterThan">
      <formula>0</formula>
    </cfRule>
  </conditionalFormatting>
  <conditionalFormatting sqref="F697">
    <cfRule type="cellIs" dxfId="1153" priority="1153" operator="lessThan">
      <formula>0</formula>
    </cfRule>
    <cfRule type="cellIs" dxfId="1152" priority="1154" operator="greaterThan">
      <formula>0</formula>
    </cfRule>
  </conditionalFormatting>
  <conditionalFormatting sqref="N696">
    <cfRule type="cellIs" dxfId="1151" priority="1151" operator="lessThan">
      <formula>0</formula>
    </cfRule>
    <cfRule type="cellIs" dxfId="1150" priority="1152" operator="greaterThan">
      <formula>0</formula>
    </cfRule>
  </conditionalFormatting>
  <conditionalFormatting sqref="F696">
    <cfRule type="cellIs" dxfId="1149" priority="1149" operator="lessThan">
      <formula>0</formula>
    </cfRule>
    <cfRule type="cellIs" dxfId="1148" priority="1150" operator="greaterThan">
      <formula>0</formula>
    </cfRule>
  </conditionalFormatting>
  <conditionalFormatting sqref="N694:N695">
    <cfRule type="cellIs" dxfId="1147" priority="1147" operator="lessThan">
      <formula>0</formula>
    </cfRule>
    <cfRule type="cellIs" dxfId="1146" priority="1148" operator="greaterThan">
      <formula>0</formula>
    </cfRule>
  </conditionalFormatting>
  <conditionalFormatting sqref="F694:F695">
    <cfRule type="cellIs" dxfId="1145" priority="1145" operator="lessThan">
      <formula>0</formula>
    </cfRule>
    <cfRule type="cellIs" dxfId="1144" priority="1146" operator="greaterThan">
      <formula>0</formula>
    </cfRule>
  </conditionalFormatting>
  <conditionalFormatting sqref="N693">
    <cfRule type="cellIs" dxfId="1143" priority="1143" operator="lessThan">
      <formula>0</formula>
    </cfRule>
    <cfRule type="cellIs" dxfId="1142" priority="1144" operator="greaterThan">
      <formula>0</formula>
    </cfRule>
  </conditionalFormatting>
  <conditionalFormatting sqref="F693">
    <cfRule type="cellIs" dxfId="1141" priority="1141" operator="lessThan">
      <formula>0</formula>
    </cfRule>
    <cfRule type="cellIs" dxfId="1140" priority="1142" operator="greaterThan">
      <formula>0</formula>
    </cfRule>
  </conditionalFormatting>
  <conditionalFormatting sqref="N692">
    <cfRule type="cellIs" dxfId="1139" priority="1139" operator="lessThan">
      <formula>0</formula>
    </cfRule>
    <cfRule type="cellIs" dxfId="1138" priority="1140" operator="greaterThan">
      <formula>0</formula>
    </cfRule>
  </conditionalFormatting>
  <conditionalFormatting sqref="F692">
    <cfRule type="cellIs" dxfId="1137" priority="1137" operator="lessThan">
      <formula>0</formula>
    </cfRule>
    <cfRule type="cellIs" dxfId="1136" priority="1138" operator="greaterThan">
      <formula>0</formula>
    </cfRule>
  </conditionalFormatting>
  <conditionalFormatting sqref="N691">
    <cfRule type="cellIs" dxfId="1135" priority="1135" operator="lessThan">
      <formula>0</formula>
    </cfRule>
    <cfRule type="cellIs" dxfId="1134" priority="1136" operator="greaterThan">
      <formula>0</formula>
    </cfRule>
  </conditionalFormatting>
  <conditionalFormatting sqref="F691">
    <cfRule type="cellIs" dxfId="1133" priority="1133" operator="lessThan">
      <formula>0</formula>
    </cfRule>
    <cfRule type="cellIs" dxfId="1132" priority="1134" operator="greaterThan">
      <formula>0</formula>
    </cfRule>
  </conditionalFormatting>
  <conditionalFormatting sqref="N690">
    <cfRule type="cellIs" dxfId="1131" priority="1131" operator="lessThan">
      <formula>0</formula>
    </cfRule>
    <cfRule type="cellIs" dxfId="1130" priority="1132" operator="greaterThan">
      <formula>0</formula>
    </cfRule>
  </conditionalFormatting>
  <conditionalFormatting sqref="F690">
    <cfRule type="cellIs" dxfId="1129" priority="1129" operator="lessThan">
      <formula>0</formula>
    </cfRule>
    <cfRule type="cellIs" dxfId="1128" priority="1130" operator="greaterThan">
      <formula>0</formula>
    </cfRule>
  </conditionalFormatting>
  <conditionalFormatting sqref="N689">
    <cfRule type="cellIs" dxfId="1127" priority="1127" operator="lessThan">
      <formula>0</formula>
    </cfRule>
    <cfRule type="cellIs" dxfId="1126" priority="1128" operator="greaterThan">
      <formula>0</formula>
    </cfRule>
  </conditionalFormatting>
  <conditionalFormatting sqref="F689">
    <cfRule type="cellIs" dxfId="1125" priority="1125" operator="lessThan">
      <formula>0</formula>
    </cfRule>
    <cfRule type="cellIs" dxfId="1124" priority="1126" operator="greaterThan">
      <formula>0</formula>
    </cfRule>
  </conditionalFormatting>
  <conditionalFormatting sqref="N688">
    <cfRule type="cellIs" dxfId="1123" priority="1123" operator="lessThan">
      <formula>0</formula>
    </cfRule>
    <cfRule type="cellIs" dxfId="1122" priority="1124" operator="greaterThan">
      <formula>0</formula>
    </cfRule>
  </conditionalFormatting>
  <conditionalFormatting sqref="F688">
    <cfRule type="cellIs" dxfId="1121" priority="1121" operator="lessThan">
      <formula>0</formula>
    </cfRule>
    <cfRule type="cellIs" dxfId="1120" priority="1122" operator="greaterThan">
      <formula>0</formula>
    </cfRule>
  </conditionalFormatting>
  <conditionalFormatting sqref="N687">
    <cfRule type="cellIs" dxfId="1119" priority="1119" operator="lessThan">
      <formula>0</formula>
    </cfRule>
    <cfRule type="cellIs" dxfId="1118" priority="1120" operator="greaterThan">
      <formula>0</formula>
    </cfRule>
  </conditionalFormatting>
  <conditionalFormatting sqref="F687">
    <cfRule type="cellIs" dxfId="1117" priority="1117" operator="lessThan">
      <formula>0</formula>
    </cfRule>
    <cfRule type="cellIs" dxfId="1116" priority="1118" operator="greaterThan">
      <formula>0</formula>
    </cfRule>
  </conditionalFormatting>
  <conditionalFormatting sqref="N685:N686">
    <cfRule type="cellIs" dxfId="1115" priority="1115" operator="lessThan">
      <formula>0</formula>
    </cfRule>
    <cfRule type="cellIs" dxfId="1114" priority="1116" operator="greaterThan">
      <formula>0</formula>
    </cfRule>
  </conditionalFormatting>
  <conditionalFormatting sqref="F685:F686">
    <cfRule type="cellIs" dxfId="1113" priority="1113" operator="lessThan">
      <formula>0</formula>
    </cfRule>
    <cfRule type="cellIs" dxfId="1112" priority="1114" operator="greaterThan">
      <formula>0</formula>
    </cfRule>
  </conditionalFormatting>
  <conditionalFormatting sqref="N684">
    <cfRule type="cellIs" dxfId="1111" priority="1111" operator="lessThan">
      <formula>0</formula>
    </cfRule>
    <cfRule type="cellIs" dxfId="1110" priority="1112" operator="greaterThan">
      <formula>0</formula>
    </cfRule>
  </conditionalFormatting>
  <conditionalFormatting sqref="F684">
    <cfRule type="cellIs" dxfId="1109" priority="1109" operator="lessThan">
      <formula>0</formula>
    </cfRule>
    <cfRule type="cellIs" dxfId="1108" priority="1110" operator="greaterThan">
      <formula>0</formula>
    </cfRule>
  </conditionalFormatting>
  <conditionalFormatting sqref="N683">
    <cfRule type="cellIs" dxfId="1107" priority="1107" operator="lessThan">
      <formula>0</formula>
    </cfRule>
    <cfRule type="cellIs" dxfId="1106" priority="1108" operator="greaterThan">
      <formula>0</formula>
    </cfRule>
  </conditionalFormatting>
  <conditionalFormatting sqref="F683">
    <cfRule type="cellIs" dxfId="1105" priority="1105" operator="lessThan">
      <formula>0</formula>
    </cfRule>
    <cfRule type="cellIs" dxfId="1104" priority="1106" operator="greaterThan">
      <formula>0</formula>
    </cfRule>
  </conditionalFormatting>
  <conditionalFormatting sqref="N682">
    <cfRule type="cellIs" dxfId="1103" priority="1103" operator="lessThan">
      <formula>0</formula>
    </cfRule>
    <cfRule type="cellIs" dxfId="1102" priority="1104" operator="greaterThan">
      <formula>0</formula>
    </cfRule>
  </conditionalFormatting>
  <conditionalFormatting sqref="F682">
    <cfRule type="cellIs" dxfId="1101" priority="1101" operator="lessThan">
      <formula>0</formula>
    </cfRule>
    <cfRule type="cellIs" dxfId="1100" priority="1102" operator="greaterThan">
      <formula>0</formula>
    </cfRule>
  </conditionalFormatting>
  <conditionalFormatting sqref="N681">
    <cfRule type="cellIs" dxfId="1099" priority="1099" operator="lessThan">
      <formula>0</formula>
    </cfRule>
    <cfRule type="cellIs" dxfId="1098" priority="1100" operator="greaterThan">
      <formula>0</formula>
    </cfRule>
  </conditionalFormatting>
  <conditionalFormatting sqref="F681">
    <cfRule type="cellIs" dxfId="1097" priority="1097" operator="lessThan">
      <formula>0</formula>
    </cfRule>
    <cfRule type="cellIs" dxfId="1096" priority="1098" operator="greaterThan">
      <formula>0</formula>
    </cfRule>
  </conditionalFormatting>
  <conditionalFormatting sqref="N680">
    <cfRule type="cellIs" dxfId="1095" priority="1095" operator="lessThan">
      <formula>0</formula>
    </cfRule>
    <cfRule type="cellIs" dxfId="1094" priority="1096" operator="greaterThan">
      <formula>0</formula>
    </cfRule>
  </conditionalFormatting>
  <conditionalFormatting sqref="F680">
    <cfRule type="cellIs" dxfId="1093" priority="1093" operator="lessThan">
      <formula>0</formula>
    </cfRule>
    <cfRule type="cellIs" dxfId="1092" priority="1094" operator="greaterThan">
      <formula>0</formula>
    </cfRule>
  </conditionalFormatting>
  <conditionalFormatting sqref="N679">
    <cfRule type="cellIs" dxfId="1091" priority="1091" operator="lessThan">
      <formula>0</formula>
    </cfRule>
    <cfRule type="cellIs" dxfId="1090" priority="1092" operator="greaterThan">
      <formula>0</formula>
    </cfRule>
  </conditionalFormatting>
  <conditionalFormatting sqref="F679">
    <cfRule type="cellIs" dxfId="1089" priority="1089" operator="lessThan">
      <formula>0</formula>
    </cfRule>
    <cfRule type="cellIs" dxfId="1088" priority="1090" operator="greaterThan">
      <formula>0</formula>
    </cfRule>
  </conditionalFormatting>
  <conditionalFormatting sqref="N678">
    <cfRule type="cellIs" dxfId="1087" priority="1087" operator="lessThan">
      <formula>0</formula>
    </cfRule>
    <cfRule type="cellIs" dxfId="1086" priority="1088" operator="greaterThan">
      <formula>0</formula>
    </cfRule>
  </conditionalFormatting>
  <conditionalFormatting sqref="F678">
    <cfRule type="cellIs" dxfId="1085" priority="1085" operator="lessThan">
      <formula>0</formula>
    </cfRule>
    <cfRule type="cellIs" dxfId="1084" priority="1086" operator="greaterThan">
      <formula>0</formula>
    </cfRule>
  </conditionalFormatting>
  <conditionalFormatting sqref="N676:N677">
    <cfRule type="cellIs" dxfId="1083" priority="1083" operator="lessThan">
      <formula>0</formula>
    </cfRule>
    <cfRule type="cellIs" dxfId="1082" priority="1084" operator="greaterThan">
      <formula>0</formula>
    </cfRule>
  </conditionalFormatting>
  <conditionalFormatting sqref="F676:F677">
    <cfRule type="cellIs" dxfId="1081" priority="1081" operator="lessThan">
      <formula>0</formula>
    </cfRule>
    <cfRule type="cellIs" dxfId="1080" priority="1082" operator="greaterThan">
      <formula>0</formula>
    </cfRule>
  </conditionalFormatting>
  <conditionalFormatting sqref="N675">
    <cfRule type="cellIs" dxfId="1079" priority="1079" operator="lessThan">
      <formula>0</formula>
    </cfRule>
    <cfRule type="cellIs" dxfId="1078" priority="1080" operator="greaterThan">
      <formula>0</formula>
    </cfRule>
  </conditionalFormatting>
  <conditionalFormatting sqref="F675">
    <cfRule type="cellIs" dxfId="1077" priority="1077" operator="lessThan">
      <formula>0</formula>
    </cfRule>
    <cfRule type="cellIs" dxfId="1076" priority="1078" operator="greaterThan">
      <formula>0</formula>
    </cfRule>
  </conditionalFormatting>
  <conditionalFormatting sqref="N674">
    <cfRule type="cellIs" dxfId="1075" priority="1075" operator="lessThan">
      <formula>0</formula>
    </cfRule>
    <cfRule type="cellIs" dxfId="1074" priority="1076" operator="greaterThan">
      <formula>0</formula>
    </cfRule>
  </conditionalFormatting>
  <conditionalFormatting sqref="F674">
    <cfRule type="cellIs" dxfId="1073" priority="1073" operator="lessThan">
      <formula>0</formula>
    </cfRule>
    <cfRule type="cellIs" dxfId="1072" priority="1074" operator="greaterThan">
      <formula>0</formula>
    </cfRule>
  </conditionalFormatting>
  <conditionalFormatting sqref="N673">
    <cfRule type="cellIs" dxfId="1071" priority="1071" operator="lessThan">
      <formula>0</formula>
    </cfRule>
    <cfRule type="cellIs" dxfId="1070" priority="1072" operator="greaterThan">
      <formula>0</formula>
    </cfRule>
  </conditionalFormatting>
  <conditionalFormatting sqref="F673">
    <cfRule type="cellIs" dxfId="1069" priority="1069" operator="lessThan">
      <formula>0</formula>
    </cfRule>
    <cfRule type="cellIs" dxfId="1068" priority="1070" operator="greaterThan">
      <formula>0</formula>
    </cfRule>
  </conditionalFormatting>
  <conditionalFormatting sqref="N672">
    <cfRule type="cellIs" dxfId="1067" priority="1067" operator="lessThan">
      <formula>0</formula>
    </cfRule>
    <cfRule type="cellIs" dxfId="1066" priority="1068" operator="greaterThan">
      <formula>0</formula>
    </cfRule>
  </conditionalFormatting>
  <conditionalFormatting sqref="F672">
    <cfRule type="cellIs" dxfId="1065" priority="1065" operator="lessThan">
      <formula>0</formula>
    </cfRule>
    <cfRule type="cellIs" dxfId="1064" priority="1066" operator="greaterThan">
      <formula>0</formula>
    </cfRule>
  </conditionalFormatting>
  <conditionalFormatting sqref="N671">
    <cfRule type="cellIs" dxfId="1063" priority="1063" operator="lessThan">
      <formula>0</formula>
    </cfRule>
    <cfRule type="cellIs" dxfId="1062" priority="1064" operator="greaterThan">
      <formula>0</formula>
    </cfRule>
  </conditionalFormatting>
  <conditionalFormatting sqref="F671">
    <cfRule type="cellIs" dxfId="1061" priority="1061" operator="lessThan">
      <formula>0</formula>
    </cfRule>
    <cfRule type="cellIs" dxfId="1060" priority="1062" operator="greaterThan">
      <formula>0</formula>
    </cfRule>
  </conditionalFormatting>
  <conditionalFormatting sqref="N670">
    <cfRule type="cellIs" dxfId="1059" priority="1059" operator="lessThan">
      <formula>0</formula>
    </cfRule>
    <cfRule type="cellIs" dxfId="1058" priority="1060" operator="greaterThan">
      <formula>0</formula>
    </cfRule>
  </conditionalFormatting>
  <conditionalFormatting sqref="F670">
    <cfRule type="cellIs" dxfId="1057" priority="1057" operator="lessThan">
      <formula>0</formula>
    </cfRule>
    <cfRule type="cellIs" dxfId="1056" priority="1058" operator="greaterThan">
      <formula>0</formula>
    </cfRule>
  </conditionalFormatting>
  <conditionalFormatting sqref="N669">
    <cfRule type="cellIs" dxfId="1055" priority="1055" operator="lessThan">
      <formula>0</formula>
    </cfRule>
    <cfRule type="cellIs" dxfId="1054" priority="1056" operator="greaterThan">
      <formula>0</formula>
    </cfRule>
  </conditionalFormatting>
  <conditionalFormatting sqref="F669">
    <cfRule type="cellIs" dxfId="1053" priority="1053" operator="lessThan">
      <formula>0</formula>
    </cfRule>
    <cfRule type="cellIs" dxfId="1052" priority="1054" operator="greaterThan">
      <formula>0</formula>
    </cfRule>
  </conditionalFormatting>
  <conditionalFormatting sqref="N667:N668">
    <cfRule type="cellIs" dxfId="1051" priority="1051" operator="lessThan">
      <formula>0</formula>
    </cfRule>
    <cfRule type="cellIs" dxfId="1050" priority="1052" operator="greaterThan">
      <formula>0</formula>
    </cfRule>
  </conditionalFormatting>
  <conditionalFormatting sqref="F667:F668">
    <cfRule type="cellIs" dxfId="1049" priority="1049" operator="lessThan">
      <formula>0</formula>
    </cfRule>
    <cfRule type="cellIs" dxfId="1048" priority="1050" operator="greaterThan">
      <formula>0</formula>
    </cfRule>
  </conditionalFormatting>
  <conditionalFormatting sqref="N666">
    <cfRule type="cellIs" dxfId="1047" priority="1047" operator="lessThan">
      <formula>0</formula>
    </cfRule>
    <cfRule type="cellIs" dxfId="1046" priority="1048" operator="greaterThan">
      <formula>0</formula>
    </cfRule>
  </conditionalFormatting>
  <conditionalFormatting sqref="F666">
    <cfRule type="cellIs" dxfId="1045" priority="1045" operator="lessThan">
      <formula>0</formula>
    </cfRule>
    <cfRule type="cellIs" dxfId="1044" priority="1046" operator="greaterThan">
      <formula>0</formula>
    </cfRule>
  </conditionalFormatting>
  <conditionalFormatting sqref="N665">
    <cfRule type="cellIs" dxfId="1043" priority="1043" operator="lessThan">
      <formula>0</formula>
    </cfRule>
    <cfRule type="cellIs" dxfId="1042" priority="1044" operator="greaterThan">
      <formula>0</formula>
    </cfRule>
  </conditionalFormatting>
  <conditionalFormatting sqref="F665">
    <cfRule type="cellIs" dxfId="1041" priority="1041" operator="lessThan">
      <formula>0</formula>
    </cfRule>
    <cfRule type="cellIs" dxfId="1040" priority="1042" operator="greaterThan">
      <formula>0</formula>
    </cfRule>
  </conditionalFormatting>
  <conditionalFormatting sqref="N664">
    <cfRule type="cellIs" dxfId="1039" priority="1039" operator="lessThan">
      <formula>0</formula>
    </cfRule>
    <cfRule type="cellIs" dxfId="1038" priority="1040" operator="greaterThan">
      <formula>0</formula>
    </cfRule>
  </conditionalFormatting>
  <conditionalFormatting sqref="F664">
    <cfRule type="cellIs" dxfId="1037" priority="1037" operator="lessThan">
      <formula>0</formula>
    </cfRule>
    <cfRule type="cellIs" dxfId="1036" priority="1038" operator="greaterThan">
      <formula>0</formula>
    </cfRule>
  </conditionalFormatting>
  <conditionalFormatting sqref="N663">
    <cfRule type="cellIs" dxfId="1035" priority="1035" operator="lessThan">
      <formula>0</formula>
    </cfRule>
    <cfRule type="cellIs" dxfId="1034" priority="1036" operator="greaterThan">
      <formula>0</formula>
    </cfRule>
  </conditionalFormatting>
  <conditionalFormatting sqref="F663">
    <cfRule type="cellIs" dxfId="1033" priority="1033" operator="lessThan">
      <formula>0</formula>
    </cfRule>
    <cfRule type="cellIs" dxfId="1032" priority="1034" operator="greaterThan">
      <formula>0</formula>
    </cfRule>
  </conditionalFormatting>
  <conditionalFormatting sqref="N662">
    <cfRule type="cellIs" dxfId="1031" priority="1031" operator="lessThan">
      <formula>0</formula>
    </cfRule>
    <cfRule type="cellIs" dxfId="1030" priority="1032" operator="greaterThan">
      <formula>0</formula>
    </cfRule>
  </conditionalFormatting>
  <conditionalFormatting sqref="F662">
    <cfRule type="cellIs" dxfId="1029" priority="1029" operator="lessThan">
      <formula>0</formula>
    </cfRule>
    <cfRule type="cellIs" dxfId="1028" priority="1030" operator="greaterThan">
      <formula>0</formula>
    </cfRule>
  </conditionalFormatting>
  <conditionalFormatting sqref="N661">
    <cfRule type="cellIs" dxfId="1027" priority="1027" operator="lessThan">
      <formula>0</formula>
    </cfRule>
    <cfRule type="cellIs" dxfId="1026" priority="1028" operator="greaterThan">
      <formula>0</formula>
    </cfRule>
  </conditionalFormatting>
  <conditionalFormatting sqref="F661">
    <cfRule type="cellIs" dxfId="1025" priority="1025" operator="lessThan">
      <formula>0</formula>
    </cfRule>
    <cfRule type="cellIs" dxfId="1024" priority="1026" operator="greaterThan">
      <formula>0</formula>
    </cfRule>
  </conditionalFormatting>
  <conditionalFormatting sqref="N660">
    <cfRule type="cellIs" dxfId="1023" priority="1023" operator="lessThan">
      <formula>0</formula>
    </cfRule>
    <cfRule type="cellIs" dxfId="1022" priority="1024" operator="greaterThan">
      <formula>0</formula>
    </cfRule>
  </conditionalFormatting>
  <conditionalFormatting sqref="F660">
    <cfRule type="cellIs" dxfId="1021" priority="1021" operator="lessThan">
      <formula>0</formula>
    </cfRule>
    <cfRule type="cellIs" dxfId="1020" priority="1022" operator="greaterThan">
      <formula>0</formula>
    </cfRule>
  </conditionalFormatting>
  <conditionalFormatting sqref="N658:N659">
    <cfRule type="cellIs" dxfId="1019" priority="1019" operator="lessThan">
      <formula>0</formula>
    </cfRule>
    <cfRule type="cellIs" dxfId="1018" priority="1020" operator="greaterThan">
      <formula>0</formula>
    </cfRule>
  </conditionalFormatting>
  <conditionalFormatting sqref="F658:F659">
    <cfRule type="cellIs" dxfId="1017" priority="1017" operator="lessThan">
      <formula>0</formula>
    </cfRule>
    <cfRule type="cellIs" dxfId="1016" priority="1018" operator="greaterThan">
      <formula>0</formula>
    </cfRule>
  </conditionalFormatting>
  <conditionalFormatting sqref="N657">
    <cfRule type="cellIs" dxfId="1015" priority="1015" operator="lessThan">
      <formula>0</formula>
    </cfRule>
    <cfRule type="cellIs" dxfId="1014" priority="1016" operator="greaterThan">
      <formula>0</formula>
    </cfRule>
  </conditionalFormatting>
  <conditionalFormatting sqref="F657">
    <cfRule type="cellIs" dxfId="1013" priority="1013" operator="lessThan">
      <formula>0</formula>
    </cfRule>
    <cfRule type="cellIs" dxfId="1012" priority="1014" operator="greaterThan">
      <formula>0</formula>
    </cfRule>
  </conditionalFormatting>
  <conditionalFormatting sqref="N656">
    <cfRule type="cellIs" dxfId="1011" priority="1011" operator="lessThan">
      <formula>0</formula>
    </cfRule>
    <cfRule type="cellIs" dxfId="1010" priority="1012" operator="greaterThan">
      <formula>0</formula>
    </cfRule>
  </conditionalFormatting>
  <conditionalFormatting sqref="F656">
    <cfRule type="cellIs" dxfId="1009" priority="1009" operator="lessThan">
      <formula>0</formula>
    </cfRule>
    <cfRule type="cellIs" dxfId="1008" priority="1010" operator="greaterThan">
      <formula>0</formula>
    </cfRule>
  </conditionalFormatting>
  <conditionalFormatting sqref="N655">
    <cfRule type="cellIs" dxfId="1007" priority="1007" operator="lessThan">
      <formula>0</formula>
    </cfRule>
    <cfRule type="cellIs" dxfId="1006" priority="1008" operator="greaterThan">
      <formula>0</formula>
    </cfRule>
  </conditionalFormatting>
  <conditionalFormatting sqref="F655">
    <cfRule type="cellIs" dxfId="1005" priority="1005" operator="lessThan">
      <formula>0</formula>
    </cfRule>
    <cfRule type="cellIs" dxfId="1004" priority="1006" operator="greaterThan">
      <formula>0</formula>
    </cfRule>
  </conditionalFormatting>
  <conditionalFormatting sqref="N654">
    <cfRule type="cellIs" dxfId="1003" priority="1003" operator="lessThan">
      <formula>0</formula>
    </cfRule>
    <cfRule type="cellIs" dxfId="1002" priority="1004" operator="greaterThan">
      <formula>0</formula>
    </cfRule>
  </conditionalFormatting>
  <conditionalFormatting sqref="F654">
    <cfRule type="cellIs" dxfId="1001" priority="1001" operator="lessThan">
      <formula>0</formula>
    </cfRule>
    <cfRule type="cellIs" dxfId="1000" priority="1002" operator="greaterThan">
      <formula>0</formula>
    </cfRule>
  </conditionalFormatting>
  <conditionalFormatting sqref="N653">
    <cfRule type="cellIs" dxfId="999" priority="999" operator="lessThan">
      <formula>0</formula>
    </cfRule>
    <cfRule type="cellIs" dxfId="998" priority="1000" operator="greaterThan">
      <formula>0</formula>
    </cfRule>
  </conditionalFormatting>
  <conditionalFormatting sqref="F653">
    <cfRule type="cellIs" dxfId="997" priority="997" operator="lessThan">
      <formula>0</formula>
    </cfRule>
    <cfRule type="cellIs" dxfId="996" priority="998" operator="greaterThan">
      <formula>0</formula>
    </cfRule>
  </conditionalFormatting>
  <conditionalFormatting sqref="N652">
    <cfRule type="cellIs" dxfId="995" priority="995" operator="lessThan">
      <formula>0</formula>
    </cfRule>
    <cfRule type="cellIs" dxfId="994" priority="996" operator="greaterThan">
      <formula>0</formula>
    </cfRule>
  </conditionalFormatting>
  <conditionalFormatting sqref="F652">
    <cfRule type="cellIs" dxfId="993" priority="993" operator="lessThan">
      <formula>0</formula>
    </cfRule>
    <cfRule type="cellIs" dxfId="992" priority="994" operator="greaterThan">
      <formula>0</formula>
    </cfRule>
  </conditionalFormatting>
  <conditionalFormatting sqref="N651">
    <cfRule type="cellIs" dxfId="991" priority="991" operator="lessThan">
      <formula>0</formula>
    </cfRule>
    <cfRule type="cellIs" dxfId="990" priority="992" operator="greaterThan">
      <formula>0</formula>
    </cfRule>
  </conditionalFormatting>
  <conditionalFormatting sqref="F651">
    <cfRule type="cellIs" dxfId="989" priority="989" operator="lessThan">
      <formula>0</formula>
    </cfRule>
    <cfRule type="cellIs" dxfId="988" priority="990" operator="greaterThan">
      <formula>0</formula>
    </cfRule>
  </conditionalFormatting>
  <conditionalFormatting sqref="N649:N650">
    <cfRule type="cellIs" dxfId="987" priority="987" operator="lessThan">
      <formula>0</formula>
    </cfRule>
    <cfRule type="cellIs" dxfId="986" priority="988" operator="greaterThan">
      <formula>0</formula>
    </cfRule>
  </conditionalFormatting>
  <conditionalFormatting sqref="F649:F650">
    <cfRule type="cellIs" dxfId="985" priority="985" operator="lessThan">
      <formula>0</formula>
    </cfRule>
    <cfRule type="cellIs" dxfId="984" priority="986" operator="greaterThan">
      <formula>0</formula>
    </cfRule>
  </conditionalFormatting>
  <conditionalFormatting sqref="N648">
    <cfRule type="cellIs" dxfId="983" priority="983" operator="lessThan">
      <formula>0</formula>
    </cfRule>
    <cfRule type="cellIs" dxfId="982" priority="984" operator="greaterThan">
      <formula>0</formula>
    </cfRule>
  </conditionalFormatting>
  <conditionalFormatting sqref="F648">
    <cfRule type="cellIs" dxfId="981" priority="981" operator="lessThan">
      <formula>0</formula>
    </cfRule>
    <cfRule type="cellIs" dxfId="980" priority="982" operator="greaterThan">
      <formula>0</formula>
    </cfRule>
  </conditionalFormatting>
  <conditionalFormatting sqref="N647">
    <cfRule type="cellIs" dxfId="979" priority="979" operator="lessThan">
      <formula>0</formula>
    </cfRule>
    <cfRule type="cellIs" dxfId="978" priority="980" operator="greaterThan">
      <formula>0</formula>
    </cfRule>
  </conditionalFormatting>
  <conditionalFormatting sqref="F647">
    <cfRule type="cellIs" dxfId="977" priority="977" operator="lessThan">
      <formula>0</formula>
    </cfRule>
    <cfRule type="cellIs" dxfId="976" priority="978" operator="greaterThan">
      <formula>0</formula>
    </cfRule>
  </conditionalFormatting>
  <conditionalFormatting sqref="N646">
    <cfRule type="cellIs" dxfId="975" priority="975" operator="lessThan">
      <formula>0</formula>
    </cfRule>
    <cfRule type="cellIs" dxfId="974" priority="976" operator="greaterThan">
      <formula>0</formula>
    </cfRule>
  </conditionalFormatting>
  <conditionalFormatting sqref="F646">
    <cfRule type="cellIs" dxfId="973" priority="973" operator="lessThan">
      <formula>0</formula>
    </cfRule>
    <cfRule type="cellIs" dxfId="972" priority="974" operator="greaterThan">
      <formula>0</formula>
    </cfRule>
  </conditionalFormatting>
  <conditionalFormatting sqref="N645">
    <cfRule type="cellIs" dxfId="971" priority="971" operator="lessThan">
      <formula>0</formula>
    </cfRule>
    <cfRule type="cellIs" dxfId="970" priority="972" operator="greaterThan">
      <formula>0</formula>
    </cfRule>
  </conditionalFormatting>
  <conditionalFormatting sqref="F645">
    <cfRule type="cellIs" dxfId="969" priority="969" operator="lessThan">
      <formula>0</formula>
    </cfRule>
    <cfRule type="cellIs" dxfId="968" priority="970" operator="greaterThan">
      <formula>0</formula>
    </cfRule>
  </conditionalFormatting>
  <conditionalFormatting sqref="N644">
    <cfRule type="cellIs" dxfId="967" priority="967" operator="lessThan">
      <formula>0</formula>
    </cfRule>
    <cfRule type="cellIs" dxfId="966" priority="968" operator="greaterThan">
      <formula>0</formula>
    </cfRule>
  </conditionalFormatting>
  <conditionalFormatting sqref="F644">
    <cfRule type="cellIs" dxfId="965" priority="965" operator="lessThan">
      <formula>0</formula>
    </cfRule>
    <cfRule type="cellIs" dxfId="964" priority="966" operator="greaterThan">
      <formula>0</formula>
    </cfRule>
  </conditionalFormatting>
  <conditionalFormatting sqref="N643">
    <cfRule type="cellIs" dxfId="963" priority="963" operator="lessThan">
      <formula>0</formula>
    </cfRule>
    <cfRule type="cellIs" dxfId="962" priority="964" operator="greaterThan">
      <formula>0</formula>
    </cfRule>
  </conditionalFormatting>
  <conditionalFormatting sqref="F643">
    <cfRule type="cellIs" dxfId="961" priority="961" operator="lessThan">
      <formula>0</formula>
    </cfRule>
    <cfRule type="cellIs" dxfId="960" priority="962" operator="greaterThan">
      <formula>0</formula>
    </cfRule>
  </conditionalFormatting>
  <conditionalFormatting sqref="N642">
    <cfRule type="cellIs" dxfId="959" priority="959" operator="lessThan">
      <formula>0</formula>
    </cfRule>
    <cfRule type="cellIs" dxfId="958" priority="960" operator="greaterThan">
      <formula>0</formula>
    </cfRule>
  </conditionalFormatting>
  <conditionalFormatting sqref="F642">
    <cfRule type="cellIs" dxfId="957" priority="957" operator="lessThan">
      <formula>0</formula>
    </cfRule>
    <cfRule type="cellIs" dxfId="956" priority="958" operator="greaterThan">
      <formula>0</formula>
    </cfRule>
  </conditionalFormatting>
  <conditionalFormatting sqref="N640:N641">
    <cfRule type="cellIs" dxfId="955" priority="955" operator="lessThan">
      <formula>0</formula>
    </cfRule>
    <cfRule type="cellIs" dxfId="954" priority="956" operator="greaterThan">
      <formula>0</formula>
    </cfRule>
  </conditionalFormatting>
  <conditionalFormatting sqref="F640:F641">
    <cfRule type="cellIs" dxfId="953" priority="953" operator="lessThan">
      <formula>0</formula>
    </cfRule>
    <cfRule type="cellIs" dxfId="952" priority="954" operator="greaterThan">
      <formula>0</formula>
    </cfRule>
  </conditionalFormatting>
  <conditionalFormatting sqref="N639">
    <cfRule type="cellIs" dxfId="951" priority="951" operator="lessThan">
      <formula>0</formula>
    </cfRule>
    <cfRule type="cellIs" dxfId="950" priority="952" operator="greaterThan">
      <formula>0</formula>
    </cfRule>
  </conditionalFormatting>
  <conditionalFormatting sqref="F639">
    <cfRule type="cellIs" dxfId="949" priority="949" operator="lessThan">
      <formula>0</formula>
    </cfRule>
    <cfRule type="cellIs" dxfId="948" priority="950" operator="greaterThan">
      <formula>0</formula>
    </cfRule>
  </conditionalFormatting>
  <conditionalFormatting sqref="N638">
    <cfRule type="cellIs" dxfId="947" priority="947" operator="lessThan">
      <formula>0</formula>
    </cfRule>
    <cfRule type="cellIs" dxfId="946" priority="948" operator="greaterThan">
      <formula>0</formula>
    </cfRule>
  </conditionalFormatting>
  <conditionalFormatting sqref="F638">
    <cfRule type="cellIs" dxfId="945" priority="945" operator="lessThan">
      <formula>0</formula>
    </cfRule>
    <cfRule type="cellIs" dxfId="944" priority="946" operator="greaterThan">
      <formula>0</formula>
    </cfRule>
  </conditionalFormatting>
  <conditionalFormatting sqref="N637">
    <cfRule type="cellIs" dxfId="943" priority="943" operator="lessThan">
      <formula>0</formula>
    </cfRule>
    <cfRule type="cellIs" dxfId="942" priority="944" operator="greaterThan">
      <formula>0</formula>
    </cfRule>
  </conditionalFormatting>
  <conditionalFormatting sqref="F637">
    <cfRule type="cellIs" dxfId="941" priority="941" operator="lessThan">
      <formula>0</formula>
    </cfRule>
    <cfRule type="cellIs" dxfId="940" priority="942" operator="greaterThan">
      <formula>0</formula>
    </cfRule>
  </conditionalFormatting>
  <conditionalFormatting sqref="N636">
    <cfRule type="cellIs" dxfId="939" priority="939" operator="lessThan">
      <formula>0</formula>
    </cfRule>
    <cfRule type="cellIs" dxfId="938" priority="940" operator="greaterThan">
      <formula>0</formula>
    </cfRule>
  </conditionalFormatting>
  <conditionalFormatting sqref="F636">
    <cfRule type="cellIs" dxfId="937" priority="937" operator="lessThan">
      <formula>0</formula>
    </cfRule>
    <cfRule type="cellIs" dxfId="936" priority="938" operator="greaterThan">
      <formula>0</formula>
    </cfRule>
  </conditionalFormatting>
  <conditionalFormatting sqref="N635">
    <cfRule type="cellIs" dxfId="935" priority="935" operator="lessThan">
      <formula>0</formula>
    </cfRule>
    <cfRule type="cellIs" dxfId="934" priority="936" operator="greaterThan">
      <formula>0</formula>
    </cfRule>
  </conditionalFormatting>
  <conditionalFormatting sqref="F635">
    <cfRule type="cellIs" dxfId="933" priority="933" operator="lessThan">
      <formula>0</formula>
    </cfRule>
    <cfRule type="cellIs" dxfId="932" priority="934" operator="greaterThan">
      <formula>0</formula>
    </cfRule>
  </conditionalFormatting>
  <conditionalFormatting sqref="N634">
    <cfRule type="cellIs" dxfId="931" priority="931" operator="lessThan">
      <formula>0</formula>
    </cfRule>
    <cfRule type="cellIs" dxfId="930" priority="932" operator="greaterThan">
      <formula>0</formula>
    </cfRule>
  </conditionalFormatting>
  <conditionalFormatting sqref="F634">
    <cfRule type="cellIs" dxfId="929" priority="929" operator="lessThan">
      <formula>0</formula>
    </cfRule>
    <cfRule type="cellIs" dxfId="928" priority="930" operator="greaterThan">
      <formula>0</formula>
    </cfRule>
  </conditionalFormatting>
  <conditionalFormatting sqref="N633">
    <cfRule type="cellIs" dxfId="927" priority="927" operator="lessThan">
      <formula>0</formula>
    </cfRule>
    <cfRule type="cellIs" dxfId="926" priority="928" operator="greaterThan">
      <formula>0</formula>
    </cfRule>
  </conditionalFormatting>
  <conditionalFormatting sqref="F633">
    <cfRule type="cellIs" dxfId="925" priority="925" operator="lessThan">
      <formula>0</formula>
    </cfRule>
    <cfRule type="cellIs" dxfId="924" priority="926" operator="greaterThan">
      <formula>0</formula>
    </cfRule>
  </conditionalFormatting>
  <conditionalFormatting sqref="N631:N632">
    <cfRule type="cellIs" dxfId="923" priority="923" operator="lessThan">
      <formula>0</formula>
    </cfRule>
    <cfRule type="cellIs" dxfId="922" priority="924" operator="greaterThan">
      <formula>0</formula>
    </cfRule>
  </conditionalFormatting>
  <conditionalFormatting sqref="F631:F632">
    <cfRule type="cellIs" dxfId="921" priority="921" operator="lessThan">
      <formula>0</formula>
    </cfRule>
    <cfRule type="cellIs" dxfId="920" priority="922" operator="greaterThan">
      <formula>0</formula>
    </cfRule>
  </conditionalFormatting>
  <conditionalFormatting sqref="N630">
    <cfRule type="cellIs" dxfId="919" priority="919" operator="lessThan">
      <formula>0</formula>
    </cfRule>
    <cfRule type="cellIs" dxfId="918" priority="920" operator="greaterThan">
      <formula>0</formula>
    </cfRule>
  </conditionalFormatting>
  <conditionalFormatting sqref="F630">
    <cfRule type="cellIs" dxfId="917" priority="917" operator="lessThan">
      <formula>0</formula>
    </cfRule>
    <cfRule type="cellIs" dxfId="916" priority="918" operator="greaterThan">
      <formula>0</formula>
    </cfRule>
  </conditionalFormatting>
  <conditionalFormatting sqref="N629">
    <cfRule type="cellIs" dxfId="915" priority="915" operator="lessThan">
      <formula>0</formula>
    </cfRule>
    <cfRule type="cellIs" dxfId="914" priority="916" operator="greaterThan">
      <formula>0</formula>
    </cfRule>
  </conditionalFormatting>
  <conditionalFormatting sqref="F629">
    <cfRule type="cellIs" dxfId="913" priority="913" operator="lessThan">
      <formula>0</formula>
    </cfRule>
    <cfRule type="cellIs" dxfId="912" priority="914" operator="greaterThan">
      <formula>0</formula>
    </cfRule>
  </conditionalFormatting>
  <conditionalFormatting sqref="N628">
    <cfRule type="cellIs" dxfId="911" priority="911" operator="lessThan">
      <formula>0</formula>
    </cfRule>
    <cfRule type="cellIs" dxfId="910" priority="912" operator="greaterThan">
      <formula>0</formula>
    </cfRule>
  </conditionalFormatting>
  <conditionalFormatting sqref="F628">
    <cfRule type="cellIs" dxfId="909" priority="909" operator="lessThan">
      <formula>0</formula>
    </cfRule>
    <cfRule type="cellIs" dxfId="908" priority="910" operator="greaterThan">
      <formula>0</formula>
    </cfRule>
  </conditionalFormatting>
  <conditionalFormatting sqref="N627">
    <cfRule type="cellIs" dxfId="907" priority="907" operator="lessThan">
      <formula>0</formula>
    </cfRule>
    <cfRule type="cellIs" dxfId="906" priority="908" operator="greaterThan">
      <formula>0</formula>
    </cfRule>
  </conditionalFormatting>
  <conditionalFormatting sqref="F627">
    <cfRule type="cellIs" dxfId="905" priority="905" operator="lessThan">
      <formula>0</formula>
    </cfRule>
    <cfRule type="cellIs" dxfId="904" priority="906" operator="greaterThan">
      <formula>0</formula>
    </cfRule>
  </conditionalFormatting>
  <conditionalFormatting sqref="N626">
    <cfRule type="cellIs" dxfId="903" priority="903" operator="lessThan">
      <formula>0</formula>
    </cfRule>
    <cfRule type="cellIs" dxfId="902" priority="904" operator="greaterThan">
      <formula>0</formula>
    </cfRule>
  </conditionalFormatting>
  <conditionalFormatting sqref="F626">
    <cfRule type="cellIs" dxfId="901" priority="901" operator="lessThan">
      <formula>0</formula>
    </cfRule>
    <cfRule type="cellIs" dxfId="900" priority="902" operator="greaterThan">
      <formula>0</formula>
    </cfRule>
  </conditionalFormatting>
  <conditionalFormatting sqref="N625">
    <cfRule type="cellIs" dxfId="899" priority="899" operator="lessThan">
      <formula>0</formula>
    </cfRule>
    <cfRule type="cellIs" dxfId="898" priority="900" operator="greaterThan">
      <formula>0</formula>
    </cfRule>
  </conditionalFormatting>
  <conditionalFormatting sqref="F625">
    <cfRule type="cellIs" dxfId="897" priority="897" operator="lessThan">
      <formula>0</formula>
    </cfRule>
    <cfRule type="cellIs" dxfId="896" priority="898" operator="greaterThan">
      <formula>0</formula>
    </cfRule>
  </conditionalFormatting>
  <conditionalFormatting sqref="N624">
    <cfRule type="cellIs" dxfId="895" priority="895" operator="lessThan">
      <formula>0</formula>
    </cfRule>
    <cfRule type="cellIs" dxfId="894" priority="896" operator="greaterThan">
      <formula>0</formula>
    </cfRule>
  </conditionalFormatting>
  <conditionalFormatting sqref="F624">
    <cfRule type="cellIs" dxfId="893" priority="893" operator="lessThan">
      <formula>0</formula>
    </cfRule>
    <cfRule type="cellIs" dxfId="892" priority="894" operator="greaterThan">
      <formula>0</formula>
    </cfRule>
  </conditionalFormatting>
  <conditionalFormatting sqref="N622:N623">
    <cfRule type="cellIs" dxfId="891" priority="891" operator="lessThan">
      <formula>0</formula>
    </cfRule>
    <cfRule type="cellIs" dxfId="890" priority="892" operator="greaterThan">
      <formula>0</formula>
    </cfRule>
  </conditionalFormatting>
  <conditionalFormatting sqref="F622:F623">
    <cfRule type="cellIs" dxfId="889" priority="889" operator="lessThan">
      <formula>0</formula>
    </cfRule>
    <cfRule type="cellIs" dxfId="888" priority="890" operator="greaterThan">
      <formula>0</formula>
    </cfRule>
  </conditionalFormatting>
  <conditionalFormatting sqref="N621">
    <cfRule type="cellIs" dxfId="887" priority="887" operator="lessThan">
      <formula>0</formula>
    </cfRule>
    <cfRule type="cellIs" dxfId="886" priority="888" operator="greaterThan">
      <formula>0</formula>
    </cfRule>
  </conditionalFormatting>
  <conditionalFormatting sqref="F621">
    <cfRule type="cellIs" dxfId="885" priority="885" operator="lessThan">
      <formula>0</formula>
    </cfRule>
    <cfRule type="cellIs" dxfId="884" priority="886" operator="greaterThan">
      <formula>0</formula>
    </cfRule>
  </conditionalFormatting>
  <conditionalFormatting sqref="N620">
    <cfRule type="cellIs" dxfId="883" priority="883" operator="lessThan">
      <formula>0</formula>
    </cfRule>
    <cfRule type="cellIs" dxfId="882" priority="884" operator="greaterThan">
      <formula>0</formula>
    </cfRule>
  </conditionalFormatting>
  <conditionalFormatting sqref="F620">
    <cfRule type="cellIs" dxfId="881" priority="881" operator="lessThan">
      <formula>0</formula>
    </cfRule>
    <cfRule type="cellIs" dxfId="880" priority="882" operator="greaterThan">
      <formula>0</formula>
    </cfRule>
  </conditionalFormatting>
  <conditionalFormatting sqref="N619">
    <cfRule type="cellIs" dxfId="879" priority="879" operator="lessThan">
      <formula>0</formula>
    </cfRule>
    <cfRule type="cellIs" dxfId="878" priority="880" operator="greaterThan">
      <formula>0</formula>
    </cfRule>
  </conditionalFormatting>
  <conditionalFormatting sqref="F619">
    <cfRule type="cellIs" dxfId="877" priority="877" operator="lessThan">
      <formula>0</formula>
    </cfRule>
    <cfRule type="cellIs" dxfId="876" priority="878" operator="greaterThan">
      <formula>0</formula>
    </cfRule>
  </conditionalFormatting>
  <conditionalFormatting sqref="N618">
    <cfRule type="cellIs" dxfId="875" priority="875" operator="lessThan">
      <formula>0</formula>
    </cfRule>
    <cfRule type="cellIs" dxfId="874" priority="876" operator="greaterThan">
      <formula>0</formula>
    </cfRule>
  </conditionalFormatting>
  <conditionalFormatting sqref="F618">
    <cfRule type="cellIs" dxfId="873" priority="873" operator="lessThan">
      <formula>0</formula>
    </cfRule>
    <cfRule type="cellIs" dxfId="872" priority="874" operator="greaterThan">
      <formula>0</formula>
    </cfRule>
  </conditionalFormatting>
  <conditionalFormatting sqref="N617">
    <cfRule type="cellIs" dxfId="871" priority="871" operator="lessThan">
      <formula>0</formula>
    </cfRule>
    <cfRule type="cellIs" dxfId="870" priority="872" operator="greaterThan">
      <formula>0</formula>
    </cfRule>
  </conditionalFormatting>
  <conditionalFormatting sqref="F617">
    <cfRule type="cellIs" dxfId="869" priority="869" operator="lessThan">
      <formula>0</formula>
    </cfRule>
    <cfRule type="cellIs" dxfId="868" priority="870" operator="greaterThan">
      <formula>0</formula>
    </cfRule>
  </conditionalFormatting>
  <conditionalFormatting sqref="N616">
    <cfRule type="cellIs" dxfId="867" priority="867" operator="lessThan">
      <formula>0</formula>
    </cfRule>
    <cfRule type="cellIs" dxfId="866" priority="868" operator="greaterThan">
      <formula>0</formula>
    </cfRule>
  </conditionalFormatting>
  <conditionalFormatting sqref="F616">
    <cfRule type="cellIs" dxfId="865" priority="865" operator="lessThan">
      <formula>0</formula>
    </cfRule>
    <cfRule type="cellIs" dxfId="864" priority="866" operator="greaterThan">
      <formula>0</formula>
    </cfRule>
  </conditionalFormatting>
  <conditionalFormatting sqref="N615">
    <cfRule type="cellIs" dxfId="863" priority="863" operator="lessThan">
      <formula>0</formula>
    </cfRule>
    <cfRule type="cellIs" dxfId="862" priority="864" operator="greaterThan">
      <formula>0</formula>
    </cfRule>
  </conditionalFormatting>
  <conditionalFormatting sqref="F615">
    <cfRule type="cellIs" dxfId="861" priority="861" operator="lessThan">
      <formula>0</formula>
    </cfRule>
    <cfRule type="cellIs" dxfId="860" priority="862" operator="greaterThan">
      <formula>0</formula>
    </cfRule>
  </conditionalFormatting>
  <conditionalFormatting sqref="N613:N614">
    <cfRule type="cellIs" dxfId="859" priority="859" operator="lessThan">
      <formula>0</formula>
    </cfRule>
    <cfRule type="cellIs" dxfId="858" priority="860" operator="greaterThan">
      <formula>0</formula>
    </cfRule>
  </conditionalFormatting>
  <conditionalFormatting sqref="F613:F614">
    <cfRule type="cellIs" dxfId="857" priority="857" operator="lessThan">
      <formula>0</formula>
    </cfRule>
    <cfRule type="cellIs" dxfId="856" priority="858" operator="greaterThan">
      <formula>0</formula>
    </cfRule>
  </conditionalFormatting>
  <conditionalFormatting sqref="N612">
    <cfRule type="cellIs" dxfId="855" priority="855" operator="lessThan">
      <formula>0</formula>
    </cfRule>
    <cfRule type="cellIs" dxfId="854" priority="856" operator="greaterThan">
      <formula>0</formula>
    </cfRule>
  </conditionalFormatting>
  <conditionalFormatting sqref="F612">
    <cfRule type="cellIs" dxfId="853" priority="853" operator="lessThan">
      <formula>0</formula>
    </cfRule>
    <cfRule type="cellIs" dxfId="852" priority="854" operator="greaterThan">
      <formula>0</formula>
    </cfRule>
  </conditionalFormatting>
  <conditionalFormatting sqref="N611">
    <cfRule type="cellIs" dxfId="851" priority="851" operator="lessThan">
      <formula>0</formula>
    </cfRule>
    <cfRule type="cellIs" dxfId="850" priority="852" operator="greaterThan">
      <formula>0</formula>
    </cfRule>
  </conditionalFormatting>
  <conditionalFormatting sqref="F611">
    <cfRule type="cellIs" dxfId="849" priority="849" operator="lessThan">
      <formula>0</formula>
    </cfRule>
    <cfRule type="cellIs" dxfId="848" priority="850" operator="greaterThan">
      <formula>0</formula>
    </cfRule>
  </conditionalFormatting>
  <conditionalFormatting sqref="N610">
    <cfRule type="cellIs" dxfId="847" priority="847" operator="lessThan">
      <formula>0</formula>
    </cfRule>
    <cfRule type="cellIs" dxfId="846" priority="848" operator="greaterThan">
      <formula>0</formula>
    </cfRule>
  </conditionalFormatting>
  <conditionalFormatting sqref="F610">
    <cfRule type="cellIs" dxfId="845" priority="845" operator="lessThan">
      <formula>0</formula>
    </cfRule>
    <cfRule type="cellIs" dxfId="844" priority="846" operator="greaterThan">
      <formula>0</formula>
    </cfRule>
  </conditionalFormatting>
  <conditionalFormatting sqref="N609">
    <cfRule type="cellIs" dxfId="843" priority="843" operator="lessThan">
      <formula>0</formula>
    </cfRule>
    <cfRule type="cellIs" dxfId="842" priority="844" operator="greaterThan">
      <formula>0</formula>
    </cfRule>
  </conditionalFormatting>
  <conditionalFormatting sqref="F609">
    <cfRule type="cellIs" dxfId="841" priority="841" operator="lessThan">
      <formula>0</formula>
    </cfRule>
    <cfRule type="cellIs" dxfId="840" priority="842" operator="greaterThan">
      <formula>0</formula>
    </cfRule>
  </conditionalFormatting>
  <conditionalFormatting sqref="N608">
    <cfRule type="cellIs" dxfId="839" priority="839" operator="lessThan">
      <formula>0</formula>
    </cfRule>
    <cfRule type="cellIs" dxfId="838" priority="840" operator="greaterThan">
      <formula>0</formula>
    </cfRule>
  </conditionalFormatting>
  <conditionalFormatting sqref="F608">
    <cfRule type="cellIs" dxfId="837" priority="837" operator="lessThan">
      <formula>0</formula>
    </cfRule>
    <cfRule type="cellIs" dxfId="836" priority="838" operator="greaterThan">
      <formula>0</formula>
    </cfRule>
  </conditionalFormatting>
  <conditionalFormatting sqref="N607">
    <cfRule type="cellIs" dxfId="835" priority="835" operator="lessThan">
      <formula>0</formula>
    </cfRule>
    <cfRule type="cellIs" dxfId="834" priority="836" operator="greaterThan">
      <formula>0</formula>
    </cfRule>
  </conditionalFormatting>
  <conditionalFormatting sqref="F607">
    <cfRule type="cellIs" dxfId="833" priority="833" operator="lessThan">
      <formula>0</formula>
    </cfRule>
    <cfRule type="cellIs" dxfId="832" priority="834" operator="greaterThan">
      <formula>0</formula>
    </cfRule>
  </conditionalFormatting>
  <conditionalFormatting sqref="N606">
    <cfRule type="cellIs" dxfId="831" priority="831" operator="lessThan">
      <formula>0</formula>
    </cfRule>
    <cfRule type="cellIs" dxfId="830" priority="832" operator="greaterThan">
      <formula>0</formula>
    </cfRule>
  </conditionalFormatting>
  <conditionalFormatting sqref="F606">
    <cfRule type="cellIs" dxfId="829" priority="829" operator="lessThan">
      <formula>0</formula>
    </cfRule>
    <cfRule type="cellIs" dxfId="828" priority="830" operator="greaterThan">
      <formula>0</formula>
    </cfRule>
  </conditionalFormatting>
  <conditionalFormatting sqref="N604:N605">
    <cfRule type="cellIs" dxfId="827" priority="827" operator="lessThan">
      <formula>0</formula>
    </cfRule>
    <cfRule type="cellIs" dxfId="826" priority="828" operator="greaterThan">
      <formula>0</formula>
    </cfRule>
  </conditionalFormatting>
  <conditionalFormatting sqref="F604:F605">
    <cfRule type="cellIs" dxfId="825" priority="825" operator="lessThan">
      <formula>0</formula>
    </cfRule>
    <cfRule type="cellIs" dxfId="824" priority="826" operator="greaterThan">
      <formula>0</formula>
    </cfRule>
  </conditionalFormatting>
  <conditionalFormatting sqref="N603">
    <cfRule type="cellIs" dxfId="823" priority="823" operator="lessThan">
      <formula>0</formula>
    </cfRule>
    <cfRule type="cellIs" dxfId="822" priority="824" operator="greaterThan">
      <formula>0</formula>
    </cfRule>
  </conditionalFormatting>
  <conditionalFormatting sqref="F603">
    <cfRule type="cellIs" dxfId="821" priority="821" operator="lessThan">
      <formula>0</formula>
    </cfRule>
    <cfRule type="cellIs" dxfId="820" priority="822" operator="greaterThan">
      <formula>0</formula>
    </cfRule>
  </conditionalFormatting>
  <conditionalFormatting sqref="N602">
    <cfRule type="cellIs" dxfId="819" priority="819" operator="lessThan">
      <formula>0</formula>
    </cfRule>
    <cfRule type="cellIs" dxfId="818" priority="820" operator="greaterThan">
      <formula>0</formula>
    </cfRule>
  </conditionalFormatting>
  <conditionalFormatting sqref="F602">
    <cfRule type="cellIs" dxfId="817" priority="817" operator="lessThan">
      <formula>0</formula>
    </cfRule>
    <cfRule type="cellIs" dxfId="816" priority="818" operator="greaterThan">
      <formula>0</formula>
    </cfRule>
  </conditionalFormatting>
  <conditionalFormatting sqref="N601">
    <cfRule type="cellIs" dxfId="815" priority="815" operator="lessThan">
      <formula>0</formula>
    </cfRule>
    <cfRule type="cellIs" dxfId="814" priority="816" operator="greaterThan">
      <formula>0</formula>
    </cfRule>
  </conditionalFormatting>
  <conditionalFormatting sqref="F601">
    <cfRule type="cellIs" dxfId="813" priority="813" operator="lessThan">
      <formula>0</formula>
    </cfRule>
    <cfRule type="cellIs" dxfId="812" priority="814" operator="greaterThan">
      <formula>0</formula>
    </cfRule>
  </conditionalFormatting>
  <conditionalFormatting sqref="N600">
    <cfRule type="cellIs" dxfId="811" priority="811" operator="lessThan">
      <formula>0</formula>
    </cfRule>
    <cfRule type="cellIs" dxfId="810" priority="812" operator="greaterThan">
      <formula>0</formula>
    </cfRule>
  </conditionalFormatting>
  <conditionalFormatting sqref="F600">
    <cfRule type="cellIs" dxfId="809" priority="809" operator="lessThan">
      <formula>0</formula>
    </cfRule>
    <cfRule type="cellIs" dxfId="808" priority="810" operator="greaterThan">
      <formula>0</formula>
    </cfRule>
  </conditionalFormatting>
  <conditionalFormatting sqref="N599">
    <cfRule type="cellIs" dxfId="807" priority="807" operator="lessThan">
      <formula>0</formula>
    </cfRule>
    <cfRule type="cellIs" dxfId="806" priority="808" operator="greaterThan">
      <formula>0</formula>
    </cfRule>
  </conditionalFormatting>
  <conditionalFormatting sqref="F599">
    <cfRule type="cellIs" dxfId="805" priority="805" operator="lessThan">
      <formula>0</formula>
    </cfRule>
    <cfRule type="cellIs" dxfId="804" priority="806" operator="greaterThan">
      <formula>0</formula>
    </cfRule>
  </conditionalFormatting>
  <conditionalFormatting sqref="N598">
    <cfRule type="cellIs" dxfId="803" priority="803" operator="lessThan">
      <formula>0</formula>
    </cfRule>
    <cfRule type="cellIs" dxfId="802" priority="804" operator="greaterThan">
      <formula>0</formula>
    </cfRule>
  </conditionalFormatting>
  <conditionalFormatting sqref="F598">
    <cfRule type="cellIs" dxfId="801" priority="801" operator="lessThan">
      <formula>0</formula>
    </cfRule>
    <cfRule type="cellIs" dxfId="800" priority="802" operator="greaterThan">
      <formula>0</formula>
    </cfRule>
  </conditionalFormatting>
  <conditionalFormatting sqref="N597">
    <cfRule type="cellIs" dxfId="799" priority="799" operator="lessThan">
      <formula>0</formula>
    </cfRule>
    <cfRule type="cellIs" dxfId="798" priority="800" operator="greaterThan">
      <formula>0</formula>
    </cfRule>
  </conditionalFormatting>
  <conditionalFormatting sqref="F597">
    <cfRule type="cellIs" dxfId="797" priority="797" operator="lessThan">
      <formula>0</formula>
    </cfRule>
    <cfRule type="cellIs" dxfId="796" priority="798" operator="greaterThan">
      <formula>0</formula>
    </cfRule>
  </conditionalFormatting>
  <conditionalFormatting sqref="N595:N596">
    <cfRule type="cellIs" dxfId="795" priority="795" operator="lessThan">
      <formula>0</formula>
    </cfRule>
    <cfRule type="cellIs" dxfId="794" priority="796" operator="greaterThan">
      <formula>0</formula>
    </cfRule>
  </conditionalFormatting>
  <conditionalFormatting sqref="F595:F596">
    <cfRule type="cellIs" dxfId="793" priority="793" operator="lessThan">
      <formula>0</formula>
    </cfRule>
    <cfRule type="cellIs" dxfId="792" priority="794" operator="greaterThan">
      <formula>0</formula>
    </cfRule>
  </conditionalFormatting>
  <conditionalFormatting sqref="N594">
    <cfRule type="cellIs" dxfId="791" priority="791" operator="lessThan">
      <formula>0</formula>
    </cfRule>
    <cfRule type="cellIs" dxfId="790" priority="792" operator="greaterThan">
      <formula>0</formula>
    </cfRule>
  </conditionalFormatting>
  <conditionalFormatting sqref="F594">
    <cfRule type="cellIs" dxfId="789" priority="789" operator="lessThan">
      <formula>0</formula>
    </cfRule>
    <cfRule type="cellIs" dxfId="788" priority="790" operator="greaterThan">
      <formula>0</formula>
    </cfRule>
  </conditionalFormatting>
  <conditionalFormatting sqref="N593">
    <cfRule type="cellIs" dxfId="787" priority="787" operator="lessThan">
      <formula>0</formula>
    </cfRule>
    <cfRule type="cellIs" dxfId="786" priority="788" operator="greaterThan">
      <formula>0</formula>
    </cfRule>
  </conditionalFormatting>
  <conditionalFormatting sqref="F593">
    <cfRule type="cellIs" dxfId="785" priority="785" operator="lessThan">
      <formula>0</formula>
    </cfRule>
    <cfRule type="cellIs" dxfId="784" priority="786" operator="greaterThan">
      <formula>0</formula>
    </cfRule>
  </conditionalFormatting>
  <conditionalFormatting sqref="N592">
    <cfRule type="cellIs" dxfId="783" priority="783" operator="lessThan">
      <formula>0</formula>
    </cfRule>
    <cfRule type="cellIs" dxfId="782" priority="784" operator="greaterThan">
      <formula>0</formula>
    </cfRule>
  </conditionalFormatting>
  <conditionalFormatting sqref="F592">
    <cfRule type="cellIs" dxfId="781" priority="781" operator="lessThan">
      <formula>0</formula>
    </cfRule>
    <cfRule type="cellIs" dxfId="780" priority="782" operator="greaterThan">
      <formula>0</formula>
    </cfRule>
  </conditionalFormatting>
  <conditionalFormatting sqref="N591">
    <cfRule type="cellIs" dxfId="779" priority="779" operator="lessThan">
      <formula>0</formula>
    </cfRule>
    <cfRule type="cellIs" dxfId="778" priority="780" operator="greaterThan">
      <formula>0</formula>
    </cfRule>
  </conditionalFormatting>
  <conditionalFormatting sqref="F591">
    <cfRule type="cellIs" dxfId="777" priority="777" operator="lessThan">
      <formula>0</formula>
    </cfRule>
    <cfRule type="cellIs" dxfId="776" priority="778" operator="greaterThan">
      <formula>0</formula>
    </cfRule>
  </conditionalFormatting>
  <conditionalFormatting sqref="N590">
    <cfRule type="cellIs" dxfId="775" priority="775" operator="lessThan">
      <formula>0</formula>
    </cfRule>
    <cfRule type="cellIs" dxfId="774" priority="776" operator="greaterThan">
      <formula>0</formula>
    </cfRule>
  </conditionalFormatting>
  <conditionalFormatting sqref="F590">
    <cfRule type="cellIs" dxfId="773" priority="773" operator="lessThan">
      <formula>0</formula>
    </cfRule>
    <cfRule type="cellIs" dxfId="772" priority="774" operator="greaterThan">
      <formula>0</formula>
    </cfRule>
  </conditionalFormatting>
  <conditionalFormatting sqref="N589">
    <cfRule type="cellIs" dxfId="771" priority="771" operator="lessThan">
      <formula>0</formula>
    </cfRule>
    <cfRule type="cellIs" dxfId="770" priority="772" operator="greaterThan">
      <formula>0</formula>
    </cfRule>
  </conditionalFormatting>
  <conditionalFormatting sqref="F589">
    <cfRule type="cellIs" dxfId="769" priority="769" operator="lessThan">
      <formula>0</formula>
    </cfRule>
    <cfRule type="cellIs" dxfId="768" priority="770" operator="greaterThan">
      <formula>0</formula>
    </cfRule>
  </conditionalFormatting>
  <conditionalFormatting sqref="N588">
    <cfRule type="cellIs" dxfId="767" priority="767" operator="lessThan">
      <formula>0</formula>
    </cfRule>
    <cfRule type="cellIs" dxfId="766" priority="768" operator="greaterThan">
      <formula>0</formula>
    </cfRule>
  </conditionalFormatting>
  <conditionalFormatting sqref="F588">
    <cfRule type="cellIs" dxfId="765" priority="765" operator="lessThan">
      <formula>0</formula>
    </cfRule>
    <cfRule type="cellIs" dxfId="764" priority="766" operator="greaterThan">
      <formula>0</formula>
    </cfRule>
  </conditionalFormatting>
  <conditionalFormatting sqref="N586:N587">
    <cfRule type="cellIs" dxfId="763" priority="763" operator="lessThan">
      <formula>0</formula>
    </cfRule>
    <cfRule type="cellIs" dxfId="762" priority="764" operator="greaterThan">
      <formula>0</formula>
    </cfRule>
  </conditionalFormatting>
  <conditionalFormatting sqref="F586:F587">
    <cfRule type="cellIs" dxfId="761" priority="761" operator="lessThan">
      <formula>0</formula>
    </cfRule>
    <cfRule type="cellIs" dxfId="760" priority="762" operator="greaterThan">
      <formula>0</formula>
    </cfRule>
  </conditionalFormatting>
  <conditionalFormatting sqref="N585">
    <cfRule type="cellIs" dxfId="759" priority="759" operator="lessThan">
      <formula>0</formula>
    </cfRule>
    <cfRule type="cellIs" dxfId="758" priority="760" operator="greaterThan">
      <formula>0</formula>
    </cfRule>
  </conditionalFormatting>
  <conditionalFormatting sqref="F585">
    <cfRule type="cellIs" dxfId="757" priority="757" operator="lessThan">
      <formula>0</formula>
    </cfRule>
    <cfRule type="cellIs" dxfId="756" priority="758" operator="greaterThan">
      <formula>0</formula>
    </cfRule>
  </conditionalFormatting>
  <conditionalFormatting sqref="N584">
    <cfRule type="cellIs" dxfId="755" priority="755" operator="lessThan">
      <formula>0</formula>
    </cfRule>
    <cfRule type="cellIs" dxfId="754" priority="756" operator="greaterThan">
      <formula>0</formula>
    </cfRule>
  </conditionalFormatting>
  <conditionalFormatting sqref="F584">
    <cfRule type="cellIs" dxfId="753" priority="753" operator="lessThan">
      <formula>0</formula>
    </cfRule>
    <cfRule type="cellIs" dxfId="752" priority="754" operator="greaterThan">
      <formula>0</formula>
    </cfRule>
  </conditionalFormatting>
  <conditionalFormatting sqref="N583">
    <cfRule type="cellIs" dxfId="751" priority="751" operator="lessThan">
      <formula>0</formula>
    </cfRule>
    <cfRule type="cellIs" dxfId="750" priority="752" operator="greaterThan">
      <formula>0</formula>
    </cfRule>
  </conditionalFormatting>
  <conditionalFormatting sqref="F583">
    <cfRule type="cellIs" dxfId="749" priority="749" operator="lessThan">
      <formula>0</formula>
    </cfRule>
    <cfRule type="cellIs" dxfId="748" priority="750" operator="greaterThan">
      <formula>0</formula>
    </cfRule>
  </conditionalFormatting>
  <conditionalFormatting sqref="N582">
    <cfRule type="cellIs" dxfId="747" priority="747" operator="lessThan">
      <formula>0</formula>
    </cfRule>
    <cfRule type="cellIs" dxfId="746" priority="748" operator="greaterThan">
      <formula>0</formula>
    </cfRule>
  </conditionalFormatting>
  <conditionalFormatting sqref="F582">
    <cfRule type="cellIs" dxfId="745" priority="745" operator="lessThan">
      <formula>0</formula>
    </cfRule>
    <cfRule type="cellIs" dxfId="744" priority="746" operator="greaterThan">
      <formula>0</formula>
    </cfRule>
  </conditionalFormatting>
  <conditionalFormatting sqref="N581">
    <cfRule type="cellIs" dxfId="743" priority="743" operator="lessThan">
      <formula>0</formula>
    </cfRule>
    <cfRule type="cellIs" dxfId="742" priority="744" operator="greaterThan">
      <formula>0</formula>
    </cfRule>
  </conditionalFormatting>
  <conditionalFormatting sqref="F581">
    <cfRule type="cellIs" dxfId="741" priority="741" operator="lessThan">
      <formula>0</formula>
    </cfRule>
    <cfRule type="cellIs" dxfId="740" priority="742" operator="greaterThan">
      <formula>0</formula>
    </cfRule>
  </conditionalFormatting>
  <conditionalFormatting sqref="N580">
    <cfRule type="cellIs" dxfId="739" priority="739" operator="lessThan">
      <formula>0</formula>
    </cfRule>
    <cfRule type="cellIs" dxfId="738" priority="740" operator="greaterThan">
      <formula>0</formula>
    </cfRule>
  </conditionalFormatting>
  <conditionalFormatting sqref="F580">
    <cfRule type="cellIs" dxfId="737" priority="737" operator="lessThan">
      <formula>0</formula>
    </cfRule>
    <cfRule type="cellIs" dxfId="736" priority="738" operator="greaterThan">
      <formula>0</formula>
    </cfRule>
  </conditionalFormatting>
  <conditionalFormatting sqref="N579">
    <cfRule type="cellIs" dxfId="735" priority="735" operator="lessThan">
      <formula>0</formula>
    </cfRule>
    <cfRule type="cellIs" dxfId="734" priority="736" operator="greaterThan">
      <formula>0</formula>
    </cfRule>
  </conditionalFormatting>
  <conditionalFormatting sqref="F579">
    <cfRule type="cellIs" dxfId="733" priority="733" operator="lessThan">
      <formula>0</formula>
    </cfRule>
    <cfRule type="cellIs" dxfId="732" priority="734" operator="greaterThan">
      <formula>0</formula>
    </cfRule>
  </conditionalFormatting>
  <conditionalFormatting sqref="N577:N578">
    <cfRule type="cellIs" dxfId="731" priority="731" operator="lessThan">
      <formula>0</formula>
    </cfRule>
    <cfRule type="cellIs" dxfId="730" priority="732" operator="greaterThan">
      <formula>0</formula>
    </cfRule>
  </conditionalFormatting>
  <conditionalFormatting sqref="F577:F578">
    <cfRule type="cellIs" dxfId="729" priority="729" operator="lessThan">
      <formula>0</formula>
    </cfRule>
    <cfRule type="cellIs" dxfId="728" priority="730" operator="greaterThan">
      <formula>0</formula>
    </cfRule>
  </conditionalFormatting>
  <conditionalFormatting sqref="N576">
    <cfRule type="cellIs" dxfId="727" priority="727" operator="lessThan">
      <formula>0</formula>
    </cfRule>
    <cfRule type="cellIs" dxfId="726" priority="728" operator="greaterThan">
      <formula>0</formula>
    </cfRule>
  </conditionalFormatting>
  <conditionalFormatting sqref="F576">
    <cfRule type="cellIs" dxfId="725" priority="725" operator="lessThan">
      <formula>0</formula>
    </cfRule>
    <cfRule type="cellIs" dxfId="724" priority="726" operator="greaterThan">
      <formula>0</formula>
    </cfRule>
  </conditionalFormatting>
  <conditionalFormatting sqref="N575">
    <cfRule type="cellIs" dxfId="723" priority="723" operator="lessThan">
      <formula>0</formula>
    </cfRule>
    <cfRule type="cellIs" dxfId="722" priority="724" operator="greaterThan">
      <formula>0</formula>
    </cfRule>
  </conditionalFormatting>
  <conditionalFormatting sqref="F575">
    <cfRule type="cellIs" dxfId="721" priority="721" operator="lessThan">
      <formula>0</formula>
    </cfRule>
    <cfRule type="cellIs" dxfId="720" priority="722" operator="greaterThan">
      <formula>0</formula>
    </cfRule>
  </conditionalFormatting>
  <conditionalFormatting sqref="N574">
    <cfRule type="cellIs" dxfId="719" priority="719" operator="lessThan">
      <formula>0</formula>
    </cfRule>
    <cfRule type="cellIs" dxfId="718" priority="720" operator="greaterThan">
      <formula>0</formula>
    </cfRule>
  </conditionalFormatting>
  <conditionalFormatting sqref="F574">
    <cfRule type="cellIs" dxfId="717" priority="717" operator="lessThan">
      <formula>0</formula>
    </cfRule>
    <cfRule type="cellIs" dxfId="716" priority="718" operator="greaterThan">
      <formula>0</formula>
    </cfRule>
  </conditionalFormatting>
  <conditionalFormatting sqref="N573">
    <cfRule type="cellIs" dxfId="715" priority="715" operator="lessThan">
      <formula>0</formula>
    </cfRule>
    <cfRule type="cellIs" dxfId="714" priority="716" operator="greaterThan">
      <formula>0</formula>
    </cfRule>
  </conditionalFormatting>
  <conditionalFormatting sqref="F573">
    <cfRule type="cellIs" dxfId="713" priority="713" operator="lessThan">
      <formula>0</formula>
    </cfRule>
    <cfRule type="cellIs" dxfId="712" priority="714" operator="greaterThan">
      <formula>0</formula>
    </cfRule>
  </conditionalFormatting>
  <conditionalFormatting sqref="N572">
    <cfRule type="cellIs" dxfId="711" priority="711" operator="lessThan">
      <formula>0</formula>
    </cfRule>
    <cfRule type="cellIs" dxfId="710" priority="712" operator="greaterThan">
      <formula>0</formula>
    </cfRule>
  </conditionalFormatting>
  <conditionalFormatting sqref="F572">
    <cfRule type="cellIs" dxfId="709" priority="709" operator="lessThan">
      <formula>0</formula>
    </cfRule>
    <cfRule type="cellIs" dxfId="708" priority="710" operator="greaterThan">
      <formula>0</formula>
    </cfRule>
  </conditionalFormatting>
  <conditionalFormatting sqref="N571">
    <cfRule type="cellIs" dxfId="707" priority="707" operator="lessThan">
      <formula>0</formula>
    </cfRule>
    <cfRule type="cellIs" dxfId="706" priority="708" operator="greaterThan">
      <formula>0</formula>
    </cfRule>
  </conditionalFormatting>
  <conditionalFormatting sqref="F571">
    <cfRule type="cellIs" dxfId="705" priority="705" operator="lessThan">
      <formula>0</formula>
    </cfRule>
    <cfRule type="cellIs" dxfId="704" priority="706" operator="greaterThan">
      <formula>0</formula>
    </cfRule>
  </conditionalFormatting>
  <conditionalFormatting sqref="N570">
    <cfRule type="cellIs" dxfId="703" priority="703" operator="lessThan">
      <formula>0</formula>
    </cfRule>
    <cfRule type="cellIs" dxfId="702" priority="704" operator="greaterThan">
      <formula>0</formula>
    </cfRule>
  </conditionalFormatting>
  <conditionalFormatting sqref="F570">
    <cfRule type="cellIs" dxfId="701" priority="701" operator="lessThan">
      <formula>0</formula>
    </cfRule>
    <cfRule type="cellIs" dxfId="700" priority="702" operator="greaterThan">
      <formula>0</formula>
    </cfRule>
  </conditionalFormatting>
  <conditionalFormatting sqref="N568:N569">
    <cfRule type="cellIs" dxfId="699" priority="699" operator="lessThan">
      <formula>0</formula>
    </cfRule>
    <cfRule type="cellIs" dxfId="698" priority="700" operator="greaterThan">
      <formula>0</formula>
    </cfRule>
  </conditionalFormatting>
  <conditionalFormatting sqref="F568:F569">
    <cfRule type="cellIs" dxfId="697" priority="697" operator="lessThan">
      <formula>0</formula>
    </cfRule>
    <cfRule type="cellIs" dxfId="696" priority="698" operator="greaterThan">
      <formula>0</formula>
    </cfRule>
  </conditionalFormatting>
  <conditionalFormatting sqref="N567">
    <cfRule type="cellIs" dxfId="695" priority="695" operator="lessThan">
      <formula>0</formula>
    </cfRule>
    <cfRule type="cellIs" dxfId="694" priority="696" operator="greaterThan">
      <formula>0</formula>
    </cfRule>
  </conditionalFormatting>
  <conditionalFormatting sqref="F567">
    <cfRule type="cellIs" dxfId="693" priority="693" operator="lessThan">
      <formula>0</formula>
    </cfRule>
    <cfRule type="cellIs" dxfId="692" priority="694" operator="greaterThan">
      <formula>0</formula>
    </cfRule>
  </conditionalFormatting>
  <conditionalFormatting sqref="N566">
    <cfRule type="cellIs" dxfId="691" priority="691" operator="lessThan">
      <formula>0</formula>
    </cfRule>
    <cfRule type="cellIs" dxfId="690" priority="692" operator="greaterThan">
      <formula>0</formula>
    </cfRule>
  </conditionalFormatting>
  <conditionalFormatting sqref="F566">
    <cfRule type="cellIs" dxfId="689" priority="689" operator="lessThan">
      <formula>0</formula>
    </cfRule>
    <cfRule type="cellIs" dxfId="688" priority="690" operator="greaterThan">
      <formula>0</formula>
    </cfRule>
  </conditionalFormatting>
  <conditionalFormatting sqref="N565">
    <cfRule type="cellIs" dxfId="687" priority="687" operator="lessThan">
      <formula>0</formula>
    </cfRule>
    <cfRule type="cellIs" dxfId="686" priority="688" operator="greaterThan">
      <formula>0</formula>
    </cfRule>
  </conditionalFormatting>
  <conditionalFormatting sqref="F565">
    <cfRule type="cellIs" dxfId="685" priority="685" operator="lessThan">
      <formula>0</formula>
    </cfRule>
    <cfRule type="cellIs" dxfId="684" priority="686" operator="greaterThan">
      <formula>0</formula>
    </cfRule>
  </conditionalFormatting>
  <conditionalFormatting sqref="N564">
    <cfRule type="cellIs" dxfId="683" priority="683" operator="lessThan">
      <formula>0</formula>
    </cfRule>
    <cfRule type="cellIs" dxfId="682" priority="684" operator="greaterThan">
      <formula>0</formula>
    </cfRule>
  </conditionalFormatting>
  <conditionalFormatting sqref="F564">
    <cfRule type="cellIs" dxfId="681" priority="681" operator="lessThan">
      <formula>0</formula>
    </cfRule>
    <cfRule type="cellIs" dxfId="680" priority="682" operator="greaterThan">
      <formula>0</formula>
    </cfRule>
  </conditionalFormatting>
  <conditionalFormatting sqref="N563">
    <cfRule type="cellIs" dxfId="679" priority="679" operator="lessThan">
      <formula>0</formula>
    </cfRule>
    <cfRule type="cellIs" dxfId="678" priority="680" operator="greaterThan">
      <formula>0</formula>
    </cfRule>
  </conditionalFormatting>
  <conditionalFormatting sqref="F563">
    <cfRule type="cellIs" dxfId="677" priority="677" operator="lessThan">
      <formula>0</formula>
    </cfRule>
    <cfRule type="cellIs" dxfId="676" priority="678" operator="greaterThan">
      <formula>0</formula>
    </cfRule>
  </conditionalFormatting>
  <conditionalFormatting sqref="N562">
    <cfRule type="cellIs" dxfId="675" priority="675" operator="lessThan">
      <formula>0</formula>
    </cfRule>
    <cfRule type="cellIs" dxfId="674" priority="676" operator="greaterThan">
      <formula>0</formula>
    </cfRule>
  </conditionalFormatting>
  <conditionalFormatting sqref="F562">
    <cfRule type="cellIs" dxfId="673" priority="673" operator="lessThan">
      <formula>0</formula>
    </cfRule>
    <cfRule type="cellIs" dxfId="672" priority="674" operator="greaterThan">
      <formula>0</formula>
    </cfRule>
  </conditionalFormatting>
  <conditionalFormatting sqref="N561">
    <cfRule type="cellIs" dxfId="671" priority="671" operator="lessThan">
      <formula>0</formula>
    </cfRule>
    <cfRule type="cellIs" dxfId="670" priority="672" operator="greaterThan">
      <formula>0</formula>
    </cfRule>
  </conditionalFormatting>
  <conditionalFormatting sqref="F561">
    <cfRule type="cellIs" dxfId="669" priority="669" operator="lessThan">
      <formula>0</formula>
    </cfRule>
    <cfRule type="cellIs" dxfId="668" priority="670" operator="greaterThan">
      <formula>0</formula>
    </cfRule>
  </conditionalFormatting>
  <conditionalFormatting sqref="N559:N560">
    <cfRule type="cellIs" dxfId="667" priority="667" operator="lessThan">
      <formula>0</formula>
    </cfRule>
    <cfRule type="cellIs" dxfId="666" priority="668" operator="greaterThan">
      <formula>0</formula>
    </cfRule>
  </conditionalFormatting>
  <conditionalFormatting sqref="F559:F560">
    <cfRule type="cellIs" dxfId="665" priority="665" operator="lessThan">
      <formula>0</formula>
    </cfRule>
    <cfRule type="cellIs" dxfId="664" priority="666" operator="greaterThan">
      <formula>0</formula>
    </cfRule>
  </conditionalFormatting>
  <conditionalFormatting sqref="N558">
    <cfRule type="cellIs" dxfId="663" priority="663" operator="lessThan">
      <formula>0</formula>
    </cfRule>
    <cfRule type="cellIs" dxfId="662" priority="664" operator="greaterThan">
      <formula>0</formula>
    </cfRule>
  </conditionalFormatting>
  <conditionalFormatting sqref="F558">
    <cfRule type="cellIs" dxfId="661" priority="661" operator="lessThan">
      <formula>0</formula>
    </cfRule>
    <cfRule type="cellIs" dxfId="660" priority="662" operator="greaterThan">
      <formula>0</formula>
    </cfRule>
  </conditionalFormatting>
  <conditionalFormatting sqref="N557">
    <cfRule type="cellIs" dxfId="659" priority="659" operator="lessThan">
      <formula>0</formula>
    </cfRule>
    <cfRule type="cellIs" dxfId="658" priority="660" operator="greaterThan">
      <formula>0</formula>
    </cfRule>
  </conditionalFormatting>
  <conditionalFormatting sqref="F557">
    <cfRule type="cellIs" dxfId="657" priority="657" operator="lessThan">
      <formula>0</formula>
    </cfRule>
    <cfRule type="cellIs" dxfId="656" priority="658" operator="greaterThan">
      <formula>0</formula>
    </cfRule>
  </conditionalFormatting>
  <conditionalFormatting sqref="N556">
    <cfRule type="cellIs" dxfId="655" priority="655" operator="lessThan">
      <formula>0</formula>
    </cfRule>
    <cfRule type="cellIs" dxfId="654" priority="656" operator="greaterThan">
      <formula>0</formula>
    </cfRule>
  </conditionalFormatting>
  <conditionalFormatting sqref="F556">
    <cfRule type="cellIs" dxfId="653" priority="653" operator="lessThan">
      <formula>0</formula>
    </cfRule>
    <cfRule type="cellIs" dxfId="652" priority="654" operator="greaterThan">
      <formula>0</formula>
    </cfRule>
  </conditionalFormatting>
  <conditionalFormatting sqref="N555">
    <cfRule type="cellIs" dxfId="651" priority="651" operator="lessThan">
      <formula>0</formula>
    </cfRule>
    <cfRule type="cellIs" dxfId="650" priority="652" operator="greaterThan">
      <formula>0</formula>
    </cfRule>
  </conditionalFormatting>
  <conditionalFormatting sqref="F555">
    <cfRule type="cellIs" dxfId="649" priority="649" operator="lessThan">
      <formula>0</formula>
    </cfRule>
    <cfRule type="cellIs" dxfId="648" priority="650" operator="greaterThan">
      <formula>0</formula>
    </cfRule>
  </conditionalFormatting>
  <conditionalFormatting sqref="N554">
    <cfRule type="cellIs" dxfId="647" priority="647" operator="lessThan">
      <formula>0</formula>
    </cfRule>
    <cfRule type="cellIs" dxfId="646" priority="648" operator="greaterThan">
      <formula>0</formula>
    </cfRule>
  </conditionalFormatting>
  <conditionalFormatting sqref="F554">
    <cfRule type="cellIs" dxfId="645" priority="645" operator="lessThan">
      <formula>0</formula>
    </cfRule>
    <cfRule type="cellIs" dxfId="644" priority="646" operator="greaterThan">
      <formula>0</formula>
    </cfRule>
  </conditionalFormatting>
  <conditionalFormatting sqref="N553">
    <cfRule type="cellIs" dxfId="643" priority="643" operator="lessThan">
      <formula>0</formula>
    </cfRule>
    <cfRule type="cellIs" dxfId="642" priority="644" operator="greaterThan">
      <formula>0</formula>
    </cfRule>
  </conditionalFormatting>
  <conditionalFormatting sqref="F553">
    <cfRule type="cellIs" dxfId="641" priority="641" operator="lessThan">
      <formula>0</formula>
    </cfRule>
    <cfRule type="cellIs" dxfId="640" priority="642" operator="greaterThan">
      <formula>0</formula>
    </cfRule>
  </conditionalFormatting>
  <conditionalFormatting sqref="N552">
    <cfRule type="cellIs" dxfId="639" priority="639" operator="lessThan">
      <formula>0</formula>
    </cfRule>
    <cfRule type="cellIs" dxfId="638" priority="640" operator="greaterThan">
      <formula>0</formula>
    </cfRule>
  </conditionalFormatting>
  <conditionalFormatting sqref="F552">
    <cfRule type="cellIs" dxfId="637" priority="637" operator="lessThan">
      <formula>0</formula>
    </cfRule>
    <cfRule type="cellIs" dxfId="636" priority="638" operator="greaterThan">
      <formula>0</formula>
    </cfRule>
  </conditionalFormatting>
  <conditionalFormatting sqref="N550:N551">
    <cfRule type="cellIs" dxfId="635" priority="635" operator="lessThan">
      <formula>0</formula>
    </cfRule>
    <cfRule type="cellIs" dxfId="634" priority="636" operator="greaterThan">
      <formula>0</formula>
    </cfRule>
  </conditionalFormatting>
  <conditionalFormatting sqref="F550:F551">
    <cfRule type="cellIs" dxfId="633" priority="633" operator="lessThan">
      <formula>0</formula>
    </cfRule>
    <cfRule type="cellIs" dxfId="632" priority="634" operator="greaterThan">
      <formula>0</formula>
    </cfRule>
  </conditionalFormatting>
  <conditionalFormatting sqref="N549">
    <cfRule type="cellIs" dxfId="631" priority="631" operator="lessThan">
      <formula>0</formula>
    </cfRule>
    <cfRule type="cellIs" dxfId="630" priority="632" operator="greaterThan">
      <formula>0</formula>
    </cfRule>
  </conditionalFormatting>
  <conditionalFormatting sqref="F549">
    <cfRule type="cellIs" dxfId="629" priority="629" operator="lessThan">
      <formula>0</formula>
    </cfRule>
    <cfRule type="cellIs" dxfId="628" priority="630" operator="greaterThan">
      <formula>0</formula>
    </cfRule>
  </conditionalFormatting>
  <conditionalFormatting sqref="N548">
    <cfRule type="cellIs" dxfId="627" priority="627" operator="lessThan">
      <formula>0</formula>
    </cfRule>
    <cfRule type="cellIs" dxfId="626" priority="628" operator="greaterThan">
      <formula>0</formula>
    </cfRule>
  </conditionalFormatting>
  <conditionalFormatting sqref="F548">
    <cfRule type="cellIs" dxfId="625" priority="625" operator="lessThan">
      <formula>0</formula>
    </cfRule>
    <cfRule type="cellIs" dxfId="624" priority="626" operator="greaterThan">
      <formula>0</formula>
    </cfRule>
  </conditionalFormatting>
  <conditionalFormatting sqref="N547">
    <cfRule type="cellIs" dxfId="623" priority="623" operator="lessThan">
      <formula>0</formula>
    </cfRule>
    <cfRule type="cellIs" dxfId="622" priority="624" operator="greaterThan">
      <formula>0</formula>
    </cfRule>
  </conditionalFormatting>
  <conditionalFormatting sqref="F547">
    <cfRule type="cellIs" dxfId="621" priority="621" operator="lessThan">
      <formula>0</formula>
    </cfRule>
    <cfRule type="cellIs" dxfId="620" priority="622" operator="greaterThan">
      <formula>0</formula>
    </cfRule>
  </conditionalFormatting>
  <conditionalFormatting sqref="N546">
    <cfRule type="cellIs" dxfId="619" priority="619" operator="lessThan">
      <formula>0</formula>
    </cfRule>
    <cfRule type="cellIs" dxfId="618" priority="620" operator="greaterThan">
      <formula>0</formula>
    </cfRule>
  </conditionalFormatting>
  <conditionalFormatting sqref="F546">
    <cfRule type="cellIs" dxfId="617" priority="617" operator="lessThan">
      <formula>0</formula>
    </cfRule>
    <cfRule type="cellIs" dxfId="616" priority="618" operator="greaterThan">
      <formula>0</formula>
    </cfRule>
  </conditionalFormatting>
  <conditionalFormatting sqref="N545">
    <cfRule type="cellIs" dxfId="615" priority="615" operator="lessThan">
      <formula>0</formula>
    </cfRule>
    <cfRule type="cellIs" dxfId="614" priority="616" operator="greaterThan">
      <formula>0</formula>
    </cfRule>
  </conditionalFormatting>
  <conditionalFormatting sqref="F545">
    <cfRule type="cellIs" dxfId="613" priority="613" operator="lessThan">
      <formula>0</formula>
    </cfRule>
    <cfRule type="cellIs" dxfId="612" priority="614" operator="greaterThan">
      <formula>0</formula>
    </cfRule>
  </conditionalFormatting>
  <conditionalFormatting sqref="N544">
    <cfRule type="cellIs" dxfId="611" priority="611" operator="lessThan">
      <formula>0</formula>
    </cfRule>
    <cfRule type="cellIs" dxfId="610" priority="612" operator="greaterThan">
      <formula>0</formula>
    </cfRule>
  </conditionalFormatting>
  <conditionalFormatting sqref="F544">
    <cfRule type="cellIs" dxfId="609" priority="609" operator="lessThan">
      <formula>0</formula>
    </cfRule>
    <cfRule type="cellIs" dxfId="608" priority="610" operator="greaterThan">
      <formula>0</formula>
    </cfRule>
  </conditionalFormatting>
  <conditionalFormatting sqref="N543">
    <cfRule type="cellIs" dxfId="607" priority="607" operator="lessThan">
      <formula>0</formula>
    </cfRule>
    <cfRule type="cellIs" dxfId="606" priority="608" operator="greaterThan">
      <formula>0</formula>
    </cfRule>
  </conditionalFormatting>
  <conditionalFormatting sqref="F543">
    <cfRule type="cellIs" dxfId="605" priority="605" operator="lessThan">
      <formula>0</formula>
    </cfRule>
    <cfRule type="cellIs" dxfId="604" priority="606" operator="greaterThan">
      <formula>0</formula>
    </cfRule>
  </conditionalFormatting>
  <conditionalFormatting sqref="N541:N542">
    <cfRule type="cellIs" dxfId="603" priority="603" operator="lessThan">
      <formula>0</formula>
    </cfRule>
    <cfRule type="cellIs" dxfId="602" priority="604" operator="greaterThan">
      <formula>0</formula>
    </cfRule>
  </conditionalFormatting>
  <conditionalFormatting sqref="F541:F542">
    <cfRule type="cellIs" dxfId="601" priority="601" operator="lessThan">
      <formula>0</formula>
    </cfRule>
    <cfRule type="cellIs" dxfId="600" priority="602" operator="greaterThan">
      <formula>0</formula>
    </cfRule>
  </conditionalFormatting>
  <conditionalFormatting sqref="N540">
    <cfRule type="cellIs" dxfId="599" priority="599" operator="lessThan">
      <formula>0</formula>
    </cfRule>
    <cfRule type="cellIs" dxfId="598" priority="600" operator="greaterThan">
      <formula>0</formula>
    </cfRule>
  </conditionalFormatting>
  <conditionalFormatting sqref="F540">
    <cfRule type="cellIs" dxfId="597" priority="597" operator="lessThan">
      <formula>0</formula>
    </cfRule>
    <cfRule type="cellIs" dxfId="596" priority="598" operator="greaterThan">
      <formula>0</formula>
    </cfRule>
  </conditionalFormatting>
  <conditionalFormatting sqref="N539">
    <cfRule type="cellIs" dxfId="595" priority="595" operator="lessThan">
      <formula>0</formula>
    </cfRule>
    <cfRule type="cellIs" dxfId="594" priority="596" operator="greaterThan">
      <formula>0</formula>
    </cfRule>
  </conditionalFormatting>
  <conditionalFormatting sqref="F539">
    <cfRule type="cellIs" dxfId="593" priority="593" operator="lessThan">
      <formula>0</formula>
    </cfRule>
    <cfRule type="cellIs" dxfId="592" priority="594" operator="greaterThan">
      <formula>0</formula>
    </cfRule>
  </conditionalFormatting>
  <conditionalFormatting sqref="N538">
    <cfRule type="cellIs" dxfId="591" priority="591" operator="lessThan">
      <formula>0</formula>
    </cfRule>
    <cfRule type="cellIs" dxfId="590" priority="592" operator="greaterThan">
      <formula>0</formula>
    </cfRule>
  </conditionalFormatting>
  <conditionalFormatting sqref="F538">
    <cfRule type="cellIs" dxfId="589" priority="589" operator="lessThan">
      <formula>0</formula>
    </cfRule>
    <cfRule type="cellIs" dxfId="588" priority="590" operator="greaterThan">
      <formula>0</formula>
    </cfRule>
  </conditionalFormatting>
  <conditionalFormatting sqref="N537">
    <cfRule type="cellIs" dxfId="587" priority="587" operator="lessThan">
      <formula>0</formula>
    </cfRule>
    <cfRule type="cellIs" dxfId="586" priority="588" operator="greaterThan">
      <formula>0</formula>
    </cfRule>
  </conditionalFormatting>
  <conditionalFormatting sqref="F537">
    <cfRule type="cellIs" dxfId="585" priority="585" operator="lessThan">
      <formula>0</formula>
    </cfRule>
    <cfRule type="cellIs" dxfId="584" priority="586" operator="greaterThan">
      <formula>0</formula>
    </cfRule>
  </conditionalFormatting>
  <conditionalFormatting sqref="N536">
    <cfRule type="cellIs" dxfId="583" priority="583" operator="lessThan">
      <formula>0</formula>
    </cfRule>
    <cfRule type="cellIs" dxfId="582" priority="584" operator="greaterThan">
      <formula>0</formula>
    </cfRule>
  </conditionalFormatting>
  <conditionalFormatting sqref="F536">
    <cfRule type="cellIs" dxfId="581" priority="581" operator="lessThan">
      <formula>0</formula>
    </cfRule>
    <cfRule type="cellIs" dxfId="580" priority="582" operator="greaterThan">
      <formula>0</formula>
    </cfRule>
  </conditionalFormatting>
  <conditionalFormatting sqref="N535">
    <cfRule type="cellIs" dxfId="579" priority="579" operator="lessThan">
      <formula>0</formula>
    </cfRule>
    <cfRule type="cellIs" dxfId="578" priority="580" operator="greaterThan">
      <formula>0</formula>
    </cfRule>
  </conditionalFormatting>
  <conditionalFormatting sqref="F535">
    <cfRule type="cellIs" dxfId="577" priority="577" operator="lessThan">
      <formula>0</formula>
    </cfRule>
    <cfRule type="cellIs" dxfId="576" priority="578" operator="greaterThan">
      <formula>0</formula>
    </cfRule>
  </conditionalFormatting>
  <conditionalFormatting sqref="N534">
    <cfRule type="cellIs" dxfId="575" priority="575" operator="lessThan">
      <formula>0</formula>
    </cfRule>
    <cfRule type="cellIs" dxfId="574" priority="576" operator="greaterThan">
      <formula>0</formula>
    </cfRule>
  </conditionalFormatting>
  <conditionalFormatting sqref="F534">
    <cfRule type="cellIs" dxfId="573" priority="573" operator="lessThan">
      <formula>0</formula>
    </cfRule>
    <cfRule type="cellIs" dxfId="572" priority="574" operator="greaterThan">
      <formula>0</formula>
    </cfRule>
  </conditionalFormatting>
  <conditionalFormatting sqref="N532:N533">
    <cfRule type="cellIs" dxfId="571" priority="571" operator="lessThan">
      <formula>0</formula>
    </cfRule>
    <cfRule type="cellIs" dxfId="570" priority="572" operator="greaterThan">
      <formula>0</formula>
    </cfRule>
  </conditionalFormatting>
  <conditionalFormatting sqref="F532:F533">
    <cfRule type="cellIs" dxfId="569" priority="569" operator="lessThan">
      <formula>0</formula>
    </cfRule>
    <cfRule type="cellIs" dxfId="568" priority="570" operator="greaterThan">
      <formula>0</formula>
    </cfRule>
  </conditionalFormatting>
  <conditionalFormatting sqref="N531">
    <cfRule type="cellIs" dxfId="567" priority="567" operator="lessThan">
      <formula>0</formula>
    </cfRule>
    <cfRule type="cellIs" dxfId="566" priority="568" operator="greaterThan">
      <formula>0</formula>
    </cfRule>
  </conditionalFormatting>
  <conditionalFormatting sqref="F531">
    <cfRule type="cellIs" dxfId="565" priority="565" operator="lessThan">
      <formula>0</formula>
    </cfRule>
    <cfRule type="cellIs" dxfId="564" priority="566" operator="greaterThan">
      <formula>0</formula>
    </cfRule>
  </conditionalFormatting>
  <conditionalFormatting sqref="N530">
    <cfRule type="cellIs" dxfId="563" priority="563" operator="lessThan">
      <formula>0</formula>
    </cfRule>
    <cfRule type="cellIs" dxfId="562" priority="564" operator="greaterThan">
      <formula>0</formula>
    </cfRule>
  </conditionalFormatting>
  <conditionalFormatting sqref="F530">
    <cfRule type="cellIs" dxfId="561" priority="561" operator="lessThan">
      <formula>0</formula>
    </cfRule>
    <cfRule type="cellIs" dxfId="560" priority="562" operator="greaterThan">
      <formula>0</formula>
    </cfRule>
  </conditionalFormatting>
  <conditionalFormatting sqref="N529">
    <cfRule type="cellIs" dxfId="559" priority="559" operator="lessThan">
      <formula>0</formula>
    </cfRule>
    <cfRule type="cellIs" dxfId="558" priority="560" operator="greaterThan">
      <formula>0</formula>
    </cfRule>
  </conditionalFormatting>
  <conditionalFormatting sqref="F529">
    <cfRule type="cellIs" dxfId="557" priority="557" operator="lessThan">
      <formula>0</formula>
    </cfRule>
    <cfRule type="cellIs" dxfId="556" priority="558" operator="greaterThan">
      <formula>0</formula>
    </cfRule>
  </conditionalFormatting>
  <conditionalFormatting sqref="N528">
    <cfRule type="cellIs" dxfId="555" priority="555" operator="lessThan">
      <formula>0</formula>
    </cfRule>
    <cfRule type="cellIs" dxfId="554" priority="556" operator="greaterThan">
      <formula>0</formula>
    </cfRule>
  </conditionalFormatting>
  <conditionalFormatting sqref="F528">
    <cfRule type="cellIs" dxfId="553" priority="553" operator="lessThan">
      <formula>0</formula>
    </cfRule>
    <cfRule type="cellIs" dxfId="552" priority="554" operator="greaterThan">
      <formula>0</formula>
    </cfRule>
  </conditionalFormatting>
  <conditionalFormatting sqref="N527">
    <cfRule type="cellIs" dxfId="551" priority="551" operator="lessThan">
      <formula>0</formula>
    </cfRule>
    <cfRule type="cellIs" dxfId="550" priority="552" operator="greaterThan">
      <formula>0</formula>
    </cfRule>
  </conditionalFormatting>
  <conditionalFormatting sqref="F527">
    <cfRule type="cellIs" dxfId="549" priority="549" operator="lessThan">
      <formula>0</formula>
    </cfRule>
    <cfRule type="cellIs" dxfId="548" priority="550" operator="greaterThan">
      <formula>0</formula>
    </cfRule>
  </conditionalFormatting>
  <conditionalFormatting sqref="N526">
    <cfRule type="cellIs" dxfId="547" priority="547" operator="lessThan">
      <formula>0</formula>
    </cfRule>
    <cfRule type="cellIs" dxfId="546" priority="548" operator="greaterThan">
      <formula>0</formula>
    </cfRule>
  </conditionalFormatting>
  <conditionalFormatting sqref="F526">
    <cfRule type="cellIs" dxfId="545" priority="545" operator="lessThan">
      <formula>0</formula>
    </cfRule>
    <cfRule type="cellIs" dxfId="544" priority="546" operator="greaterThan">
      <formula>0</formula>
    </cfRule>
  </conditionalFormatting>
  <conditionalFormatting sqref="N525">
    <cfRule type="cellIs" dxfId="543" priority="543" operator="lessThan">
      <formula>0</formula>
    </cfRule>
    <cfRule type="cellIs" dxfId="542" priority="544" operator="greaterThan">
      <formula>0</formula>
    </cfRule>
  </conditionalFormatting>
  <conditionalFormatting sqref="F525">
    <cfRule type="cellIs" dxfId="541" priority="541" operator="lessThan">
      <formula>0</formula>
    </cfRule>
    <cfRule type="cellIs" dxfId="540" priority="542" operator="greaterThan">
      <formula>0</formula>
    </cfRule>
  </conditionalFormatting>
  <conditionalFormatting sqref="N523:N524">
    <cfRule type="cellIs" dxfId="539" priority="539" operator="lessThan">
      <formula>0</formula>
    </cfRule>
    <cfRule type="cellIs" dxfId="538" priority="540" operator="greaterThan">
      <formula>0</formula>
    </cfRule>
  </conditionalFormatting>
  <conditionalFormatting sqref="F523:F524">
    <cfRule type="cellIs" dxfId="537" priority="537" operator="lessThan">
      <formula>0</formula>
    </cfRule>
    <cfRule type="cellIs" dxfId="536" priority="538" operator="greaterThan">
      <formula>0</formula>
    </cfRule>
  </conditionalFormatting>
  <conditionalFormatting sqref="N522">
    <cfRule type="cellIs" dxfId="535" priority="535" operator="lessThan">
      <formula>0</formula>
    </cfRule>
    <cfRule type="cellIs" dxfId="534" priority="536" operator="greaterThan">
      <formula>0</formula>
    </cfRule>
  </conditionalFormatting>
  <conditionalFormatting sqref="F522">
    <cfRule type="cellIs" dxfId="533" priority="533" operator="lessThan">
      <formula>0</formula>
    </cfRule>
    <cfRule type="cellIs" dxfId="532" priority="534" operator="greaterThan">
      <formula>0</formula>
    </cfRule>
  </conditionalFormatting>
  <conditionalFormatting sqref="N521">
    <cfRule type="cellIs" dxfId="531" priority="531" operator="lessThan">
      <formula>0</formula>
    </cfRule>
    <cfRule type="cellIs" dxfId="530" priority="532" operator="greaterThan">
      <formula>0</formula>
    </cfRule>
  </conditionalFormatting>
  <conditionalFormatting sqref="F521">
    <cfRule type="cellIs" dxfId="529" priority="529" operator="lessThan">
      <formula>0</formula>
    </cfRule>
    <cfRule type="cellIs" dxfId="528" priority="530" operator="greaterThan">
      <formula>0</formula>
    </cfRule>
  </conditionalFormatting>
  <conditionalFormatting sqref="N520">
    <cfRule type="cellIs" dxfId="527" priority="527" operator="lessThan">
      <formula>0</formula>
    </cfRule>
    <cfRule type="cellIs" dxfId="526" priority="528" operator="greaterThan">
      <formula>0</formula>
    </cfRule>
  </conditionalFormatting>
  <conditionalFormatting sqref="F520">
    <cfRule type="cellIs" dxfId="525" priority="525" operator="lessThan">
      <formula>0</formula>
    </cfRule>
    <cfRule type="cellIs" dxfId="524" priority="526" operator="greaterThan">
      <formula>0</formula>
    </cfRule>
  </conditionalFormatting>
  <conditionalFormatting sqref="N519">
    <cfRule type="cellIs" dxfId="523" priority="523" operator="lessThan">
      <formula>0</formula>
    </cfRule>
    <cfRule type="cellIs" dxfId="522" priority="524" operator="greaterThan">
      <formula>0</formula>
    </cfRule>
  </conditionalFormatting>
  <conditionalFormatting sqref="F519">
    <cfRule type="cellIs" dxfId="521" priority="521" operator="lessThan">
      <formula>0</formula>
    </cfRule>
    <cfRule type="cellIs" dxfId="520" priority="522" operator="greaterThan">
      <formula>0</formula>
    </cfRule>
  </conditionalFormatting>
  <conditionalFormatting sqref="N518">
    <cfRule type="cellIs" dxfId="519" priority="519" operator="lessThan">
      <formula>0</formula>
    </cfRule>
    <cfRule type="cellIs" dxfId="518" priority="520" operator="greaterThan">
      <formula>0</formula>
    </cfRule>
  </conditionalFormatting>
  <conditionalFormatting sqref="F518">
    <cfRule type="cellIs" dxfId="517" priority="517" operator="lessThan">
      <formula>0</formula>
    </cfRule>
    <cfRule type="cellIs" dxfId="516" priority="518" operator="greaterThan">
      <formula>0</formula>
    </cfRule>
  </conditionalFormatting>
  <conditionalFormatting sqref="N517">
    <cfRule type="cellIs" dxfId="515" priority="515" operator="lessThan">
      <formula>0</formula>
    </cfRule>
    <cfRule type="cellIs" dxfId="514" priority="516" operator="greaterThan">
      <formula>0</formula>
    </cfRule>
  </conditionalFormatting>
  <conditionalFormatting sqref="F517">
    <cfRule type="cellIs" dxfId="513" priority="513" operator="lessThan">
      <formula>0</formula>
    </cfRule>
    <cfRule type="cellIs" dxfId="512" priority="514" operator="greaterThan">
      <formula>0</formula>
    </cfRule>
  </conditionalFormatting>
  <conditionalFormatting sqref="N516">
    <cfRule type="cellIs" dxfId="511" priority="511" operator="lessThan">
      <formula>0</formula>
    </cfRule>
    <cfRule type="cellIs" dxfId="510" priority="512" operator="greaterThan">
      <formula>0</formula>
    </cfRule>
  </conditionalFormatting>
  <conditionalFormatting sqref="F516">
    <cfRule type="cellIs" dxfId="509" priority="509" operator="lessThan">
      <formula>0</formula>
    </cfRule>
    <cfRule type="cellIs" dxfId="508" priority="510" operator="greaterThan">
      <formula>0</formula>
    </cfRule>
  </conditionalFormatting>
  <conditionalFormatting sqref="N514:N515">
    <cfRule type="cellIs" dxfId="507" priority="507" operator="lessThan">
      <formula>0</formula>
    </cfRule>
    <cfRule type="cellIs" dxfId="506" priority="508" operator="greaterThan">
      <formula>0</formula>
    </cfRule>
  </conditionalFormatting>
  <conditionalFormatting sqref="F514:F515">
    <cfRule type="cellIs" dxfId="505" priority="505" operator="lessThan">
      <formula>0</formula>
    </cfRule>
    <cfRule type="cellIs" dxfId="504" priority="506" operator="greaterThan">
      <formula>0</formula>
    </cfRule>
  </conditionalFormatting>
  <conditionalFormatting sqref="N513">
    <cfRule type="cellIs" dxfId="503" priority="503" operator="lessThan">
      <formula>0</formula>
    </cfRule>
    <cfRule type="cellIs" dxfId="502" priority="504" operator="greaterThan">
      <formula>0</formula>
    </cfRule>
  </conditionalFormatting>
  <conditionalFormatting sqref="F513">
    <cfRule type="cellIs" dxfId="501" priority="501" operator="lessThan">
      <formula>0</formula>
    </cfRule>
    <cfRule type="cellIs" dxfId="500" priority="502" operator="greaterThan">
      <formula>0</formula>
    </cfRule>
  </conditionalFormatting>
  <conditionalFormatting sqref="N512">
    <cfRule type="cellIs" dxfId="499" priority="499" operator="lessThan">
      <formula>0</formula>
    </cfRule>
    <cfRule type="cellIs" dxfId="498" priority="500" operator="greaterThan">
      <formula>0</formula>
    </cfRule>
  </conditionalFormatting>
  <conditionalFormatting sqref="F512">
    <cfRule type="cellIs" dxfId="497" priority="497" operator="lessThan">
      <formula>0</formula>
    </cfRule>
    <cfRule type="cellIs" dxfId="496" priority="498" operator="greaterThan">
      <formula>0</formula>
    </cfRule>
  </conditionalFormatting>
  <conditionalFormatting sqref="N511">
    <cfRule type="cellIs" dxfId="495" priority="495" operator="lessThan">
      <formula>0</formula>
    </cfRule>
    <cfRule type="cellIs" dxfId="494" priority="496" operator="greaterThan">
      <formula>0</formula>
    </cfRule>
  </conditionalFormatting>
  <conditionalFormatting sqref="F511">
    <cfRule type="cellIs" dxfId="493" priority="493" operator="lessThan">
      <formula>0</formula>
    </cfRule>
    <cfRule type="cellIs" dxfId="492" priority="494" operator="greaterThan">
      <formula>0</formula>
    </cfRule>
  </conditionalFormatting>
  <conditionalFormatting sqref="N510">
    <cfRule type="cellIs" dxfId="491" priority="491" operator="lessThan">
      <formula>0</formula>
    </cfRule>
    <cfRule type="cellIs" dxfId="490" priority="492" operator="greaterThan">
      <formula>0</formula>
    </cfRule>
  </conditionalFormatting>
  <conditionalFormatting sqref="F510">
    <cfRule type="cellIs" dxfId="489" priority="489" operator="lessThan">
      <formula>0</formula>
    </cfRule>
    <cfRule type="cellIs" dxfId="488" priority="490" operator="greaterThan">
      <formula>0</formula>
    </cfRule>
  </conditionalFormatting>
  <conditionalFormatting sqref="N509">
    <cfRule type="cellIs" dxfId="487" priority="487" operator="lessThan">
      <formula>0</formula>
    </cfRule>
    <cfRule type="cellIs" dxfId="486" priority="488" operator="greaterThan">
      <formula>0</formula>
    </cfRule>
  </conditionalFormatting>
  <conditionalFormatting sqref="F509">
    <cfRule type="cellIs" dxfId="485" priority="485" operator="lessThan">
      <formula>0</formula>
    </cfRule>
    <cfRule type="cellIs" dxfId="484" priority="486" operator="greaterThan">
      <formula>0</formula>
    </cfRule>
  </conditionalFormatting>
  <conditionalFormatting sqref="N508">
    <cfRule type="cellIs" dxfId="483" priority="483" operator="lessThan">
      <formula>0</formula>
    </cfRule>
    <cfRule type="cellIs" dxfId="482" priority="484" operator="greaterThan">
      <formula>0</formula>
    </cfRule>
  </conditionalFormatting>
  <conditionalFormatting sqref="F508">
    <cfRule type="cellIs" dxfId="481" priority="481" operator="lessThan">
      <formula>0</formula>
    </cfRule>
    <cfRule type="cellIs" dxfId="480" priority="482" operator="greaterThan">
      <formula>0</formula>
    </cfRule>
  </conditionalFormatting>
  <conditionalFormatting sqref="N507">
    <cfRule type="cellIs" dxfId="479" priority="479" operator="lessThan">
      <formula>0</formula>
    </cfRule>
    <cfRule type="cellIs" dxfId="478" priority="480" operator="greaterThan">
      <formula>0</formula>
    </cfRule>
  </conditionalFormatting>
  <conditionalFormatting sqref="F507">
    <cfRule type="cellIs" dxfId="477" priority="477" operator="lessThan">
      <formula>0</formula>
    </cfRule>
    <cfRule type="cellIs" dxfId="476" priority="478" operator="greaterThan">
      <formula>0</formula>
    </cfRule>
  </conditionalFormatting>
  <conditionalFormatting sqref="N505:N506">
    <cfRule type="cellIs" dxfId="475" priority="475" operator="lessThan">
      <formula>0</formula>
    </cfRule>
    <cfRule type="cellIs" dxfId="474" priority="476" operator="greaterThan">
      <formula>0</formula>
    </cfRule>
  </conditionalFormatting>
  <conditionalFormatting sqref="F505:F506">
    <cfRule type="cellIs" dxfId="473" priority="473" operator="lessThan">
      <formula>0</formula>
    </cfRule>
    <cfRule type="cellIs" dxfId="472" priority="474" operator="greaterThan">
      <formula>0</formula>
    </cfRule>
  </conditionalFormatting>
  <conditionalFormatting sqref="N504">
    <cfRule type="cellIs" dxfId="471" priority="471" operator="lessThan">
      <formula>0</formula>
    </cfRule>
    <cfRule type="cellIs" dxfId="470" priority="472" operator="greaterThan">
      <formula>0</formula>
    </cfRule>
  </conditionalFormatting>
  <conditionalFormatting sqref="F504">
    <cfRule type="cellIs" dxfId="469" priority="469" operator="lessThan">
      <formula>0</formula>
    </cfRule>
    <cfRule type="cellIs" dxfId="468" priority="470" operator="greaterThan">
      <formula>0</formula>
    </cfRule>
  </conditionalFormatting>
  <conditionalFormatting sqref="N503">
    <cfRule type="cellIs" dxfId="467" priority="467" operator="lessThan">
      <formula>0</formula>
    </cfRule>
    <cfRule type="cellIs" dxfId="466" priority="468" operator="greaterThan">
      <formula>0</formula>
    </cfRule>
  </conditionalFormatting>
  <conditionalFormatting sqref="F503">
    <cfRule type="cellIs" dxfId="465" priority="465" operator="lessThan">
      <formula>0</formula>
    </cfRule>
    <cfRule type="cellIs" dxfId="464" priority="466" operator="greaterThan">
      <formula>0</formula>
    </cfRule>
  </conditionalFormatting>
  <conditionalFormatting sqref="N502">
    <cfRule type="cellIs" dxfId="463" priority="463" operator="lessThan">
      <formula>0</formula>
    </cfRule>
    <cfRule type="cellIs" dxfId="462" priority="464" operator="greaterThan">
      <formula>0</formula>
    </cfRule>
  </conditionalFormatting>
  <conditionalFormatting sqref="F502">
    <cfRule type="cellIs" dxfId="461" priority="461" operator="lessThan">
      <formula>0</formula>
    </cfRule>
    <cfRule type="cellIs" dxfId="460" priority="462" operator="greaterThan">
      <formula>0</formula>
    </cfRule>
  </conditionalFormatting>
  <conditionalFormatting sqref="N501">
    <cfRule type="cellIs" dxfId="459" priority="459" operator="lessThan">
      <formula>0</formula>
    </cfRule>
    <cfRule type="cellIs" dxfId="458" priority="460" operator="greaterThan">
      <formula>0</formula>
    </cfRule>
  </conditionalFormatting>
  <conditionalFormatting sqref="F501">
    <cfRule type="cellIs" dxfId="457" priority="457" operator="lessThan">
      <formula>0</formula>
    </cfRule>
    <cfRule type="cellIs" dxfId="456" priority="458" operator="greaterThan">
      <formula>0</formula>
    </cfRule>
  </conditionalFormatting>
  <conditionalFormatting sqref="N500">
    <cfRule type="cellIs" dxfId="455" priority="455" operator="lessThan">
      <formula>0</formula>
    </cfRule>
    <cfRule type="cellIs" dxfId="454" priority="456" operator="greaterThan">
      <formula>0</formula>
    </cfRule>
  </conditionalFormatting>
  <conditionalFormatting sqref="F500">
    <cfRule type="cellIs" dxfId="453" priority="453" operator="lessThan">
      <formula>0</formula>
    </cfRule>
    <cfRule type="cellIs" dxfId="452" priority="454" operator="greaterThan">
      <formula>0</formula>
    </cfRule>
  </conditionalFormatting>
  <conditionalFormatting sqref="N499">
    <cfRule type="cellIs" dxfId="451" priority="451" operator="lessThan">
      <formula>0</formula>
    </cfRule>
    <cfRule type="cellIs" dxfId="450" priority="452" operator="greaterThan">
      <formula>0</formula>
    </cfRule>
  </conditionalFormatting>
  <conditionalFormatting sqref="F499">
    <cfRule type="cellIs" dxfId="449" priority="449" operator="lessThan">
      <formula>0</formula>
    </cfRule>
    <cfRule type="cellIs" dxfId="448" priority="450" operator="greaterThan">
      <formula>0</formula>
    </cfRule>
  </conditionalFormatting>
  <conditionalFormatting sqref="N498">
    <cfRule type="cellIs" dxfId="447" priority="447" operator="lessThan">
      <formula>0</formula>
    </cfRule>
    <cfRule type="cellIs" dxfId="446" priority="448" operator="greaterThan">
      <formula>0</formula>
    </cfRule>
  </conditionalFormatting>
  <conditionalFormatting sqref="F498">
    <cfRule type="cellIs" dxfId="445" priority="445" operator="lessThan">
      <formula>0</formula>
    </cfRule>
    <cfRule type="cellIs" dxfId="444" priority="446" operator="greaterThan">
      <formula>0</formula>
    </cfRule>
  </conditionalFormatting>
  <conditionalFormatting sqref="N496:N497">
    <cfRule type="cellIs" dxfId="443" priority="443" operator="lessThan">
      <formula>0</formula>
    </cfRule>
    <cfRule type="cellIs" dxfId="442" priority="444" operator="greaterThan">
      <formula>0</formula>
    </cfRule>
  </conditionalFormatting>
  <conditionalFormatting sqref="F496:F497">
    <cfRule type="cellIs" dxfId="441" priority="441" operator="lessThan">
      <formula>0</formula>
    </cfRule>
    <cfRule type="cellIs" dxfId="440" priority="442" operator="greaterThan">
      <formula>0</formula>
    </cfRule>
  </conditionalFormatting>
  <conditionalFormatting sqref="N495">
    <cfRule type="cellIs" dxfId="439" priority="439" operator="lessThan">
      <formula>0</formula>
    </cfRule>
    <cfRule type="cellIs" dxfId="438" priority="440" operator="greaterThan">
      <formula>0</formula>
    </cfRule>
  </conditionalFormatting>
  <conditionalFormatting sqref="F495">
    <cfRule type="cellIs" dxfId="437" priority="437" operator="lessThan">
      <formula>0</formula>
    </cfRule>
    <cfRule type="cellIs" dxfId="436" priority="438" operator="greaterThan">
      <formula>0</formula>
    </cfRule>
  </conditionalFormatting>
  <conditionalFormatting sqref="N494">
    <cfRule type="cellIs" dxfId="435" priority="435" operator="lessThan">
      <formula>0</formula>
    </cfRule>
    <cfRule type="cellIs" dxfId="434" priority="436" operator="greaterThan">
      <formula>0</formula>
    </cfRule>
  </conditionalFormatting>
  <conditionalFormatting sqref="F494">
    <cfRule type="cellIs" dxfId="433" priority="433" operator="lessThan">
      <formula>0</formula>
    </cfRule>
    <cfRule type="cellIs" dxfId="432" priority="434" operator="greaterThan">
      <formula>0</formula>
    </cfRule>
  </conditionalFormatting>
  <conditionalFormatting sqref="N493">
    <cfRule type="cellIs" dxfId="431" priority="431" operator="lessThan">
      <formula>0</formula>
    </cfRule>
    <cfRule type="cellIs" dxfId="430" priority="432" operator="greaterThan">
      <formula>0</formula>
    </cfRule>
  </conditionalFormatting>
  <conditionalFormatting sqref="F493">
    <cfRule type="cellIs" dxfId="429" priority="429" operator="lessThan">
      <formula>0</formula>
    </cfRule>
    <cfRule type="cellIs" dxfId="428" priority="430" operator="greaterThan">
      <formula>0</formula>
    </cfRule>
  </conditionalFormatting>
  <conditionalFormatting sqref="N492">
    <cfRule type="cellIs" dxfId="427" priority="427" operator="lessThan">
      <formula>0</formula>
    </cfRule>
    <cfRule type="cellIs" dxfId="426" priority="428" operator="greaterThan">
      <formula>0</formula>
    </cfRule>
  </conditionalFormatting>
  <conditionalFormatting sqref="F492">
    <cfRule type="cellIs" dxfId="425" priority="425" operator="lessThan">
      <formula>0</formula>
    </cfRule>
    <cfRule type="cellIs" dxfId="424" priority="426" operator="greaterThan">
      <formula>0</formula>
    </cfRule>
  </conditionalFormatting>
  <conditionalFormatting sqref="N491">
    <cfRule type="cellIs" dxfId="423" priority="423" operator="lessThan">
      <formula>0</formula>
    </cfRule>
    <cfRule type="cellIs" dxfId="422" priority="424" operator="greaterThan">
      <formula>0</formula>
    </cfRule>
  </conditionalFormatting>
  <conditionalFormatting sqref="F491">
    <cfRule type="cellIs" dxfId="421" priority="421" operator="lessThan">
      <formula>0</formula>
    </cfRule>
    <cfRule type="cellIs" dxfId="420" priority="422" operator="greaterThan">
      <formula>0</formula>
    </cfRule>
  </conditionalFormatting>
  <conditionalFormatting sqref="N490">
    <cfRule type="cellIs" dxfId="419" priority="419" operator="lessThan">
      <formula>0</formula>
    </cfRule>
    <cfRule type="cellIs" dxfId="418" priority="420" operator="greaterThan">
      <formula>0</formula>
    </cfRule>
  </conditionalFormatting>
  <conditionalFormatting sqref="F490">
    <cfRule type="cellIs" dxfId="417" priority="417" operator="lessThan">
      <formula>0</formula>
    </cfRule>
    <cfRule type="cellIs" dxfId="416" priority="418" operator="greaterThan">
      <formula>0</formula>
    </cfRule>
  </conditionalFormatting>
  <conditionalFormatting sqref="N489">
    <cfRule type="cellIs" dxfId="415" priority="415" operator="lessThan">
      <formula>0</formula>
    </cfRule>
    <cfRule type="cellIs" dxfId="414" priority="416" operator="greaterThan">
      <formula>0</formula>
    </cfRule>
  </conditionalFormatting>
  <conditionalFormatting sqref="F489">
    <cfRule type="cellIs" dxfId="413" priority="413" operator="lessThan">
      <formula>0</formula>
    </cfRule>
    <cfRule type="cellIs" dxfId="412" priority="414" operator="greaterThan">
      <formula>0</formula>
    </cfRule>
  </conditionalFormatting>
  <conditionalFormatting sqref="N487:N488">
    <cfRule type="cellIs" dxfId="411" priority="411" operator="lessThan">
      <formula>0</formula>
    </cfRule>
    <cfRule type="cellIs" dxfId="410" priority="412" operator="greaterThan">
      <formula>0</formula>
    </cfRule>
  </conditionalFormatting>
  <conditionalFormatting sqref="F487:F488">
    <cfRule type="cellIs" dxfId="409" priority="409" operator="lessThan">
      <formula>0</formula>
    </cfRule>
    <cfRule type="cellIs" dxfId="408" priority="410" operator="greaterThan">
      <formula>0</formula>
    </cfRule>
  </conditionalFormatting>
  <conditionalFormatting sqref="N486">
    <cfRule type="cellIs" dxfId="407" priority="407" operator="lessThan">
      <formula>0</formula>
    </cfRule>
    <cfRule type="cellIs" dxfId="406" priority="408" operator="greaterThan">
      <formula>0</formula>
    </cfRule>
  </conditionalFormatting>
  <conditionalFormatting sqref="F486">
    <cfRule type="cellIs" dxfId="405" priority="405" operator="lessThan">
      <formula>0</formula>
    </cfRule>
    <cfRule type="cellIs" dxfId="404" priority="406" operator="greaterThan">
      <formula>0</formula>
    </cfRule>
  </conditionalFormatting>
  <conditionalFormatting sqref="N485">
    <cfRule type="cellIs" dxfId="403" priority="403" operator="lessThan">
      <formula>0</formula>
    </cfRule>
    <cfRule type="cellIs" dxfId="402" priority="404" operator="greaterThan">
      <formula>0</formula>
    </cfRule>
  </conditionalFormatting>
  <conditionalFormatting sqref="F485">
    <cfRule type="cellIs" dxfId="401" priority="401" operator="lessThan">
      <formula>0</formula>
    </cfRule>
    <cfRule type="cellIs" dxfId="400" priority="402" operator="greaterThan">
      <formula>0</formula>
    </cfRule>
  </conditionalFormatting>
  <conditionalFormatting sqref="N484">
    <cfRule type="cellIs" dxfId="399" priority="399" operator="lessThan">
      <formula>0</formula>
    </cfRule>
    <cfRule type="cellIs" dxfId="398" priority="400" operator="greaterThan">
      <formula>0</formula>
    </cfRule>
  </conditionalFormatting>
  <conditionalFormatting sqref="F484">
    <cfRule type="cellIs" dxfId="397" priority="397" operator="lessThan">
      <formula>0</formula>
    </cfRule>
    <cfRule type="cellIs" dxfId="396" priority="398" operator="greaterThan">
      <formula>0</formula>
    </cfRule>
  </conditionalFormatting>
  <conditionalFormatting sqref="N483">
    <cfRule type="cellIs" dxfId="395" priority="395" operator="lessThan">
      <formula>0</formula>
    </cfRule>
    <cfRule type="cellIs" dxfId="394" priority="396" operator="greaterThan">
      <formula>0</formula>
    </cfRule>
  </conditionalFormatting>
  <conditionalFormatting sqref="F483">
    <cfRule type="cellIs" dxfId="393" priority="393" operator="lessThan">
      <formula>0</formula>
    </cfRule>
    <cfRule type="cellIs" dxfId="392" priority="394" operator="greaterThan">
      <formula>0</formula>
    </cfRule>
  </conditionalFormatting>
  <conditionalFormatting sqref="N482">
    <cfRule type="cellIs" dxfId="391" priority="391" operator="lessThan">
      <formula>0</formula>
    </cfRule>
    <cfRule type="cellIs" dxfId="390" priority="392" operator="greaterThan">
      <formula>0</formula>
    </cfRule>
  </conditionalFormatting>
  <conditionalFormatting sqref="F482">
    <cfRule type="cellIs" dxfId="389" priority="389" operator="lessThan">
      <formula>0</formula>
    </cfRule>
    <cfRule type="cellIs" dxfId="388" priority="390" operator="greaterThan">
      <formula>0</formula>
    </cfRule>
  </conditionalFormatting>
  <conditionalFormatting sqref="N481">
    <cfRule type="cellIs" dxfId="387" priority="387" operator="lessThan">
      <formula>0</formula>
    </cfRule>
    <cfRule type="cellIs" dxfId="386" priority="388" operator="greaterThan">
      <formula>0</formula>
    </cfRule>
  </conditionalFormatting>
  <conditionalFormatting sqref="F481">
    <cfRule type="cellIs" dxfId="385" priority="385" operator="lessThan">
      <formula>0</formula>
    </cfRule>
    <cfRule type="cellIs" dxfId="384" priority="386" operator="greaterThan">
      <formula>0</formula>
    </cfRule>
  </conditionalFormatting>
  <conditionalFormatting sqref="N480">
    <cfRule type="cellIs" dxfId="383" priority="383" operator="lessThan">
      <formula>0</formula>
    </cfRule>
    <cfRule type="cellIs" dxfId="382" priority="384" operator="greaterThan">
      <formula>0</formula>
    </cfRule>
  </conditionalFormatting>
  <conditionalFormatting sqref="F480">
    <cfRule type="cellIs" dxfId="381" priority="381" operator="lessThan">
      <formula>0</formula>
    </cfRule>
    <cfRule type="cellIs" dxfId="380" priority="382" operator="greaterThan">
      <formula>0</formula>
    </cfRule>
  </conditionalFormatting>
  <conditionalFormatting sqref="N478:N479">
    <cfRule type="cellIs" dxfId="379" priority="379" operator="lessThan">
      <formula>0</formula>
    </cfRule>
    <cfRule type="cellIs" dxfId="378" priority="380" operator="greaterThan">
      <formula>0</formula>
    </cfRule>
  </conditionalFormatting>
  <conditionalFormatting sqref="F478:F479">
    <cfRule type="cellIs" dxfId="377" priority="377" operator="lessThan">
      <formula>0</formula>
    </cfRule>
    <cfRule type="cellIs" dxfId="376" priority="378" operator="greaterThan">
      <formula>0</formula>
    </cfRule>
  </conditionalFormatting>
  <conditionalFormatting sqref="N477">
    <cfRule type="cellIs" dxfId="375" priority="375" operator="lessThan">
      <formula>0</formula>
    </cfRule>
    <cfRule type="cellIs" dxfId="374" priority="376" operator="greaterThan">
      <formula>0</formula>
    </cfRule>
  </conditionalFormatting>
  <conditionalFormatting sqref="F477">
    <cfRule type="cellIs" dxfId="373" priority="373" operator="lessThan">
      <formula>0</formula>
    </cfRule>
    <cfRule type="cellIs" dxfId="372" priority="374" operator="greaterThan">
      <formula>0</formula>
    </cfRule>
  </conditionalFormatting>
  <conditionalFormatting sqref="N476">
    <cfRule type="cellIs" dxfId="371" priority="371" operator="lessThan">
      <formula>0</formula>
    </cfRule>
    <cfRule type="cellIs" dxfId="370" priority="372" operator="greaterThan">
      <formula>0</formula>
    </cfRule>
  </conditionalFormatting>
  <conditionalFormatting sqref="F476">
    <cfRule type="cellIs" dxfId="369" priority="369" operator="lessThan">
      <formula>0</formula>
    </cfRule>
    <cfRule type="cellIs" dxfId="368" priority="370" operator="greaterThan">
      <formula>0</formula>
    </cfRule>
  </conditionalFormatting>
  <conditionalFormatting sqref="N475">
    <cfRule type="cellIs" dxfId="367" priority="367" operator="lessThan">
      <formula>0</formula>
    </cfRule>
    <cfRule type="cellIs" dxfId="366" priority="368" operator="greaterThan">
      <formula>0</formula>
    </cfRule>
  </conditionalFormatting>
  <conditionalFormatting sqref="F475">
    <cfRule type="cellIs" dxfId="365" priority="365" operator="lessThan">
      <formula>0</formula>
    </cfRule>
    <cfRule type="cellIs" dxfId="364" priority="366" operator="greaterThan">
      <formula>0</formula>
    </cfRule>
  </conditionalFormatting>
  <conditionalFormatting sqref="N474">
    <cfRule type="cellIs" dxfId="363" priority="363" operator="lessThan">
      <formula>0</formula>
    </cfRule>
    <cfRule type="cellIs" dxfId="362" priority="364" operator="greaterThan">
      <formula>0</formula>
    </cfRule>
  </conditionalFormatting>
  <conditionalFormatting sqref="F474">
    <cfRule type="cellIs" dxfId="361" priority="361" operator="lessThan">
      <formula>0</formula>
    </cfRule>
    <cfRule type="cellIs" dxfId="360" priority="362" operator="greaterThan">
      <formula>0</formula>
    </cfRule>
  </conditionalFormatting>
  <conditionalFormatting sqref="N473">
    <cfRule type="cellIs" dxfId="359" priority="359" operator="lessThan">
      <formula>0</formula>
    </cfRule>
    <cfRule type="cellIs" dxfId="358" priority="360" operator="greaterThan">
      <formula>0</formula>
    </cfRule>
  </conditionalFormatting>
  <conditionalFormatting sqref="F473">
    <cfRule type="cellIs" dxfId="357" priority="357" operator="lessThan">
      <formula>0</formula>
    </cfRule>
    <cfRule type="cellIs" dxfId="356" priority="358" operator="greaterThan">
      <formula>0</formula>
    </cfRule>
  </conditionalFormatting>
  <conditionalFormatting sqref="N472">
    <cfRule type="cellIs" dxfId="355" priority="355" operator="lessThan">
      <formula>0</formula>
    </cfRule>
    <cfRule type="cellIs" dxfId="354" priority="356" operator="greaterThan">
      <formula>0</formula>
    </cfRule>
  </conditionalFormatting>
  <conditionalFormatting sqref="F472">
    <cfRule type="cellIs" dxfId="353" priority="353" operator="lessThan">
      <formula>0</formula>
    </cfRule>
    <cfRule type="cellIs" dxfId="352" priority="354" operator="greaterThan">
      <formula>0</formula>
    </cfRule>
  </conditionalFormatting>
  <conditionalFormatting sqref="N471">
    <cfRule type="cellIs" dxfId="351" priority="351" operator="lessThan">
      <formula>0</formula>
    </cfRule>
    <cfRule type="cellIs" dxfId="350" priority="352" operator="greaterThan">
      <formula>0</formula>
    </cfRule>
  </conditionalFormatting>
  <conditionalFormatting sqref="F471">
    <cfRule type="cellIs" dxfId="349" priority="349" operator="lessThan">
      <formula>0</formula>
    </cfRule>
    <cfRule type="cellIs" dxfId="348" priority="350" operator="greaterThan">
      <formula>0</formula>
    </cfRule>
  </conditionalFormatting>
  <conditionalFormatting sqref="N469:N470">
    <cfRule type="cellIs" dxfId="347" priority="347" operator="lessThan">
      <formula>0</formula>
    </cfRule>
    <cfRule type="cellIs" dxfId="346" priority="348" operator="greaterThan">
      <formula>0</formula>
    </cfRule>
  </conditionalFormatting>
  <conditionalFormatting sqref="F469:F470">
    <cfRule type="cellIs" dxfId="345" priority="345" operator="lessThan">
      <formula>0</formula>
    </cfRule>
    <cfRule type="cellIs" dxfId="344" priority="346" operator="greaterThan">
      <formula>0</formula>
    </cfRule>
  </conditionalFormatting>
  <conditionalFormatting sqref="N468">
    <cfRule type="cellIs" dxfId="343" priority="343" operator="lessThan">
      <formula>0</formula>
    </cfRule>
    <cfRule type="cellIs" dxfId="342" priority="344" operator="greaterThan">
      <formula>0</formula>
    </cfRule>
  </conditionalFormatting>
  <conditionalFormatting sqref="F468">
    <cfRule type="cellIs" dxfId="341" priority="341" operator="lessThan">
      <formula>0</formula>
    </cfRule>
    <cfRule type="cellIs" dxfId="340" priority="342" operator="greaterThan">
      <formula>0</formula>
    </cfRule>
  </conditionalFormatting>
  <conditionalFormatting sqref="N467">
    <cfRule type="cellIs" dxfId="339" priority="339" operator="lessThan">
      <formula>0</formula>
    </cfRule>
    <cfRule type="cellIs" dxfId="338" priority="340" operator="greaterThan">
      <formula>0</formula>
    </cfRule>
  </conditionalFormatting>
  <conditionalFormatting sqref="F467">
    <cfRule type="cellIs" dxfId="337" priority="337" operator="lessThan">
      <formula>0</formula>
    </cfRule>
    <cfRule type="cellIs" dxfId="336" priority="338" operator="greaterThan">
      <formula>0</formula>
    </cfRule>
  </conditionalFormatting>
  <conditionalFormatting sqref="N466">
    <cfRule type="cellIs" dxfId="335" priority="335" operator="lessThan">
      <formula>0</formula>
    </cfRule>
    <cfRule type="cellIs" dxfId="334" priority="336" operator="greaterThan">
      <formula>0</formula>
    </cfRule>
  </conditionalFormatting>
  <conditionalFormatting sqref="F466">
    <cfRule type="cellIs" dxfId="333" priority="333" operator="lessThan">
      <formula>0</formula>
    </cfRule>
    <cfRule type="cellIs" dxfId="332" priority="334" operator="greaterThan">
      <formula>0</formula>
    </cfRule>
  </conditionalFormatting>
  <conditionalFormatting sqref="N465">
    <cfRule type="cellIs" dxfId="331" priority="331" operator="lessThan">
      <formula>0</formula>
    </cfRule>
    <cfRule type="cellIs" dxfId="330" priority="332" operator="greaterThan">
      <formula>0</formula>
    </cfRule>
  </conditionalFormatting>
  <conditionalFormatting sqref="F465">
    <cfRule type="cellIs" dxfId="329" priority="329" operator="lessThan">
      <formula>0</formula>
    </cfRule>
    <cfRule type="cellIs" dxfId="328" priority="330" operator="greaterThan">
      <formula>0</formula>
    </cfRule>
  </conditionalFormatting>
  <conditionalFormatting sqref="N464">
    <cfRule type="cellIs" dxfId="327" priority="327" operator="lessThan">
      <formula>0</formula>
    </cfRule>
    <cfRule type="cellIs" dxfId="326" priority="328" operator="greaterThan">
      <formula>0</formula>
    </cfRule>
  </conditionalFormatting>
  <conditionalFormatting sqref="F464">
    <cfRule type="cellIs" dxfId="325" priority="325" operator="lessThan">
      <formula>0</formula>
    </cfRule>
    <cfRule type="cellIs" dxfId="324" priority="326" operator="greaterThan">
      <formula>0</formula>
    </cfRule>
  </conditionalFormatting>
  <conditionalFormatting sqref="N463">
    <cfRule type="cellIs" dxfId="323" priority="323" operator="lessThan">
      <formula>0</formula>
    </cfRule>
    <cfRule type="cellIs" dxfId="322" priority="324" operator="greaterThan">
      <formula>0</formula>
    </cfRule>
  </conditionalFormatting>
  <conditionalFormatting sqref="F463">
    <cfRule type="cellIs" dxfId="321" priority="321" operator="lessThan">
      <formula>0</formula>
    </cfRule>
    <cfRule type="cellIs" dxfId="320" priority="322" operator="greaterThan">
      <formula>0</formula>
    </cfRule>
  </conditionalFormatting>
  <conditionalFormatting sqref="N462">
    <cfRule type="cellIs" dxfId="319" priority="319" operator="lessThan">
      <formula>0</formula>
    </cfRule>
    <cfRule type="cellIs" dxfId="318" priority="320" operator="greaterThan">
      <formula>0</formula>
    </cfRule>
  </conditionalFormatting>
  <conditionalFormatting sqref="F462">
    <cfRule type="cellIs" dxfId="317" priority="317" operator="lessThan">
      <formula>0</formula>
    </cfRule>
    <cfRule type="cellIs" dxfId="316" priority="318" operator="greaterThan">
      <formula>0</formula>
    </cfRule>
  </conditionalFormatting>
  <conditionalFormatting sqref="N460:N461">
    <cfRule type="cellIs" dxfId="315" priority="315" operator="lessThan">
      <formula>0</formula>
    </cfRule>
    <cfRule type="cellIs" dxfId="314" priority="316" operator="greaterThan">
      <formula>0</formula>
    </cfRule>
  </conditionalFormatting>
  <conditionalFormatting sqref="F460:F461">
    <cfRule type="cellIs" dxfId="313" priority="313" operator="lessThan">
      <formula>0</formula>
    </cfRule>
    <cfRule type="cellIs" dxfId="312" priority="314" operator="greaterThan">
      <formula>0</formula>
    </cfRule>
  </conditionalFormatting>
  <conditionalFormatting sqref="N459">
    <cfRule type="cellIs" dxfId="311" priority="311" operator="lessThan">
      <formula>0</formula>
    </cfRule>
    <cfRule type="cellIs" dxfId="310" priority="312" operator="greaterThan">
      <formula>0</formula>
    </cfRule>
  </conditionalFormatting>
  <conditionalFormatting sqref="F459">
    <cfRule type="cellIs" dxfId="309" priority="309" operator="lessThan">
      <formula>0</formula>
    </cfRule>
    <cfRule type="cellIs" dxfId="308" priority="310" operator="greaterThan">
      <formula>0</formula>
    </cfRule>
  </conditionalFormatting>
  <conditionalFormatting sqref="N458">
    <cfRule type="cellIs" dxfId="307" priority="307" operator="lessThan">
      <formula>0</formula>
    </cfRule>
    <cfRule type="cellIs" dxfId="306" priority="308" operator="greaterThan">
      <formula>0</formula>
    </cfRule>
  </conditionalFormatting>
  <conditionalFormatting sqref="F458">
    <cfRule type="cellIs" dxfId="305" priority="305" operator="lessThan">
      <formula>0</formula>
    </cfRule>
    <cfRule type="cellIs" dxfId="304" priority="306" operator="greaterThan">
      <formula>0</formula>
    </cfRule>
  </conditionalFormatting>
  <conditionalFormatting sqref="N457">
    <cfRule type="cellIs" dxfId="303" priority="303" operator="lessThan">
      <formula>0</formula>
    </cfRule>
    <cfRule type="cellIs" dxfId="302" priority="304" operator="greaterThan">
      <formula>0</formula>
    </cfRule>
  </conditionalFormatting>
  <conditionalFormatting sqref="F457">
    <cfRule type="cellIs" dxfId="301" priority="301" operator="lessThan">
      <formula>0</formula>
    </cfRule>
    <cfRule type="cellIs" dxfId="300" priority="302" operator="greaterThan">
      <formula>0</formula>
    </cfRule>
  </conditionalFormatting>
  <conditionalFormatting sqref="N456">
    <cfRule type="cellIs" dxfId="299" priority="299" operator="lessThan">
      <formula>0</formula>
    </cfRule>
    <cfRule type="cellIs" dxfId="298" priority="300" operator="greaterThan">
      <formula>0</formula>
    </cfRule>
  </conditionalFormatting>
  <conditionalFormatting sqref="F456">
    <cfRule type="cellIs" dxfId="297" priority="297" operator="lessThan">
      <formula>0</formula>
    </cfRule>
    <cfRule type="cellIs" dxfId="296" priority="298" operator="greaterThan">
      <formula>0</formula>
    </cfRule>
  </conditionalFormatting>
  <conditionalFormatting sqref="N455">
    <cfRule type="cellIs" dxfId="295" priority="295" operator="lessThan">
      <formula>0</formula>
    </cfRule>
    <cfRule type="cellIs" dxfId="294" priority="296" operator="greaterThan">
      <formula>0</formula>
    </cfRule>
  </conditionalFormatting>
  <conditionalFormatting sqref="F455">
    <cfRule type="cellIs" dxfId="293" priority="293" operator="lessThan">
      <formula>0</formula>
    </cfRule>
    <cfRule type="cellIs" dxfId="292" priority="294" operator="greaterThan">
      <formula>0</formula>
    </cfRule>
  </conditionalFormatting>
  <conditionalFormatting sqref="N454">
    <cfRule type="cellIs" dxfId="291" priority="291" operator="lessThan">
      <formula>0</formula>
    </cfRule>
    <cfRule type="cellIs" dxfId="290" priority="292" operator="greaterThan">
      <formula>0</formula>
    </cfRule>
  </conditionalFormatting>
  <conditionalFormatting sqref="F454">
    <cfRule type="cellIs" dxfId="289" priority="289" operator="lessThan">
      <formula>0</formula>
    </cfRule>
    <cfRule type="cellIs" dxfId="288" priority="290" operator="greaterThan">
      <formula>0</formula>
    </cfRule>
  </conditionalFormatting>
  <conditionalFormatting sqref="N453">
    <cfRule type="cellIs" dxfId="287" priority="287" operator="lessThan">
      <formula>0</formula>
    </cfRule>
    <cfRule type="cellIs" dxfId="286" priority="288" operator="greaterThan">
      <formula>0</formula>
    </cfRule>
  </conditionalFormatting>
  <conditionalFormatting sqref="F453">
    <cfRule type="cellIs" dxfId="285" priority="285" operator="lessThan">
      <formula>0</formula>
    </cfRule>
    <cfRule type="cellIs" dxfId="284" priority="286" operator="greaterThan">
      <formula>0</formula>
    </cfRule>
  </conditionalFormatting>
  <conditionalFormatting sqref="N451:N452">
    <cfRule type="cellIs" dxfId="283" priority="283" operator="lessThan">
      <formula>0</formula>
    </cfRule>
    <cfRule type="cellIs" dxfId="282" priority="284" operator="greaterThan">
      <formula>0</formula>
    </cfRule>
  </conditionalFormatting>
  <conditionalFormatting sqref="F451:F452">
    <cfRule type="cellIs" dxfId="281" priority="281" operator="lessThan">
      <formula>0</formula>
    </cfRule>
    <cfRule type="cellIs" dxfId="280" priority="282" operator="greaterThan">
      <formula>0</formula>
    </cfRule>
  </conditionalFormatting>
  <conditionalFormatting sqref="N450">
    <cfRule type="cellIs" dxfId="279" priority="279" operator="lessThan">
      <formula>0</formula>
    </cfRule>
    <cfRule type="cellIs" dxfId="278" priority="280" operator="greaterThan">
      <formula>0</formula>
    </cfRule>
  </conditionalFormatting>
  <conditionalFormatting sqref="F450">
    <cfRule type="cellIs" dxfId="277" priority="277" operator="lessThan">
      <formula>0</formula>
    </cfRule>
    <cfRule type="cellIs" dxfId="276" priority="278" operator="greaterThan">
      <formula>0</formula>
    </cfRule>
  </conditionalFormatting>
  <conditionalFormatting sqref="N449">
    <cfRule type="cellIs" dxfId="275" priority="275" operator="lessThan">
      <formula>0</formula>
    </cfRule>
    <cfRule type="cellIs" dxfId="274" priority="276" operator="greaterThan">
      <formula>0</formula>
    </cfRule>
  </conditionalFormatting>
  <conditionalFormatting sqref="F449">
    <cfRule type="cellIs" dxfId="273" priority="273" operator="lessThan">
      <formula>0</formula>
    </cfRule>
    <cfRule type="cellIs" dxfId="272" priority="274" operator="greaterThan">
      <formula>0</formula>
    </cfRule>
  </conditionalFormatting>
  <conditionalFormatting sqref="N448">
    <cfRule type="cellIs" dxfId="271" priority="271" operator="lessThan">
      <formula>0</formula>
    </cfRule>
    <cfRule type="cellIs" dxfId="270" priority="272" operator="greaterThan">
      <formula>0</formula>
    </cfRule>
  </conditionalFormatting>
  <conditionalFormatting sqref="F448">
    <cfRule type="cellIs" dxfId="269" priority="269" operator="lessThan">
      <formula>0</formula>
    </cfRule>
    <cfRule type="cellIs" dxfId="268" priority="270" operator="greaterThan">
      <formula>0</formula>
    </cfRule>
  </conditionalFormatting>
  <conditionalFormatting sqref="N447">
    <cfRule type="cellIs" dxfId="267" priority="267" operator="lessThan">
      <formula>0</formula>
    </cfRule>
    <cfRule type="cellIs" dxfId="266" priority="268" operator="greaterThan">
      <formula>0</formula>
    </cfRule>
  </conditionalFormatting>
  <conditionalFormatting sqref="F447">
    <cfRule type="cellIs" dxfId="265" priority="265" operator="lessThan">
      <formula>0</formula>
    </cfRule>
    <cfRule type="cellIs" dxfId="264" priority="266" operator="greaterThan">
      <formula>0</formula>
    </cfRule>
  </conditionalFormatting>
  <conditionalFormatting sqref="N446">
    <cfRule type="cellIs" dxfId="263" priority="263" operator="lessThan">
      <formula>0</formula>
    </cfRule>
    <cfRule type="cellIs" dxfId="262" priority="264" operator="greaterThan">
      <formula>0</formula>
    </cfRule>
  </conditionalFormatting>
  <conditionalFormatting sqref="F446">
    <cfRule type="cellIs" dxfId="261" priority="261" operator="lessThan">
      <formula>0</formula>
    </cfRule>
    <cfRule type="cellIs" dxfId="260" priority="262" operator="greaterThan">
      <formula>0</formula>
    </cfRule>
  </conditionalFormatting>
  <conditionalFormatting sqref="N445">
    <cfRule type="cellIs" dxfId="259" priority="259" operator="lessThan">
      <formula>0</formula>
    </cfRule>
    <cfRule type="cellIs" dxfId="258" priority="260" operator="greaterThan">
      <formula>0</formula>
    </cfRule>
  </conditionalFormatting>
  <conditionalFormatting sqref="F445">
    <cfRule type="cellIs" dxfId="257" priority="257" operator="lessThan">
      <formula>0</formula>
    </cfRule>
    <cfRule type="cellIs" dxfId="256" priority="258" operator="greaterThan">
      <formula>0</formula>
    </cfRule>
  </conditionalFormatting>
  <conditionalFormatting sqref="N444">
    <cfRule type="cellIs" dxfId="255" priority="255" operator="lessThan">
      <formula>0</formula>
    </cfRule>
    <cfRule type="cellIs" dxfId="254" priority="256" operator="greaterThan">
      <formula>0</formula>
    </cfRule>
  </conditionalFormatting>
  <conditionalFormatting sqref="F444">
    <cfRule type="cellIs" dxfId="253" priority="253" operator="lessThan">
      <formula>0</formula>
    </cfRule>
    <cfRule type="cellIs" dxfId="252" priority="254" operator="greaterThan">
      <formula>0</formula>
    </cfRule>
  </conditionalFormatting>
  <conditionalFormatting sqref="N442:N443">
    <cfRule type="cellIs" dxfId="251" priority="251" operator="lessThan">
      <formula>0</formula>
    </cfRule>
    <cfRule type="cellIs" dxfId="250" priority="252" operator="greaterThan">
      <formula>0</formula>
    </cfRule>
  </conditionalFormatting>
  <conditionalFormatting sqref="F442:F443">
    <cfRule type="cellIs" dxfId="249" priority="249" operator="lessThan">
      <formula>0</formula>
    </cfRule>
    <cfRule type="cellIs" dxfId="248" priority="250" operator="greaterThan">
      <formula>0</formula>
    </cfRule>
  </conditionalFormatting>
  <conditionalFormatting sqref="N441">
    <cfRule type="cellIs" dxfId="247" priority="247" operator="lessThan">
      <formula>0</formula>
    </cfRule>
    <cfRule type="cellIs" dxfId="246" priority="248" operator="greaterThan">
      <formula>0</formula>
    </cfRule>
  </conditionalFormatting>
  <conditionalFormatting sqref="F441">
    <cfRule type="cellIs" dxfId="245" priority="245" operator="lessThan">
      <formula>0</formula>
    </cfRule>
    <cfRule type="cellIs" dxfId="244" priority="246" operator="greaterThan">
      <formula>0</formula>
    </cfRule>
  </conditionalFormatting>
  <conditionalFormatting sqref="N440">
    <cfRule type="cellIs" dxfId="243" priority="243" operator="lessThan">
      <formula>0</formula>
    </cfRule>
    <cfRule type="cellIs" dxfId="242" priority="244" operator="greaterThan">
      <formula>0</formula>
    </cfRule>
  </conditionalFormatting>
  <conditionalFormatting sqref="F440">
    <cfRule type="cellIs" dxfId="241" priority="241" operator="lessThan">
      <formula>0</formula>
    </cfRule>
    <cfRule type="cellIs" dxfId="240" priority="242" operator="greaterThan">
      <formula>0</formula>
    </cfRule>
  </conditionalFormatting>
  <conditionalFormatting sqref="N439">
    <cfRule type="cellIs" dxfId="239" priority="239" operator="lessThan">
      <formula>0</formula>
    </cfRule>
    <cfRule type="cellIs" dxfId="238" priority="240" operator="greaterThan">
      <formula>0</formula>
    </cfRule>
  </conditionalFormatting>
  <conditionalFormatting sqref="F439">
    <cfRule type="cellIs" dxfId="237" priority="237" operator="lessThan">
      <formula>0</formula>
    </cfRule>
    <cfRule type="cellIs" dxfId="236" priority="238" operator="greaterThan">
      <formula>0</formula>
    </cfRule>
  </conditionalFormatting>
  <conditionalFormatting sqref="N438">
    <cfRule type="cellIs" dxfId="235" priority="235" operator="lessThan">
      <formula>0</formula>
    </cfRule>
    <cfRule type="cellIs" dxfId="234" priority="236" operator="greaterThan">
      <formula>0</formula>
    </cfRule>
  </conditionalFormatting>
  <conditionalFormatting sqref="F438">
    <cfRule type="cellIs" dxfId="233" priority="233" operator="lessThan">
      <formula>0</formula>
    </cfRule>
    <cfRule type="cellIs" dxfId="232" priority="234" operator="greaterThan">
      <formula>0</formula>
    </cfRule>
  </conditionalFormatting>
  <conditionalFormatting sqref="N437">
    <cfRule type="cellIs" dxfId="231" priority="231" operator="lessThan">
      <formula>0</formula>
    </cfRule>
    <cfRule type="cellIs" dxfId="230" priority="232" operator="greaterThan">
      <formula>0</formula>
    </cfRule>
  </conditionalFormatting>
  <conditionalFormatting sqref="F437">
    <cfRule type="cellIs" dxfId="229" priority="229" operator="lessThan">
      <formula>0</formula>
    </cfRule>
    <cfRule type="cellIs" dxfId="228" priority="230" operator="greaterThan">
      <formula>0</formula>
    </cfRule>
  </conditionalFormatting>
  <conditionalFormatting sqref="N436">
    <cfRule type="cellIs" dxfId="227" priority="227" operator="lessThan">
      <formula>0</formula>
    </cfRule>
    <cfRule type="cellIs" dxfId="226" priority="228" operator="greaterThan">
      <formula>0</formula>
    </cfRule>
  </conditionalFormatting>
  <conditionalFormatting sqref="F436">
    <cfRule type="cellIs" dxfId="225" priority="225" operator="lessThan">
      <formula>0</formula>
    </cfRule>
    <cfRule type="cellIs" dxfId="224" priority="226" operator="greaterThan">
      <formula>0</formula>
    </cfRule>
  </conditionalFormatting>
  <conditionalFormatting sqref="N435">
    <cfRule type="cellIs" dxfId="223" priority="223" operator="lessThan">
      <formula>0</formula>
    </cfRule>
    <cfRule type="cellIs" dxfId="222" priority="224" operator="greaterThan">
      <formula>0</formula>
    </cfRule>
  </conditionalFormatting>
  <conditionalFormatting sqref="F435">
    <cfRule type="cellIs" dxfId="221" priority="221" operator="lessThan">
      <formula>0</formula>
    </cfRule>
    <cfRule type="cellIs" dxfId="220" priority="222" operator="greaterThan">
      <formula>0</formula>
    </cfRule>
  </conditionalFormatting>
  <conditionalFormatting sqref="N433:N434">
    <cfRule type="cellIs" dxfId="219" priority="219" operator="lessThan">
      <formula>0</formula>
    </cfRule>
    <cfRule type="cellIs" dxfId="218" priority="220" operator="greaterThan">
      <formula>0</formula>
    </cfRule>
  </conditionalFormatting>
  <conditionalFormatting sqref="F433:F434">
    <cfRule type="cellIs" dxfId="217" priority="217" operator="lessThan">
      <formula>0</formula>
    </cfRule>
    <cfRule type="cellIs" dxfId="216" priority="218" operator="greaterThan">
      <formula>0</formula>
    </cfRule>
  </conditionalFormatting>
  <conditionalFormatting sqref="N432">
    <cfRule type="cellIs" dxfId="215" priority="215" operator="lessThan">
      <formula>0</formula>
    </cfRule>
    <cfRule type="cellIs" dxfId="214" priority="216" operator="greaterThan">
      <formula>0</formula>
    </cfRule>
  </conditionalFormatting>
  <conditionalFormatting sqref="F432">
    <cfRule type="cellIs" dxfId="213" priority="213" operator="lessThan">
      <formula>0</formula>
    </cfRule>
    <cfRule type="cellIs" dxfId="212" priority="214" operator="greaterThan">
      <formula>0</formula>
    </cfRule>
  </conditionalFormatting>
  <conditionalFormatting sqref="N431">
    <cfRule type="cellIs" dxfId="211" priority="211" operator="lessThan">
      <formula>0</formula>
    </cfRule>
    <cfRule type="cellIs" dxfId="210" priority="212" operator="greaterThan">
      <formula>0</formula>
    </cfRule>
  </conditionalFormatting>
  <conditionalFormatting sqref="F431">
    <cfRule type="cellIs" dxfId="209" priority="209" operator="lessThan">
      <formula>0</formula>
    </cfRule>
    <cfRule type="cellIs" dxfId="208" priority="210" operator="greaterThan">
      <formula>0</formula>
    </cfRule>
  </conditionalFormatting>
  <conditionalFormatting sqref="N430">
    <cfRule type="cellIs" dxfId="207" priority="207" operator="lessThan">
      <formula>0</formula>
    </cfRule>
    <cfRule type="cellIs" dxfId="206" priority="208" operator="greaterThan">
      <formula>0</formula>
    </cfRule>
  </conditionalFormatting>
  <conditionalFormatting sqref="F430">
    <cfRule type="cellIs" dxfId="205" priority="205" operator="lessThan">
      <formula>0</formula>
    </cfRule>
    <cfRule type="cellIs" dxfId="204" priority="206" operator="greaterThan">
      <formula>0</formula>
    </cfRule>
  </conditionalFormatting>
  <conditionalFormatting sqref="N429">
    <cfRule type="cellIs" dxfId="203" priority="203" operator="lessThan">
      <formula>0</formula>
    </cfRule>
    <cfRule type="cellIs" dxfId="202" priority="204" operator="greaterThan">
      <formula>0</formula>
    </cfRule>
  </conditionalFormatting>
  <conditionalFormatting sqref="F429">
    <cfRule type="cellIs" dxfId="201" priority="201" operator="lessThan">
      <formula>0</formula>
    </cfRule>
    <cfRule type="cellIs" dxfId="200" priority="202" operator="greaterThan">
      <formula>0</formula>
    </cfRule>
  </conditionalFormatting>
  <conditionalFormatting sqref="N428">
    <cfRule type="cellIs" dxfId="199" priority="199" operator="lessThan">
      <formula>0</formula>
    </cfRule>
    <cfRule type="cellIs" dxfId="198" priority="200" operator="greaterThan">
      <formula>0</formula>
    </cfRule>
  </conditionalFormatting>
  <conditionalFormatting sqref="F428">
    <cfRule type="cellIs" dxfId="197" priority="197" operator="lessThan">
      <formula>0</formula>
    </cfRule>
    <cfRule type="cellIs" dxfId="196" priority="198" operator="greaterThan">
      <formula>0</formula>
    </cfRule>
  </conditionalFormatting>
  <conditionalFormatting sqref="N427">
    <cfRule type="cellIs" dxfId="195" priority="195" operator="lessThan">
      <formula>0</formula>
    </cfRule>
    <cfRule type="cellIs" dxfId="194" priority="196" operator="greaterThan">
      <formula>0</formula>
    </cfRule>
  </conditionalFormatting>
  <conditionalFormatting sqref="F427">
    <cfRule type="cellIs" dxfId="193" priority="193" operator="lessThan">
      <formula>0</formula>
    </cfRule>
    <cfRule type="cellIs" dxfId="192" priority="194" operator="greaterThan">
      <formula>0</formula>
    </cfRule>
  </conditionalFormatting>
  <conditionalFormatting sqref="N426">
    <cfRule type="cellIs" dxfId="191" priority="191" operator="lessThan">
      <formula>0</formula>
    </cfRule>
    <cfRule type="cellIs" dxfId="190" priority="192" operator="greaterThan">
      <formula>0</formula>
    </cfRule>
  </conditionalFormatting>
  <conditionalFormatting sqref="F426">
    <cfRule type="cellIs" dxfId="189" priority="189" operator="lessThan">
      <formula>0</formula>
    </cfRule>
    <cfRule type="cellIs" dxfId="188" priority="190" operator="greaterThan">
      <formula>0</formula>
    </cfRule>
  </conditionalFormatting>
  <conditionalFormatting sqref="N424:N425">
    <cfRule type="cellIs" dxfId="187" priority="187" operator="lessThan">
      <formula>0</formula>
    </cfRule>
    <cfRule type="cellIs" dxfId="186" priority="188" operator="greaterThan">
      <formula>0</formula>
    </cfRule>
  </conditionalFormatting>
  <conditionalFormatting sqref="F424:F425">
    <cfRule type="cellIs" dxfId="185" priority="185" operator="lessThan">
      <formula>0</formula>
    </cfRule>
    <cfRule type="cellIs" dxfId="184" priority="186" operator="greaterThan">
      <formula>0</formula>
    </cfRule>
  </conditionalFormatting>
  <conditionalFormatting sqref="N423">
    <cfRule type="cellIs" dxfId="183" priority="183" operator="lessThan">
      <formula>0</formula>
    </cfRule>
    <cfRule type="cellIs" dxfId="182" priority="184" operator="greaterThan">
      <formula>0</formula>
    </cfRule>
  </conditionalFormatting>
  <conditionalFormatting sqref="F423">
    <cfRule type="cellIs" dxfId="181" priority="181" operator="lessThan">
      <formula>0</formula>
    </cfRule>
    <cfRule type="cellIs" dxfId="180" priority="182" operator="greaterThan">
      <formula>0</formula>
    </cfRule>
  </conditionalFormatting>
  <conditionalFormatting sqref="N422">
    <cfRule type="cellIs" dxfId="179" priority="179" operator="lessThan">
      <formula>0</formula>
    </cfRule>
    <cfRule type="cellIs" dxfId="178" priority="180" operator="greaterThan">
      <formula>0</formula>
    </cfRule>
  </conditionalFormatting>
  <conditionalFormatting sqref="F422">
    <cfRule type="cellIs" dxfId="177" priority="177" operator="lessThan">
      <formula>0</formula>
    </cfRule>
    <cfRule type="cellIs" dxfId="176" priority="178" operator="greaterThan">
      <formula>0</formula>
    </cfRule>
  </conditionalFormatting>
  <conditionalFormatting sqref="N421">
    <cfRule type="cellIs" dxfId="175" priority="175" operator="lessThan">
      <formula>0</formula>
    </cfRule>
    <cfRule type="cellIs" dxfId="174" priority="176" operator="greaterThan">
      <formula>0</formula>
    </cfRule>
  </conditionalFormatting>
  <conditionalFormatting sqref="F421">
    <cfRule type="cellIs" dxfId="173" priority="173" operator="lessThan">
      <formula>0</formula>
    </cfRule>
    <cfRule type="cellIs" dxfId="172" priority="174" operator="greaterThan">
      <formula>0</formula>
    </cfRule>
  </conditionalFormatting>
  <conditionalFormatting sqref="N420">
    <cfRule type="cellIs" dxfId="171" priority="171" operator="lessThan">
      <formula>0</formula>
    </cfRule>
    <cfRule type="cellIs" dxfId="170" priority="172" operator="greaterThan">
      <formula>0</formula>
    </cfRule>
  </conditionalFormatting>
  <conditionalFormatting sqref="F420">
    <cfRule type="cellIs" dxfId="169" priority="169" operator="lessThan">
      <formula>0</formula>
    </cfRule>
    <cfRule type="cellIs" dxfId="168" priority="170" operator="greaterThan">
      <formula>0</formula>
    </cfRule>
  </conditionalFormatting>
  <conditionalFormatting sqref="N419">
    <cfRule type="cellIs" dxfId="167" priority="167" operator="lessThan">
      <formula>0</formula>
    </cfRule>
    <cfRule type="cellIs" dxfId="166" priority="168" operator="greaterThan">
      <formula>0</formula>
    </cfRule>
  </conditionalFormatting>
  <conditionalFormatting sqref="F419">
    <cfRule type="cellIs" dxfId="165" priority="165" operator="lessThan">
      <formula>0</formula>
    </cfRule>
    <cfRule type="cellIs" dxfId="164" priority="166" operator="greaterThan">
      <formula>0</formula>
    </cfRule>
  </conditionalFormatting>
  <conditionalFormatting sqref="N418">
    <cfRule type="cellIs" dxfId="163" priority="163" operator="lessThan">
      <formula>0</formula>
    </cfRule>
    <cfRule type="cellIs" dxfId="162" priority="164" operator="greaterThan">
      <formula>0</formula>
    </cfRule>
  </conditionalFormatting>
  <conditionalFormatting sqref="F418">
    <cfRule type="cellIs" dxfId="161" priority="161" operator="lessThan">
      <formula>0</formula>
    </cfRule>
    <cfRule type="cellIs" dxfId="160" priority="162" operator="greaterThan">
      <formula>0</formula>
    </cfRule>
  </conditionalFormatting>
  <conditionalFormatting sqref="N417">
    <cfRule type="cellIs" dxfId="159" priority="159" operator="lessThan">
      <formula>0</formula>
    </cfRule>
    <cfRule type="cellIs" dxfId="158" priority="160" operator="greaterThan">
      <formula>0</formula>
    </cfRule>
  </conditionalFormatting>
  <conditionalFormatting sqref="F417">
    <cfRule type="cellIs" dxfId="157" priority="157" operator="lessThan">
      <formula>0</formula>
    </cfRule>
    <cfRule type="cellIs" dxfId="156" priority="158" operator="greaterThan">
      <formula>0</formula>
    </cfRule>
  </conditionalFormatting>
  <conditionalFormatting sqref="N415:N416">
    <cfRule type="cellIs" dxfId="155" priority="155" operator="lessThan">
      <formula>0</formula>
    </cfRule>
    <cfRule type="cellIs" dxfId="154" priority="156" operator="greaterThan">
      <formula>0</formula>
    </cfRule>
  </conditionalFormatting>
  <conditionalFormatting sqref="F415:F416">
    <cfRule type="cellIs" dxfId="153" priority="153" operator="lessThan">
      <formula>0</formula>
    </cfRule>
    <cfRule type="cellIs" dxfId="152" priority="154" operator="greaterThan">
      <formula>0</formula>
    </cfRule>
  </conditionalFormatting>
  <conditionalFormatting sqref="N414">
    <cfRule type="cellIs" dxfId="151" priority="151" operator="lessThan">
      <formula>0</formula>
    </cfRule>
    <cfRule type="cellIs" dxfId="150" priority="152" operator="greaterThan">
      <formula>0</formula>
    </cfRule>
  </conditionalFormatting>
  <conditionalFormatting sqref="F414">
    <cfRule type="cellIs" dxfId="149" priority="149" operator="lessThan">
      <formula>0</formula>
    </cfRule>
    <cfRule type="cellIs" dxfId="148" priority="150" operator="greaterThan">
      <formula>0</formula>
    </cfRule>
  </conditionalFormatting>
  <conditionalFormatting sqref="N413">
    <cfRule type="cellIs" dxfId="147" priority="147" operator="lessThan">
      <formula>0</formula>
    </cfRule>
    <cfRule type="cellIs" dxfId="146" priority="148" operator="greaterThan">
      <formula>0</formula>
    </cfRule>
  </conditionalFormatting>
  <conditionalFormatting sqref="F413">
    <cfRule type="cellIs" dxfId="145" priority="145" operator="lessThan">
      <formula>0</formula>
    </cfRule>
    <cfRule type="cellIs" dxfId="144" priority="146" operator="greaterThan">
      <formula>0</formula>
    </cfRule>
  </conditionalFormatting>
  <conditionalFormatting sqref="N412">
    <cfRule type="cellIs" dxfId="143" priority="143" operator="lessThan">
      <formula>0</formula>
    </cfRule>
    <cfRule type="cellIs" dxfId="142" priority="144" operator="greaterThan">
      <formula>0</formula>
    </cfRule>
  </conditionalFormatting>
  <conditionalFormatting sqref="F412">
    <cfRule type="cellIs" dxfId="141" priority="141" operator="lessThan">
      <formula>0</formula>
    </cfRule>
    <cfRule type="cellIs" dxfId="140" priority="142" operator="greaterThan">
      <formula>0</formula>
    </cfRule>
  </conditionalFormatting>
  <conditionalFormatting sqref="N411">
    <cfRule type="cellIs" dxfId="139" priority="139" operator="lessThan">
      <formula>0</formula>
    </cfRule>
    <cfRule type="cellIs" dxfId="138" priority="140" operator="greaterThan">
      <formula>0</formula>
    </cfRule>
  </conditionalFormatting>
  <conditionalFormatting sqref="F411">
    <cfRule type="cellIs" dxfId="137" priority="137" operator="lessThan">
      <formula>0</formula>
    </cfRule>
    <cfRule type="cellIs" dxfId="136" priority="138" operator="greaterThan">
      <formula>0</formula>
    </cfRule>
  </conditionalFormatting>
  <conditionalFormatting sqref="N410">
    <cfRule type="cellIs" dxfId="135" priority="135" operator="lessThan">
      <formula>0</formula>
    </cfRule>
    <cfRule type="cellIs" dxfId="134" priority="136" operator="greaterThan">
      <formula>0</formula>
    </cfRule>
  </conditionalFormatting>
  <conditionalFormatting sqref="F410">
    <cfRule type="cellIs" dxfId="133" priority="133" operator="lessThan">
      <formula>0</formula>
    </cfRule>
    <cfRule type="cellIs" dxfId="132" priority="134" operator="greaterThan">
      <formula>0</formula>
    </cfRule>
  </conditionalFormatting>
  <conditionalFormatting sqref="N409">
    <cfRule type="cellIs" dxfId="131" priority="131" operator="lessThan">
      <formula>0</formula>
    </cfRule>
    <cfRule type="cellIs" dxfId="130" priority="132" operator="greaterThan">
      <formula>0</formula>
    </cfRule>
  </conditionalFormatting>
  <conditionalFormatting sqref="F409">
    <cfRule type="cellIs" dxfId="129" priority="129" operator="lessThan">
      <formula>0</formula>
    </cfRule>
    <cfRule type="cellIs" dxfId="128" priority="130" operator="greaterThan">
      <formula>0</formula>
    </cfRule>
  </conditionalFormatting>
  <conditionalFormatting sqref="N408">
    <cfRule type="cellIs" dxfId="127" priority="127" operator="lessThan">
      <formula>0</formula>
    </cfRule>
    <cfRule type="cellIs" dxfId="126" priority="128" operator="greaterThan">
      <formula>0</formula>
    </cfRule>
  </conditionalFormatting>
  <conditionalFormatting sqref="F408">
    <cfRule type="cellIs" dxfId="125" priority="125" operator="lessThan">
      <formula>0</formula>
    </cfRule>
    <cfRule type="cellIs" dxfId="124" priority="126" operator="greaterThan">
      <formula>0</formula>
    </cfRule>
  </conditionalFormatting>
  <conditionalFormatting sqref="N406:N407">
    <cfRule type="cellIs" dxfId="123" priority="123" operator="lessThan">
      <formula>0</formula>
    </cfRule>
    <cfRule type="cellIs" dxfId="122" priority="124" operator="greaterThan">
      <formula>0</formula>
    </cfRule>
  </conditionalFormatting>
  <conditionalFormatting sqref="F406:F407">
    <cfRule type="cellIs" dxfId="121" priority="121" operator="lessThan">
      <formula>0</formula>
    </cfRule>
    <cfRule type="cellIs" dxfId="120" priority="122" operator="greaterThan">
      <formula>0</formula>
    </cfRule>
  </conditionalFormatting>
  <conditionalFormatting sqref="N405">
    <cfRule type="cellIs" dxfId="119" priority="119" operator="lessThan">
      <formula>0</formula>
    </cfRule>
    <cfRule type="cellIs" dxfId="118" priority="120" operator="greaterThan">
      <formula>0</formula>
    </cfRule>
  </conditionalFormatting>
  <conditionalFormatting sqref="F405">
    <cfRule type="cellIs" dxfId="117" priority="117" operator="lessThan">
      <formula>0</formula>
    </cfRule>
    <cfRule type="cellIs" dxfId="116" priority="118" operator="greaterThan">
      <formula>0</formula>
    </cfRule>
  </conditionalFormatting>
  <conditionalFormatting sqref="N404">
    <cfRule type="cellIs" dxfId="115" priority="115" operator="lessThan">
      <formula>0</formula>
    </cfRule>
    <cfRule type="cellIs" dxfId="114" priority="116" operator="greaterThan">
      <formula>0</formula>
    </cfRule>
  </conditionalFormatting>
  <conditionalFormatting sqref="F404">
    <cfRule type="cellIs" dxfId="113" priority="113" operator="lessThan">
      <formula>0</formula>
    </cfRule>
    <cfRule type="cellIs" dxfId="112" priority="114" operator="greaterThan">
      <formula>0</formula>
    </cfRule>
  </conditionalFormatting>
  <conditionalFormatting sqref="N403">
    <cfRule type="cellIs" dxfId="111" priority="111" operator="lessThan">
      <formula>0</formula>
    </cfRule>
    <cfRule type="cellIs" dxfId="110" priority="112" operator="greaterThan">
      <formula>0</formula>
    </cfRule>
  </conditionalFormatting>
  <conditionalFormatting sqref="F403">
    <cfRule type="cellIs" dxfId="109" priority="109" operator="lessThan">
      <formula>0</formula>
    </cfRule>
    <cfRule type="cellIs" dxfId="108" priority="110" operator="greaterThan">
      <formula>0</formula>
    </cfRule>
  </conditionalFormatting>
  <conditionalFormatting sqref="N402">
    <cfRule type="cellIs" dxfId="107" priority="107" operator="lessThan">
      <formula>0</formula>
    </cfRule>
    <cfRule type="cellIs" dxfId="106" priority="108" operator="greaterThan">
      <formula>0</formula>
    </cfRule>
  </conditionalFormatting>
  <conditionalFormatting sqref="F402">
    <cfRule type="cellIs" dxfId="105" priority="105" operator="lessThan">
      <formula>0</formula>
    </cfRule>
    <cfRule type="cellIs" dxfId="104" priority="106" operator="greaterThan">
      <formula>0</formula>
    </cfRule>
  </conditionalFormatting>
  <conditionalFormatting sqref="N401">
    <cfRule type="cellIs" dxfId="103" priority="103" operator="lessThan">
      <formula>0</formula>
    </cfRule>
    <cfRule type="cellIs" dxfId="102" priority="104" operator="greaterThan">
      <formula>0</formula>
    </cfRule>
  </conditionalFormatting>
  <conditionalFormatting sqref="F401">
    <cfRule type="cellIs" dxfId="101" priority="101" operator="lessThan">
      <formula>0</formula>
    </cfRule>
    <cfRule type="cellIs" dxfId="100" priority="102" operator="greaterThan">
      <formula>0</formula>
    </cfRule>
  </conditionalFormatting>
  <conditionalFormatting sqref="N400">
    <cfRule type="cellIs" dxfId="99" priority="99" operator="lessThan">
      <formula>0</formula>
    </cfRule>
    <cfRule type="cellIs" dxfId="98" priority="100" operator="greaterThan">
      <formula>0</formula>
    </cfRule>
  </conditionalFormatting>
  <conditionalFormatting sqref="F400">
    <cfRule type="cellIs" dxfId="97" priority="97" operator="lessThan">
      <formula>0</formula>
    </cfRule>
    <cfRule type="cellIs" dxfId="96" priority="98" operator="greaterThan">
      <formula>0</formula>
    </cfRule>
  </conditionalFormatting>
  <conditionalFormatting sqref="N399">
    <cfRule type="cellIs" dxfId="95" priority="95" operator="lessThan">
      <formula>0</formula>
    </cfRule>
    <cfRule type="cellIs" dxfId="94" priority="96" operator="greaterThan">
      <formula>0</formula>
    </cfRule>
  </conditionalFormatting>
  <conditionalFormatting sqref="F399">
    <cfRule type="cellIs" dxfId="93" priority="93" operator="lessThan">
      <formula>0</formula>
    </cfRule>
    <cfRule type="cellIs" dxfId="92" priority="94" operator="greaterThan">
      <formula>0</formula>
    </cfRule>
  </conditionalFormatting>
  <conditionalFormatting sqref="N397:N398">
    <cfRule type="cellIs" dxfId="91" priority="91" operator="lessThan">
      <formula>0</formula>
    </cfRule>
    <cfRule type="cellIs" dxfId="90" priority="92" operator="greaterThan">
      <formula>0</formula>
    </cfRule>
  </conditionalFormatting>
  <conditionalFormatting sqref="F397:F398">
    <cfRule type="cellIs" dxfId="89" priority="89" operator="lessThan">
      <formula>0</formula>
    </cfRule>
    <cfRule type="cellIs" dxfId="88" priority="90" operator="greaterThan">
      <formula>0</formula>
    </cfRule>
  </conditionalFormatting>
  <conditionalFormatting sqref="N396">
    <cfRule type="cellIs" dxfId="87" priority="87" operator="lessThan">
      <formula>0</formula>
    </cfRule>
    <cfRule type="cellIs" dxfId="86" priority="88" operator="greaterThan">
      <formula>0</formula>
    </cfRule>
  </conditionalFormatting>
  <conditionalFormatting sqref="F396">
    <cfRule type="cellIs" dxfId="85" priority="85" operator="lessThan">
      <formula>0</formula>
    </cfRule>
    <cfRule type="cellIs" dxfId="84" priority="86" operator="greaterThan">
      <formula>0</formula>
    </cfRule>
  </conditionalFormatting>
  <conditionalFormatting sqref="N395">
    <cfRule type="cellIs" dxfId="83" priority="83" operator="lessThan">
      <formula>0</formula>
    </cfRule>
    <cfRule type="cellIs" dxfId="82" priority="84" operator="greaterThan">
      <formula>0</formula>
    </cfRule>
  </conditionalFormatting>
  <conditionalFormatting sqref="F395">
    <cfRule type="cellIs" dxfId="81" priority="81" operator="lessThan">
      <formula>0</formula>
    </cfRule>
    <cfRule type="cellIs" dxfId="80" priority="82" operator="greaterThan">
      <formula>0</formula>
    </cfRule>
  </conditionalFormatting>
  <conditionalFormatting sqref="N394">
    <cfRule type="cellIs" dxfId="79" priority="79" operator="lessThan">
      <formula>0</formula>
    </cfRule>
    <cfRule type="cellIs" dxfId="78" priority="80" operator="greaterThan">
      <formula>0</formula>
    </cfRule>
  </conditionalFormatting>
  <conditionalFormatting sqref="F394">
    <cfRule type="cellIs" dxfId="77" priority="77" operator="lessThan">
      <formula>0</formula>
    </cfRule>
    <cfRule type="cellIs" dxfId="76" priority="78" operator="greaterThan">
      <formula>0</formula>
    </cfRule>
  </conditionalFormatting>
  <conditionalFormatting sqref="N393">
    <cfRule type="cellIs" dxfId="75" priority="75" operator="lessThan">
      <formula>0</formula>
    </cfRule>
    <cfRule type="cellIs" dxfId="74" priority="76" operator="greaterThan">
      <formula>0</formula>
    </cfRule>
  </conditionalFormatting>
  <conditionalFormatting sqref="F393">
    <cfRule type="cellIs" dxfId="73" priority="73" operator="lessThan">
      <formula>0</formula>
    </cfRule>
    <cfRule type="cellIs" dxfId="72" priority="74" operator="greaterThan">
      <formula>0</formula>
    </cfRule>
  </conditionalFormatting>
  <conditionalFormatting sqref="N392">
    <cfRule type="cellIs" dxfId="71" priority="71" operator="lessThan">
      <formula>0</formula>
    </cfRule>
    <cfRule type="cellIs" dxfId="70" priority="72" operator="greaterThan">
      <formula>0</formula>
    </cfRule>
  </conditionalFormatting>
  <conditionalFormatting sqref="F392">
    <cfRule type="cellIs" dxfId="69" priority="69" operator="lessThan">
      <formula>0</formula>
    </cfRule>
    <cfRule type="cellIs" dxfId="68" priority="70" operator="greaterThan">
      <formula>0</formula>
    </cfRule>
  </conditionalFormatting>
  <conditionalFormatting sqref="N391">
    <cfRule type="cellIs" dxfId="67" priority="67" operator="lessThan">
      <formula>0</formula>
    </cfRule>
    <cfRule type="cellIs" dxfId="66" priority="68" operator="greaterThan">
      <formula>0</formula>
    </cfRule>
  </conditionalFormatting>
  <conditionalFormatting sqref="F391">
    <cfRule type="cellIs" dxfId="65" priority="65" operator="lessThan">
      <formula>0</formula>
    </cfRule>
    <cfRule type="cellIs" dxfId="64" priority="66" operator="greaterThan">
      <formula>0</formula>
    </cfRule>
  </conditionalFormatting>
  <conditionalFormatting sqref="N390">
    <cfRule type="cellIs" dxfId="63" priority="63" operator="lessThan">
      <formula>0</formula>
    </cfRule>
    <cfRule type="cellIs" dxfId="62" priority="64" operator="greaterThan">
      <formula>0</formula>
    </cfRule>
  </conditionalFormatting>
  <conditionalFormatting sqref="F390">
    <cfRule type="cellIs" dxfId="61" priority="61" operator="lessThan">
      <formula>0</formula>
    </cfRule>
    <cfRule type="cellIs" dxfId="60" priority="62" operator="greaterThan">
      <formula>0</formula>
    </cfRule>
  </conditionalFormatting>
  <conditionalFormatting sqref="N388:N389">
    <cfRule type="cellIs" dxfId="59" priority="59" operator="lessThan">
      <formula>0</formula>
    </cfRule>
    <cfRule type="cellIs" dxfId="58" priority="60" operator="greaterThan">
      <formula>0</formula>
    </cfRule>
  </conditionalFormatting>
  <conditionalFormatting sqref="F388:F389">
    <cfRule type="cellIs" dxfId="57" priority="57" operator="lessThan">
      <formula>0</formula>
    </cfRule>
    <cfRule type="cellIs" dxfId="56" priority="58" operator="greaterThan">
      <formula>0</formula>
    </cfRule>
  </conditionalFormatting>
  <conditionalFormatting sqref="N387">
    <cfRule type="cellIs" dxfId="55" priority="55" operator="lessThan">
      <formula>0</formula>
    </cfRule>
    <cfRule type="cellIs" dxfId="54" priority="56" operator="greaterThan">
      <formula>0</formula>
    </cfRule>
  </conditionalFormatting>
  <conditionalFormatting sqref="F387">
    <cfRule type="cellIs" dxfId="53" priority="53" operator="lessThan">
      <formula>0</formula>
    </cfRule>
    <cfRule type="cellIs" dxfId="52" priority="54" operator="greaterThan">
      <formula>0</formula>
    </cfRule>
  </conditionalFormatting>
  <conditionalFormatting sqref="N386">
    <cfRule type="cellIs" dxfId="51" priority="51" operator="lessThan">
      <formula>0</formula>
    </cfRule>
    <cfRule type="cellIs" dxfId="50" priority="52" operator="greaterThan">
      <formula>0</formula>
    </cfRule>
  </conditionalFormatting>
  <conditionalFormatting sqref="F386">
    <cfRule type="cellIs" dxfId="49" priority="49" operator="lessThan">
      <formula>0</formula>
    </cfRule>
    <cfRule type="cellIs" dxfId="48" priority="50" operator="greaterThan">
      <formula>0</formula>
    </cfRule>
  </conditionalFormatting>
  <conditionalFormatting sqref="N385">
    <cfRule type="cellIs" dxfId="47" priority="47" operator="lessThan">
      <formula>0</formula>
    </cfRule>
    <cfRule type="cellIs" dxfId="46" priority="48" operator="greaterThan">
      <formula>0</formula>
    </cfRule>
  </conditionalFormatting>
  <conditionalFormatting sqref="F385">
    <cfRule type="cellIs" dxfId="45" priority="45" operator="lessThan">
      <formula>0</formula>
    </cfRule>
    <cfRule type="cellIs" dxfId="44" priority="46" operator="greaterThan">
      <formula>0</formula>
    </cfRule>
  </conditionalFormatting>
  <conditionalFormatting sqref="N384">
    <cfRule type="cellIs" dxfId="43" priority="43" operator="lessThan">
      <formula>0</formula>
    </cfRule>
    <cfRule type="cellIs" dxfId="42" priority="44" operator="greaterThan">
      <formula>0</formula>
    </cfRule>
  </conditionalFormatting>
  <conditionalFormatting sqref="F384">
    <cfRule type="cellIs" dxfId="41" priority="41" operator="lessThan">
      <formula>0</formula>
    </cfRule>
    <cfRule type="cellIs" dxfId="40" priority="42" operator="greaterThan">
      <formula>0</formula>
    </cfRule>
  </conditionalFormatting>
  <conditionalFormatting sqref="N383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F383">
    <cfRule type="cellIs" dxfId="37" priority="37" operator="lessThan">
      <formula>0</formula>
    </cfRule>
    <cfRule type="cellIs" dxfId="36" priority="38" operator="greaterThan">
      <formula>0</formula>
    </cfRule>
  </conditionalFormatting>
  <conditionalFormatting sqref="N382">
    <cfRule type="cellIs" dxfId="35" priority="35" operator="lessThan">
      <formula>0</formula>
    </cfRule>
    <cfRule type="cellIs" dxfId="34" priority="36" operator="greaterThan">
      <formula>0</formula>
    </cfRule>
  </conditionalFormatting>
  <conditionalFormatting sqref="F382">
    <cfRule type="cellIs" dxfId="33" priority="33" operator="lessThan">
      <formula>0</formula>
    </cfRule>
    <cfRule type="cellIs" dxfId="32" priority="34" operator="greaterThan">
      <formula>0</formula>
    </cfRule>
  </conditionalFormatting>
  <conditionalFormatting sqref="N381">
    <cfRule type="cellIs" dxfId="31" priority="31" operator="lessThan">
      <formula>0</formula>
    </cfRule>
    <cfRule type="cellIs" dxfId="30" priority="32" operator="greaterThan">
      <formula>0</formula>
    </cfRule>
  </conditionalFormatting>
  <conditionalFormatting sqref="F381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sqref="N379:N380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379:F380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N378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378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N377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377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N376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376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N375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75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37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37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37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37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2017-05-13T10:26:12Z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K:\XX02\Monitoring PMT\Raporty kierownicy pionow</vt:lpwstr>
  </property>
</Properties>
</file>