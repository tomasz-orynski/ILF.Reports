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workbookTemplate" defaultThemeVersion="124226"/>
  <bookViews>
    <workbookView xWindow="24885" yWindow="-15" windowWidth="15600" windowHeight="7605"/>
  </bookViews>
  <sheets>
    <sheet name="Report" sheetId="1" r:id="rId1"/>
  </sheets>
  <calcPr calcId="145621"/>
</workbook>
</file>

<file path=xl/calcChain.xml><?xml version="1.0" encoding="utf-8"?>
<calcChain xmlns="http://schemas.openxmlformats.org/spreadsheetml/2006/main">
  <c r="L28" i="1" l="1"/>
  <c r="E28" i="1"/>
  <c r="D28" i="1"/>
  <c r="G26" i="1"/>
  <c r="F26" i="1"/>
  <c r="G27" i="1"/>
  <c r="F27" i="1"/>
  <c r="L19" i="1"/>
  <c r="E19" i="1"/>
  <c r="D19" i="1"/>
  <c r="G17" i="1"/>
  <c r="F17" i="1"/>
  <c r="G18" i="1"/>
  <c r="F18" i="1"/>
  <c r="F28" i="1" l="1"/>
  <c r="F19" i="1"/>
</calcChain>
</file>

<file path=xl/sharedStrings.xml><?xml version="1.0" encoding="utf-8"?>
<sst xmlns="http://schemas.openxmlformats.org/spreadsheetml/2006/main" count="85" uniqueCount="57">
  <si>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</si>
  <si>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</si>
  <si>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</si>
  <si>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</si>
  <si>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</si>
  <si>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</si>
  <si>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</si>
  <si>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</si>
  <si>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</si>
  <si>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</si>
  <si>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</si>
  <si>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</si>
  <si>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</si>
  <si>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</si>
  <si>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</si>
  <si>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</si>
  <si>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</si>
  <si>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</si>
  <si>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</si>
  <si>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</si>
  <si>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</si>
  <si>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</si>
  <si>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</si>
  <si>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</si>
  <si>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</si>
  <si>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</si>
  <si>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</si>
  <si>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</si>
  <si>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</si>
  <si>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</si>
  <si>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</si>
  <si>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</si>
  <si>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</si>
  <si>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</si>
  <si>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</si>
  <si>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</si>
  <si>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</si>
  <si>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</si>
  <si>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</si>
  <si>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</si>
  <si>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</si>
  <si>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</si>
  <si>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</si>
  <si>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</si>
  <si>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</si>
  <si>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</si>
  <si>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</si>
  <si>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</si>
  <si>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Project Management</t>
  </si>
  <si>
    <t xml:space="preserve">Project Organization </t>
  </si>
  <si>
    <t>Project Managers</t>
  </si>
  <si>
    <t>Piotr Klek</t>
  </si>
  <si>
    <t>Piotr Klek - Project Managers</t>
  </si>
  <si>
    <t>E872</t>
  </si>
  <si>
    <t>Peryt, Paulina</t>
  </si>
  <si>
    <t>Wrobel, Monika</t>
  </si>
  <si>
    <t>E872 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</si>
</sst>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6">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81">
    <xf numFmtId="0" fontId="0" fillId="0" borderId="0" xfId="0"/>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2" fontId="3" fillId="0" borderId="2" xfId="0" applyNumberFormat="1" applyFont="1" applyBorder="1" applyAlignment="1" applyProtection="1">
      <alignment horizontal="center" vertical="center" wrapText="1"/>
    </xf>
    <xf numFmtId="2" fontId="3" fillId="0" borderId="3" xfId="0" applyNumberFormat="1" applyFont="1" applyBorder="1" applyAlignment="1" applyProtection="1">
      <alignment horizontal="center" vertical="center" wrapText="1"/>
    </xf>
    <xf numFmtId="0" fontId="0" fillId="0" borderId="3" xfId="0" applyBorder="1" applyProtection="1"/>
    <xf numFmtId="0" fontId="0" fillId="0" borderId="0" xfId="0" applyBorder="1" applyProtection="1"/>
    <xf numFmtId="0" fontId="0" fillId="0" borderId="5" xfId="0" applyBorder="1" applyProtection="1"/>
    <xf numFmtId="0" fontId="20" fillId="0" borderId="2" xfId="0" applyFont="1" applyBorder="1" applyAlignment="1" applyProtection="1">
      <alignment horizontal="center" vertical="center"/>
    </xf>
    <xf numFmtId="0" fontId="20" fillId="0" borderId="4" xfId="0" applyFont="1" applyBorder="1" applyAlignment="1" applyProtection="1">
      <alignment horizontal="center" vertical="center"/>
    </xf>
    <xf numFmtId="0" fontId="20" fillId="0" borderId="0" xfId="0" applyFont="1" applyBorder="1" applyAlignment="1" applyProtection="1">
      <alignment horizontal="center" vertical="center"/>
    </xf>
    <xf numFmtId="0" fontId="0" fillId="0" borderId="0" xfId="0" applyProtection="1"/>
    <xf numFmtId="14" fontId="4" fillId="0" borderId="6" xfId="0" applyNumberFormat="1" applyFont="1" applyBorder="1" applyAlignment="1" applyProtection="1">
      <alignment horizontal="center" vertical="center"/>
    </xf>
    <xf numFmtId="0" fontId="0" fillId="0" borderId="7" xfId="0" applyBorder="1" applyAlignment="1" applyProtection="1">
      <alignment horizontal="center" vertical="center"/>
    </xf>
    <xf numFmtId="167" fontId="4" fillId="0" borderId="7" xfId="0" applyNumberFormat="1" applyFont="1" applyBorder="1" applyAlignment="1" applyProtection="1">
      <alignment horizontal="center" vertical="center"/>
    </xf>
    <xf numFmtId="14" fontId="4" fillId="0" borderId="7" xfId="0" applyNumberFormat="1" applyFont="1" applyBorder="1" applyAlignment="1" applyProtection="1">
      <alignment horizontal="center" vertical="center"/>
    </xf>
    <xf numFmtId="167" fontId="4" fillId="0" borderId="8" xfId="0" applyNumberFormat="1" applyFont="1" applyBorder="1" applyAlignment="1" applyProtection="1">
      <alignment horizontal="center" vertical="center"/>
    </xf>
    <xf numFmtId="2" fontId="3" fillId="0" borderId="0" xfId="0" applyNumberFormat="1" applyFont="1" applyBorder="1" applyAlignment="1" applyProtection="1">
      <alignment horizontal="center" vertical="center" wrapText="1"/>
    </xf>
    <xf numFmtId="0" fontId="4" fillId="0" borderId="2" xfId="0" applyFont="1" applyBorder="1" applyAlignment="1" applyProtection="1">
      <alignment horizontal="center" vertical="center"/>
    </xf>
    <xf numFmtId="0" fontId="7" fillId="0" borderId="4" xfId="0" applyFont="1" applyBorder="1" applyAlignment="1" applyProtection="1">
      <alignment horizontal="center" vertical="center"/>
    </xf>
    <xf numFmtId="0" fontId="7" fillId="0" borderId="0" xfId="0" applyFont="1" applyBorder="1" applyAlignment="1" applyProtection="1">
      <alignment horizontal="center" vertical="center"/>
    </xf>
    <xf numFmtId="0" fontId="4" fillId="0" borderId="5" xfId="0" applyFont="1" applyBorder="1" applyAlignment="1" applyProtection="1">
      <alignment horizontal="center" vertical="center"/>
    </xf>
    <xf numFmtId="0" fontId="7" fillId="0" borderId="9" xfId="0" applyFont="1" applyBorder="1" applyAlignment="1" applyProtection="1">
      <alignment horizontal="center" vertical="center"/>
    </xf>
    <xf numFmtId="0" fontId="0" fillId="0" borderId="0" xfId="0" applyBorder="1" applyAlignment="1" applyProtection="1"/>
    <xf numFmtId="0" fontId="5" fillId="0" borderId="9" xfId="0" applyFont="1" applyBorder="1" applyAlignment="1" applyProtection="1">
      <alignment horizontal="center" vertical="center"/>
    </xf>
    <xf numFmtId="0" fontId="5" fillId="0" borderId="0" xfId="0" applyFont="1" applyBorder="1" applyAlignment="1" applyProtection="1">
      <alignment horizontal="center" vertical="center"/>
    </xf>
    <xf numFmtId="0" fontId="4" fillId="0" borderId="6" xfId="0" applyFont="1" applyBorder="1" applyAlignment="1" applyProtection="1">
      <alignment horizontal="center" vertical="center"/>
    </xf>
    <xf numFmtId="0" fontId="7" fillId="0" borderId="8" xfId="0" applyFont="1" applyBorder="1" applyAlignment="1" applyProtection="1">
      <alignment horizontal="center" vertical="center"/>
    </xf>
    <xf numFmtId="0" fontId="10" fillId="0" borderId="3" xfId="0" applyFont="1" applyBorder="1" applyAlignment="1" applyProtection="1">
      <alignment horizontal="left" vertical="distributed" wrapText="1"/>
    </xf>
    <xf numFmtId="0" fontId="0" fillId="0" borderId="3" xfId="0" applyBorder="1" applyAlignment="1" applyProtection="1">
      <alignment horizontal="left" vertical="distributed" wrapText="1"/>
    </xf>
    <xf numFmtId="0" fontId="4" fillId="0" borderId="10" xfId="0" applyFont="1" applyBorder="1" applyAlignment="1" applyProtection="1">
      <alignment horizontal="center" vertical="center"/>
    </xf>
    <xf numFmtId="0" fontId="18" fillId="0" borderId="11" xfId="16" applyBorder="1" applyAlignment="1" applyProtection="1">
      <alignment horizontal="center" vertical="center"/>
    </xf>
    <xf numFmtId="0" fontId="18" fillId="0" borderId="0" xfId="16" applyBorder="1" applyAlignment="1" applyProtection="1">
      <alignment horizontal="center" vertical="center"/>
    </xf>
    <xf numFmtId="0" fontId="0" fillId="0" borderId="0" xfId="0" applyAlignment="1" applyProtection="1">
      <alignment horizontal="left" vertical="distributed" wrapText="1"/>
    </xf>
    <xf numFmtId="0" fontId="4" fillId="0" borderId="0" xfId="0" applyFont="1" applyBorder="1" applyAlignment="1" applyProtection="1">
      <alignment horizontal="center" vertical="center"/>
    </xf>
    <xf numFmtId="0" fontId="6" fillId="0" borderId="0" xfId="0" applyFont="1" applyBorder="1" applyAlignment="1" applyProtection="1">
      <alignment horizontal="left"/>
    </xf>
    <xf numFmtId="0" fontId="6" fillId="0" borderId="0" xfId="0" applyFont="1" applyBorder="1" applyProtection="1"/>
    <xf numFmtId="0" fontId="7" fillId="0" borderId="0" xfId="0" applyFont="1" applyBorder="1" applyProtection="1"/>
    <xf numFmtId="165" fontId="0" fillId="0" borderId="0" xfId="0" applyNumberFormat="1" applyBorder="1" applyProtection="1"/>
    <xf numFmtId="10" fontId="0" fillId="0" borderId="0" xfId="0" applyNumberFormat="1" applyBorder="1" applyProtection="1"/>
    <xf numFmtId="3" fontId="0" fillId="0" borderId="0" xfId="0" applyNumberFormat="1" applyBorder="1" applyProtection="1"/>
    <xf numFmtId="0" fontId="0" fillId="0" borderId="19" xfId="0" applyBorder="1" applyAlignment="1" applyProtection="1">
      <alignment horizontal="center" vertical="center"/>
    </xf>
    <xf numFmtId="0" fontId="0" fillId="0" borderId="20" xfId="0" applyBorder="1" applyAlignment="1" applyProtection="1">
      <alignment horizontal="center" vertical="center"/>
    </xf>
    <xf numFmtId="0" fontId="0" fillId="0" borderId="0" xfId="0" applyBorder="1" applyAlignment="1" applyProtection="1">
      <alignment horizontal="center" vertical="center"/>
    </xf>
    <xf numFmtId="3" fontId="8" fillId="0" borderId="17" xfId="0" applyNumberFormat="1" applyFont="1" applyBorder="1" applyAlignment="1" applyProtection="1">
      <alignment horizontal="center" vertical="center"/>
    </xf>
    <xf numFmtId="3" fontId="8" fillId="0" borderId="18" xfId="0" applyNumberFormat="1" applyFont="1" applyBorder="1" applyAlignment="1" applyProtection="1">
      <alignment horizontal="center" vertical="center"/>
    </xf>
    <xf numFmtId="3" fontId="8" fillId="0" borderId="12" xfId="0" applyNumberFormat="1" applyFont="1" applyBorder="1" applyAlignment="1" applyProtection="1">
      <alignment horizontal="center" vertical="center"/>
    </xf>
    <xf numFmtId="166" fontId="8" fillId="0" borderId="18" xfId="0" applyNumberFormat="1" applyFont="1" applyBorder="1" applyAlignment="1" applyProtection="1">
      <alignment horizontal="center" vertical="center"/>
    </xf>
    <xf numFmtId="0" fontId="0" fillId="0" borderId="0" xfId="0" applyFill="1" applyBorder="1" applyProtection="1"/>
    <xf numFmtId="0" fontId="0" fillId="0" borderId="9" xfId="0" applyFill="1" applyBorder="1" applyProtection="1"/>
    <xf numFmtId="10" fontId="9" fillId="0" borderId="0" xfId="0" applyNumberFormat="1" applyFont="1" applyBorder="1" applyProtection="1"/>
    <xf numFmtId="10" fontId="0" fillId="0" borderId="0" xfId="1" applyNumberFormat="1" applyFont="1" applyBorder="1" applyAlignment="1" applyProtection="1">
      <alignment horizontal="right" vertical="center"/>
    </xf>
    <xf numFmtId="0" fontId="5" fillId="0" borderId="0" xfId="0" applyFont="1" applyBorder="1" applyAlignment="1" applyProtection="1">
      <alignment horizontal="left"/>
    </xf>
    <xf numFmtId="3" fontId="23" fillId="0" borderId="21" xfId="0" applyNumberFormat="1" applyFont="1" applyBorder="1" applyAlignment="1" applyProtection="1">
      <alignment horizontal="center" vertical="center"/>
    </xf>
    <xf numFmtId="3" fontId="8" fillId="0" borderId="22" xfId="0" applyNumberFormat="1" applyFont="1" applyBorder="1" applyAlignment="1" applyProtection="1">
      <alignment horizontal="center" vertical="center"/>
    </xf>
    <xf numFmtId="3" fontId="8" fillId="0" borderId="21" xfId="0" applyNumberFormat="1" applyFont="1" applyBorder="1" applyAlignment="1" applyProtection="1">
      <alignment horizontal="center" vertical="center"/>
    </xf>
    <xf numFmtId="3" fontId="8" fillId="0" borderId="23" xfId="0" applyNumberFormat="1" applyFont="1" applyBorder="1" applyAlignment="1" applyProtection="1">
      <alignment horizontal="center" vertical="center"/>
    </xf>
    <xf numFmtId="166" fontId="8" fillId="0" borderId="22" xfId="0" applyNumberFormat="1" applyFont="1" applyBorder="1" applyAlignment="1" applyProtection="1">
      <alignment horizontal="center" vertical="center"/>
    </xf>
    <xf numFmtId="0" fontId="0" fillId="0" borderId="13" xfId="0" applyFill="1" applyBorder="1" applyProtection="1"/>
    <xf numFmtId="0" fontId="0" fillId="0" borderId="11" xfId="0" applyFill="1" applyBorder="1" applyProtection="1"/>
    <xf numFmtId="0" fontId="21" fillId="0" borderId="4" xfId="0" applyFont="1" applyBorder="1" applyAlignment="1" applyProtection="1">
      <alignment horizontal="left" vertical="top"/>
      <protection locked="0"/>
    </xf>
    <xf numFmtId="0" fontId="21" fillId="0" borderId="9" xfId="0" applyFont="1" applyBorder="1" applyAlignment="1" applyProtection="1">
      <alignment horizontal="left" vertical="top"/>
      <protection locked="0"/>
    </xf>
    <xf numFmtId="0" fontId="21" fillId="0" borderId="11" xfId="0" applyFont="1" applyBorder="1" applyAlignment="1" applyProtection="1">
      <alignment horizontal="left" vertical="top"/>
      <protection locked="0"/>
    </xf>
  </cellXfs>
  <cellStyles count="19">
    <cellStyle name="Dane wejściowe 2" xfId="2"/>
    <cellStyle name="Hyperlink" xfId="16" builtinId="8"/>
    <cellStyle name="Neutralne 2" xfId="3"/>
    <cellStyle name="Normal" xfId="0" builtinId="0"/>
    <cellStyle name="Normal 2" xfId="4"/>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ercent" xfId="1" builtinId="5"/>
    <cellStyle name="Procentowy 2" xfId="14"/>
    <cellStyle name="Walutowy 2" xfId="15"/>
  </cellStyles>
  <dxfs count="20">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323"/>
  <sheetViews>
    <sheetView showGridLines="0" tabSelected="1" zoomScale="70" zoomScaleNormal="70" workbookViewId="0"/>
  </sheetViews>
  <sheetFormatPr defaultColWidth="9.140625" defaultRowHeight="12.75" zeroHeight="1" outlineLevelRow="2" x14ac:dyDescent="0.2"/>
  <cols>
    <col min="1" max="1" width="5.7109375" style="29" customWidth="1"/>
    <col min="2" max="2" width="17.28515625" style="29" customWidth="1"/>
    <col min="3" max="3" width="36" style="29" customWidth="1"/>
    <col min="4" max="15" width="16.7109375" style="29" customWidth="1"/>
    <col min="16" max="16" width="5.7109375" style="29" customWidth="1"/>
    <col min="17" max="37" width="16.85546875" style="29" hidden="1" customWidth="1"/>
    <col min="38" max="38" width="18.85546875" style="29" hidden="1" customWidth="1"/>
    <col min="39" max="40" width="20.28515625" style="29" hidden="1" customWidth="1"/>
    <col min="41" max="42" width="26.42578125" style="29" hidden="1" customWidth="1"/>
    <col min="43" max="187" width="10.5703125" style="29" hidden="1" customWidth="1"/>
    <col min="188" max="189" width="15.42578125" style="29" hidden="1" customWidth="1"/>
    <col min="190" max="16383" width="9.140625" style="29"/>
    <col min="16384" max="16384" width="0.42578125" style="29" customWidth="1"/>
  </cols>
  <sheetData>
    <row r="1" spans="1:16" s="24" customFormat="1" ht="16.5" thickBot="1" x14ac:dyDescent="0.25">
      <c r="A1" s="21"/>
      <c r="B1" s="22"/>
      <c r="C1" s="22"/>
      <c r="D1" s="22"/>
      <c r="E1" s="22"/>
      <c r="F1" s="22"/>
      <c r="G1" s="22"/>
      <c r="H1" s="22"/>
      <c r="I1" s="22"/>
      <c r="J1" s="22"/>
      <c r="K1" s="22"/>
      <c r="L1" s="22"/>
      <c r="M1" s="22"/>
      <c r="N1" s="22"/>
      <c r="O1" s="23"/>
    </row>
    <row r="2" spans="1:16" s="24" customFormat="1" ht="33.75" customHeight="1" thickBot="1" x14ac:dyDescent="0.25">
      <c r="A2" s="25"/>
      <c r="B2" s="26" t="s">
        <v>5</v>
      </c>
      <c r="C2" s="27"/>
      <c r="D2" s="28"/>
      <c r="E2" s="29"/>
      <c r="F2" s="30" t="s">
        <v>12</v>
      </c>
      <c r="G2" s="31"/>
      <c r="H2" s="32">
        <v>42856</v>
      </c>
      <c r="I2" s="33" t="s">
        <v>11</v>
      </c>
      <c r="J2" s="34">
        <v>42870</v>
      </c>
      <c r="K2" s="35"/>
      <c r="L2" s="35"/>
      <c r="M2" s="35"/>
      <c r="N2" s="35"/>
    </row>
    <row r="3" spans="1:16" s="24" customFormat="1" ht="33.75" customHeight="1" x14ac:dyDescent="0.2">
      <c r="A3" s="25"/>
      <c r="B3" s="36" t="s">
        <v>6</v>
      </c>
      <c r="C3" s="37" t="s">
        <v>7</v>
      </c>
      <c r="D3" s="38"/>
      <c r="E3" s="35"/>
      <c r="F3" s="29"/>
      <c r="G3" s="29"/>
      <c r="H3" s="29"/>
      <c r="I3" s="29"/>
      <c r="J3" s="29"/>
      <c r="K3" s="35"/>
      <c r="L3" s="35"/>
      <c r="M3" s="35"/>
      <c r="N3" s="35"/>
    </row>
    <row r="4" spans="1:16" s="24" customFormat="1" ht="33.75" customHeight="1" thickBot="1" x14ac:dyDescent="0.25">
      <c r="A4" s="25"/>
      <c r="B4" s="39" t="s">
        <v>8</v>
      </c>
      <c r="C4" s="40" t="s">
        <v>48</v>
      </c>
      <c r="D4" s="38"/>
      <c r="E4" s="35"/>
      <c r="F4" s="41" t="s">
        <v>4</v>
      </c>
      <c r="G4" s="41"/>
      <c r="N4" s="35"/>
    </row>
    <row r="5" spans="1:16" s="24" customFormat="1" ht="33.75" customHeight="1" thickBot="1" x14ac:dyDescent="0.25">
      <c r="A5" s="25"/>
      <c r="B5" s="39" t="s">
        <v>0</v>
      </c>
      <c r="C5" s="42" t="s">
        <v>49</v>
      </c>
      <c r="D5" s="43"/>
      <c r="E5" s="35"/>
      <c r="F5" s="15"/>
      <c r="G5" s="16"/>
      <c r="H5" s="16"/>
      <c r="I5" s="16"/>
      <c r="J5" s="16"/>
      <c r="K5" s="16"/>
      <c r="L5" s="16"/>
      <c r="M5" s="16"/>
      <c r="N5" s="16"/>
      <c r="O5" s="78"/>
    </row>
    <row r="6" spans="1:16" s="24" customFormat="1" ht="33.75" customHeight="1" thickBot="1" x14ac:dyDescent="0.25">
      <c r="A6" s="25"/>
      <c r="B6" s="44" t="s">
        <v>9</v>
      </c>
      <c r="C6" s="45" t="s">
        <v>50</v>
      </c>
      <c r="D6" s="38"/>
      <c r="E6" s="35"/>
      <c r="F6" s="17"/>
      <c r="G6" s="18"/>
      <c r="H6" s="18"/>
      <c r="I6" s="18"/>
      <c r="J6" s="18"/>
      <c r="K6" s="18"/>
      <c r="L6" s="18"/>
      <c r="M6" s="18"/>
      <c r="N6" s="18"/>
      <c r="O6" s="79"/>
    </row>
    <row r="7" spans="1:16" s="24" customFormat="1" ht="33.75" customHeight="1" thickBot="1" x14ac:dyDescent="0.25">
      <c r="A7" s="25"/>
      <c r="B7" s="39" t="s">
        <v>10</v>
      </c>
      <c r="C7" s="40" t="s">
        <v>51</v>
      </c>
      <c r="D7" s="38"/>
      <c r="E7" s="35"/>
      <c r="F7" s="19"/>
      <c r="G7" s="20"/>
      <c r="H7" s="20"/>
      <c r="I7" s="20"/>
      <c r="J7" s="20"/>
      <c r="K7" s="20"/>
      <c r="L7" s="20"/>
      <c r="M7" s="20"/>
      <c r="N7" s="20"/>
      <c r="O7" s="80"/>
    </row>
    <row r="8" spans="1:16" s="24" customFormat="1" ht="33.75" customHeight="1" x14ac:dyDescent="0.2">
      <c r="A8" s="25"/>
      <c r="B8" s="39" t="s">
        <v>1</v>
      </c>
      <c r="C8" s="42" t="s">
        <v>52</v>
      </c>
      <c r="D8" s="43"/>
      <c r="E8" s="35"/>
      <c r="F8" s="46" t="s">
        <v>37</v>
      </c>
      <c r="G8" s="47"/>
      <c r="H8" s="47"/>
      <c r="I8" s="47"/>
      <c r="J8" s="47"/>
      <c r="K8" s="47"/>
      <c r="L8" s="47"/>
      <c r="M8" s="47"/>
      <c r="N8" s="35"/>
    </row>
    <row r="9" spans="1:16" s="24" customFormat="1" ht="33.75" customHeight="1" thickBot="1" x14ac:dyDescent="0.25">
      <c r="A9" s="25"/>
      <c r="B9" s="48"/>
      <c r="C9" s="49"/>
      <c r="D9" s="50"/>
      <c r="E9" s="35"/>
      <c r="F9" s="51"/>
      <c r="G9" s="51"/>
      <c r="H9" s="51"/>
      <c r="I9" s="51"/>
      <c r="J9" s="51"/>
      <c r="K9" s="51"/>
      <c r="L9" s="51"/>
      <c r="M9" s="51"/>
      <c r="N9" s="35"/>
    </row>
    <row r="10" spans="1:16" s="24" customFormat="1" ht="15.75" x14ac:dyDescent="0.2">
      <c r="A10" s="25"/>
      <c r="B10" s="52"/>
      <c r="C10" s="43"/>
      <c r="D10" s="43"/>
      <c r="E10" s="35"/>
      <c r="F10" s="35"/>
      <c r="G10" s="35"/>
      <c r="H10" s="35"/>
      <c r="I10" s="35"/>
      <c r="J10" s="35"/>
      <c r="K10" s="35"/>
      <c r="L10" s="35"/>
      <c r="M10" s="35"/>
      <c r="N10" s="35"/>
    </row>
    <row r="11" spans="1:16" s="24" customFormat="1" x14ac:dyDescent="0.2">
      <c r="A11" s="25"/>
    </row>
    <row r="12" spans="1:16" s="24" customFormat="1" x14ac:dyDescent="0.2">
      <c r="A12" s="25"/>
      <c r="B12" s="53" t="s">
        <v>13</v>
      </c>
      <c r="C12" s="54"/>
      <c r="D12" s="54"/>
      <c r="E12" s="54"/>
      <c r="F12" s="55"/>
      <c r="G12" s="55"/>
      <c r="H12" s="56"/>
      <c r="K12" s="57"/>
      <c r="M12" s="58"/>
    </row>
    <row r="13" spans="1:16" s="24" customFormat="1" ht="13.5" thickBot="1" x14ac:dyDescent="0.25">
      <c r="A13" s="25"/>
    </row>
    <row r="14" spans="1:16" s="24" customFormat="1" x14ac:dyDescent="0.2">
      <c r="A14" s="25"/>
      <c r="B14" s="13"/>
      <c r="C14" s="14"/>
      <c r="D14" s="10" t="s">
        <v>38</v>
      </c>
      <c r="E14" s="11"/>
      <c r="F14" s="11"/>
      <c r="G14" s="12"/>
      <c r="H14" s="10" t="s">
        <v>39</v>
      </c>
      <c r="I14" s="11"/>
      <c r="J14" s="11"/>
      <c r="K14" s="11"/>
      <c r="L14" s="11"/>
      <c r="M14" s="11"/>
      <c r="N14" s="11"/>
      <c r="O14" s="12"/>
    </row>
    <row r="15" spans="1:16" s="24" customFormat="1" x14ac:dyDescent="0.2">
      <c r="A15" s="25"/>
      <c r="B15" s="59"/>
      <c r="C15" s="60"/>
      <c r="D15" s="1" t="s">
        <v>2</v>
      </c>
      <c r="E15" s="3" t="s">
        <v>3</v>
      </c>
      <c r="F15" s="3" t="s">
        <v>43</v>
      </c>
      <c r="G15" s="2" t="s">
        <v>40</v>
      </c>
      <c r="H15" s="1" t="s">
        <v>20</v>
      </c>
      <c r="I15" s="3" t="s">
        <v>33</v>
      </c>
      <c r="J15" s="4" t="s">
        <v>34</v>
      </c>
      <c r="K15" s="4" t="s">
        <v>35</v>
      </c>
      <c r="L15" s="3" t="s">
        <v>19</v>
      </c>
      <c r="M15" s="3" t="s">
        <v>36</v>
      </c>
      <c r="N15" s="3" t="s">
        <v>22</v>
      </c>
      <c r="O15" s="2" t="s">
        <v>23</v>
      </c>
      <c r="P15" s="61"/>
    </row>
    <row r="16" spans="1:16" s="24" customFormat="1" ht="76.5" x14ac:dyDescent="0.2">
      <c r="A16" s="25"/>
      <c r="B16" s="5" t="s">
        <v>14</v>
      </c>
      <c r="C16" s="6" t="s">
        <v>28</v>
      </c>
      <c r="D16" s="5" t="s">
        <v>44</v>
      </c>
      <c r="E16" s="7" t="s">
        <v>15</v>
      </c>
      <c r="F16" s="7" t="s">
        <v>41</v>
      </c>
      <c r="G16" s="6" t="s">
        <v>42</v>
      </c>
      <c r="H16" s="5" t="s">
        <v>25</v>
      </c>
      <c r="I16" s="7" t="s">
        <v>16</v>
      </c>
      <c r="J16" s="8" t="s">
        <v>18</v>
      </c>
      <c r="K16" s="8" t="s">
        <v>17</v>
      </c>
      <c r="L16" s="7" t="s">
        <v>26</v>
      </c>
      <c r="M16" s="7" t="s">
        <v>21</v>
      </c>
      <c r="N16" s="9" t="s">
        <v>27</v>
      </c>
      <c r="O16" s="6" t="s">
        <v>24</v>
      </c>
    </row>
    <row r="17" spans="1:19" s="24" customFormat="1" hidden="1" outlineLevel="2" x14ac:dyDescent="0.2">
      <c r="A17" s="25"/>
      <c r="B17" s="62" t="s">
        <v>53</v>
      </c>
      <c r="C17" s="63" t="s">
        <v>54</v>
      </c>
      <c r="D17" s="62">
        <v>25.2</v>
      </c>
      <c r="E17" s="64">
        <v>0</v>
      </c>
      <c r="F17" s="64">
        <f>MAX(D17-E17, 0)</f>
        <v>25.2</v>
      </c>
      <c r="G17" s="65">
        <f>IF(D17=0,0,ABS(E17/D17))</f>
        <v>0</v>
      </c>
      <c r="H17" s="66"/>
      <c r="I17" s="66"/>
      <c r="J17" s="66"/>
      <c r="K17" s="66"/>
      <c r="L17" s="64">
        <v>25.2</v>
      </c>
      <c r="M17" s="66"/>
      <c r="N17" s="66"/>
      <c r="O17" s="67"/>
      <c r="P17" s="68"/>
      <c r="Q17" s="69"/>
      <c r="R17" s="70"/>
      <c r="S17" s="70"/>
    </row>
    <row r="18" spans="1:19" s="24" customFormat="1" hidden="1" outlineLevel="2" x14ac:dyDescent="0.2">
      <c r="A18" s="25"/>
      <c r="B18" s="62" t="s">
        <v>53</v>
      </c>
      <c r="C18" s="63" t="s">
        <v>55</v>
      </c>
      <c r="D18" s="62">
        <v>33.6</v>
      </c>
      <c r="E18" s="64">
        <v>0</v>
      </c>
      <c r="F18" s="64">
        <f>MAX(D18-E18, 0)</f>
        <v>33.6</v>
      </c>
      <c r="G18" s="65">
        <f>IF(D18=0,0,ABS(E18/D18))</f>
        <v>0</v>
      </c>
      <c r="H18" s="66"/>
      <c r="I18" s="66"/>
      <c r="J18" s="66"/>
      <c r="K18" s="66"/>
      <c r="L18" s="64">
        <v>84</v>
      </c>
      <c r="M18" s="66"/>
      <c r="N18" s="66"/>
      <c r="O18" s="67"/>
      <c r="P18" s="68"/>
      <c r="Q18" s="69"/>
      <c r="R18" s="70"/>
      <c r="S18" s="70"/>
    </row>
    <row r="19" spans="1:19" s="24" customFormat="1" ht="13.5" outlineLevel="1" collapsed="1" thickBot="1" x14ac:dyDescent="0.25">
      <c r="A19" s="25"/>
      <c r="B19" s="71" t="s">
        <v>56</v>
      </c>
      <c r="C19" s="72"/>
      <c r="D19" s="73">
        <f>SUBTOTAL(9,D17:D18)</f>
        <v>58.8</v>
      </c>
      <c r="E19" s="74">
        <f>SUBTOTAL(9,E17:E18)</f>
        <v>0</v>
      </c>
      <c r="F19" s="74">
        <f>SUBTOTAL(9,F17:F18)</f>
        <v>58.8</v>
      </c>
      <c r="G19" s="75"/>
      <c r="H19" s="76"/>
      <c r="I19" s="76"/>
      <c r="J19" s="76"/>
      <c r="K19" s="76"/>
      <c r="L19" s="74">
        <f>SUBTOTAL(9,L17:L18)</f>
        <v>109.2</v>
      </c>
      <c r="M19" s="76"/>
      <c r="N19" s="76"/>
      <c r="O19" s="77"/>
      <c r="P19" s="68"/>
      <c r="Q19" s="69"/>
      <c r="R19" s="70"/>
      <c r="S19" s="70"/>
    </row>
    <row r="20" spans="1:19" s="24" customFormat="1" ht="28.5" customHeight="1" x14ac:dyDescent="0.2">
      <c r="A20" s="25"/>
      <c r="B20" s="61"/>
      <c r="C20" s="61"/>
      <c r="D20" s="61"/>
      <c r="E20" s="61"/>
      <c r="F20" s="61"/>
      <c r="G20" s="61"/>
      <c r="H20" s="61"/>
      <c r="I20" s="61"/>
      <c r="J20" s="61"/>
      <c r="K20" s="61"/>
      <c r="L20" s="61"/>
      <c r="M20" s="61"/>
      <c r="N20" s="61"/>
      <c r="O20" s="61"/>
    </row>
    <row r="21" spans="1:19" x14ac:dyDescent="0.2">
      <c r="B21" s="53" t="s">
        <v>29</v>
      </c>
      <c r="C21" s="54"/>
      <c r="D21" s="54"/>
      <c r="E21" s="54"/>
      <c r="F21" s="55"/>
      <c r="G21" s="55"/>
      <c r="H21" s="56"/>
      <c r="I21" s="24"/>
      <c r="J21" s="24"/>
      <c r="K21" s="57"/>
      <c r="L21" s="24"/>
      <c r="M21" s="58"/>
      <c r="N21" s="24"/>
      <c r="O21" s="24"/>
    </row>
    <row r="22" spans="1:19" ht="13.5" thickBot="1" x14ac:dyDescent="0.25">
      <c r="B22" s="24"/>
      <c r="C22" s="24"/>
      <c r="D22" s="24"/>
      <c r="E22" s="24"/>
      <c r="F22" s="24"/>
      <c r="G22" s="24"/>
      <c r="H22" s="24"/>
      <c r="I22" s="24"/>
      <c r="J22" s="24"/>
      <c r="K22" s="24"/>
      <c r="L22" s="24"/>
      <c r="M22" s="24"/>
      <c r="N22" s="24"/>
      <c r="O22" s="24"/>
    </row>
    <row r="23" spans="1:19" x14ac:dyDescent="0.2">
      <c r="B23" s="13"/>
      <c r="C23" s="14"/>
      <c r="D23" s="10" t="s">
        <v>38</v>
      </c>
      <c r="E23" s="11"/>
      <c r="F23" s="11"/>
      <c r="G23" s="12"/>
      <c r="H23" s="10" t="s">
        <v>39</v>
      </c>
      <c r="I23" s="11"/>
      <c r="J23" s="11"/>
      <c r="K23" s="11"/>
      <c r="L23" s="11"/>
      <c r="M23" s="11"/>
      <c r="N23" s="11"/>
      <c r="O23" s="12"/>
    </row>
    <row r="24" spans="1:19" x14ac:dyDescent="0.2">
      <c r="B24" s="59"/>
      <c r="C24" s="60"/>
      <c r="D24" s="1" t="s">
        <v>2</v>
      </c>
      <c r="E24" s="3" t="s">
        <v>3</v>
      </c>
      <c r="F24" s="3" t="s">
        <v>43</v>
      </c>
      <c r="G24" s="2" t="s">
        <v>40</v>
      </c>
      <c r="H24" s="1" t="s">
        <v>20</v>
      </c>
      <c r="I24" s="3" t="s">
        <v>33</v>
      </c>
      <c r="J24" s="4" t="s">
        <v>34</v>
      </c>
      <c r="K24" s="4" t="s">
        <v>35</v>
      </c>
      <c r="L24" s="3" t="s">
        <v>19</v>
      </c>
      <c r="M24" s="3" t="s">
        <v>36</v>
      </c>
      <c r="N24" s="3" t="s">
        <v>22</v>
      </c>
      <c r="O24" s="2" t="s">
        <v>23</v>
      </c>
    </row>
    <row r="25" spans="1:19" ht="76.5" x14ac:dyDescent="0.2">
      <c r="B25" s="5" t="s">
        <v>14</v>
      </c>
      <c r="C25" s="6" t="s">
        <v>28</v>
      </c>
      <c r="D25" s="5" t="s">
        <v>44</v>
      </c>
      <c r="E25" s="7" t="s">
        <v>15</v>
      </c>
      <c r="F25" s="7" t="s">
        <v>41</v>
      </c>
      <c r="G25" s="6" t="s">
        <v>42</v>
      </c>
      <c r="H25" s="5" t="s">
        <v>45</v>
      </c>
      <c r="I25" s="7" t="s">
        <v>30</v>
      </c>
      <c r="J25" s="8" t="s">
        <v>46</v>
      </c>
      <c r="K25" s="8" t="s">
        <v>17</v>
      </c>
      <c r="L25" s="7" t="s">
        <v>47</v>
      </c>
      <c r="M25" s="7" t="s">
        <v>31</v>
      </c>
      <c r="N25" s="7" t="s">
        <v>32</v>
      </c>
      <c r="O25" s="6" t="s">
        <v>24</v>
      </c>
    </row>
    <row r="26" spans="1:19" hidden="1" outlineLevel="2" x14ac:dyDescent="0.2">
      <c r="B26" s="62" t="s">
        <v>53</v>
      </c>
      <c r="C26" s="63" t="s">
        <v>54</v>
      </c>
      <c r="D26" s="62">
        <v>655.19999999999993</v>
      </c>
      <c r="E26" s="64">
        <v>0</v>
      </c>
      <c r="F26" s="64">
        <f>MAX(D26-E26, 0)</f>
        <v>655.19999999999993</v>
      </c>
      <c r="G26" s="65">
        <f>IF(D26=0,0,ABS(E26/D26))</f>
        <v>0</v>
      </c>
      <c r="H26" s="66"/>
      <c r="I26" s="66"/>
      <c r="J26" s="66"/>
      <c r="K26" s="66"/>
      <c r="L26" s="64">
        <v>655.19999999999993</v>
      </c>
      <c r="M26" s="66"/>
      <c r="N26" s="66"/>
      <c r="O26" s="67"/>
    </row>
    <row r="27" spans="1:19" hidden="1" outlineLevel="2" x14ac:dyDescent="0.2">
      <c r="B27" s="62" t="s">
        <v>53</v>
      </c>
      <c r="C27" s="63" t="s">
        <v>55</v>
      </c>
      <c r="D27" s="62">
        <v>873.6</v>
      </c>
      <c r="E27" s="64">
        <v>0</v>
      </c>
      <c r="F27" s="64">
        <f>MAX(D27-E27, 0)</f>
        <v>873.6</v>
      </c>
      <c r="G27" s="65">
        <f>IF(D27=0,0,ABS(E27/D27))</f>
        <v>0</v>
      </c>
      <c r="H27" s="66"/>
      <c r="I27" s="66"/>
      <c r="J27" s="66"/>
      <c r="K27" s="66"/>
      <c r="L27" s="64">
        <v>2184</v>
      </c>
      <c r="M27" s="66"/>
      <c r="N27" s="66"/>
      <c r="O27" s="67"/>
    </row>
    <row r="28" spans="1:19" ht="13.5" outlineLevel="1" collapsed="1" thickBot="1" x14ac:dyDescent="0.25">
      <c r="B28" s="71" t="s">
        <v>56</v>
      </c>
      <c r="C28" s="72"/>
      <c r="D28" s="73">
        <f>SUBTOTAL(9,D26:D27)</f>
        <v>1528.8</v>
      </c>
      <c r="E28" s="74">
        <f>SUBTOTAL(9,E26:E27)</f>
        <v>0</v>
      </c>
      <c r="F28" s="74">
        <f>SUBTOTAL(9,F26:F27)</f>
        <v>1528.8</v>
      </c>
      <c r="G28" s="75"/>
      <c r="H28" s="76"/>
      <c r="I28" s="76"/>
      <c r="J28" s="76"/>
      <c r="K28" s="76"/>
      <c r="L28" s="74">
        <f>SUBTOTAL(9,L26:L27)</f>
        <v>2839.2</v>
      </c>
      <c r="M28" s="76"/>
      <c r="N28" s="76"/>
      <c r="O28" s="77"/>
    </row>
    <row r="29" spans="1:19" x14ac:dyDescent="0.2"/>
    <row r="30" spans="1:19" x14ac:dyDescent="0.2"/>
    <row r="31" spans="1:19" x14ac:dyDescent="0.2"/>
    <row r="32" spans="1: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ht="15" customHeight="1"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row r="206" x14ac:dyDescent="0.2"/>
    <row r="207" x14ac:dyDescent="0.2"/>
    <row r="208" x14ac:dyDescent="0.2"/>
    <row r="209" x14ac:dyDescent="0.2"/>
    <row r="210" x14ac:dyDescent="0.2"/>
    <row r="211" x14ac:dyDescent="0.2"/>
    <row r="212" x14ac:dyDescent="0.2"/>
    <row r="213" x14ac:dyDescent="0.2"/>
    <row r="214" x14ac:dyDescent="0.2"/>
    <row r="215" x14ac:dyDescent="0.2"/>
    <row r="216" x14ac:dyDescent="0.2"/>
    <row r="217" x14ac:dyDescent="0.2"/>
    <row r="218" x14ac:dyDescent="0.2"/>
    <row r="219" x14ac:dyDescent="0.2"/>
    <row r="220" x14ac:dyDescent="0.2"/>
    <row r="221" x14ac:dyDescent="0.2"/>
    <row r="222" x14ac:dyDescent="0.2"/>
    <row r="223" x14ac:dyDescent="0.2"/>
    <row r="224" x14ac:dyDescent="0.2"/>
    <row r="225" x14ac:dyDescent="0.2"/>
    <row r="226" x14ac:dyDescent="0.2"/>
    <row r="227" x14ac:dyDescent="0.2"/>
    <row r="228" x14ac:dyDescent="0.2"/>
    <row r="229" x14ac:dyDescent="0.2"/>
    <row r="230" x14ac:dyDescent="0.2"/>
    <row r="231" x14ac:dyDescent="0.2"/>
    <row r="232" x14ac:dyDescent="0.2"/>
    <row r="233" x14ac:dyDescent="0.2"/>
    <row r="234" x14ac:dyDescent="0.2"/>
    <row r="235" x14ac:dyDescent="0.2"/>
    <row r="236" x14ac:dyDescent="0.2"/>
    <row r="237" x14ac:dyDescent="0.2"/>
    <row r="238" x14ac:dyDescent="0.2"/>
    <row r="239" x14ac:dyDescent="0.2"/>
    <row r="240" x14ac:dyDescent="0.2"/>
    <row r="241" x14ac:dyDescent="0.2"/>
    <row r="242" x14ac:dyDescent="0.2"/>
    <row r="243" x14ac:dyDescent="0.2"/>
    <row r="244" x14ac:dyDescent="0.2"/>
    <row r="245" x14ac:dyDescent="0.2"/>
    <row r="246" x14ac:dyDescent="0.2"/>
    <row r="247" x14ac:dyDescent="0.2"/>
    <row r="248" x14ac:dyDescent="0.2"/>
    <row r="249" x14ac:dyDescent="0.2"/>
    <row r="250" x14ac:dyDescent="0.2"/>
    <row r="251" x14ac:dyDescent="0.2"/>
    <row r="252" x14ac:dyDescent="0.2"/>
    <row r="253" x14ac:dyDescent="0.2"/>
    <row r="254" x14ac:dyDescent="0.2"/>
    <row r="255" x14ac:dyDescent="0.2"/>
    <row r="256" x14ac:dyDescent="0.2"/>
    <row r="257" x14ac:dyDescent="0.2"/>
    <row r="258" x14ac:dyDescent="0.2"/>
    <row r="259" x14ac:dyDescent="0.2"/>
    <row r="260" x14ac:dyDescent="0.2"/>
    <row r="261" x14ac:dyDescent="0.2"/>
    <row r="262" x14ac:dyDescent="0.2"/>
    <row r="263" x14ac:dyDescent="0.2"/>
    <row r="264" x14ac:dyDescent="0.2"/>
    <row r="265" x14ac:dyDescent="0.2"/>
    <row r="266" x14ac:dyDescent="0.2"/>
    <row r="267" x14ac:dyDescent="0.2"/>
    <row r="268" x14ac:dyDescent="0.2"/>
    <row r="269" x14ac:dyDescent="0.2"/>
    <row r="270" x14ac:dyDescent="0.2"/>
    <row r="271" x14ac:dyDescent="0.2"/>
    <row r="272" x14ac:dyDescent="0.2"/>
    <row r="273" x14ac:dyDescent="0.2"/>
    <row r="274" x14ac:dyDescent="0.2"/>
    <row r="275" x14ac:dyDescent="0.2"/>
    <row r="276" x14ac:dyDescent="0.2"/>
    <row r="277" x14ac:dyDescent="0.2"/>
    <row r="278" x14ac:dyDescent="0.2"/>
    <row r="279" x14ac:dyDescent="0.2"/>
    <row r="280" x14ac:dyDescent="0.2"/>
    <row r="281" x14ac:dyDescent="0.2"/>
    <row r="282" x14ac:dyDescent="0.2"/>
    <row r="283" x14ac:dyDescent="0.2"/>
    <row r="284" x14ac:dyDescent="0.2"/>
    <row r="285" x14ac:dyDescent="0.2"/>
    <row r="286" x14ac:dyDescent="0.2"/>
    <row r="287" x14ac:dyDescent="0.2"/>
    <row r="288" x14ac:dyDescent="0.2"/>
    <row r="289" x14ac:dyDescent="0.2"/>
    <row r="290" x14ac:dyDescent="0.2"/>
    <row r="291" x14ac:dyDescent="0.2"/>
    <row r="292" x14ac:dyDescent="0.2"/>
    <row r="293" x14ac:dyDescent="0.2"/>
    <row r="294" x14ac:dyDescent="0.2"/>
    <row r="295" x14ac:dyDescent="0.2"/>
    <row r="296" x14ac:dyDescent="0.2"/>
    <row r="297" x14ac:dyDescent="0.2"/>
    <row r="298" x14ac:dyDescent="0.2"/>
    <row r="299" x14ac:dyDescent="0.2"/>
    <row r="300" x14ac:dyDescent="0.2"/>
    <row r="301" x14ac:dyDescent="0.2"/>
    <row r="302" x14ac:dyDescent="0.2"/>
    <row r="303" x14ac:dyDescent="0.2"/>
    <row r="304" x14ac:dyDescent="0.2"/>
    <row r="305" x14ac:dyDescent="0.2"/>
    <row r="306" x14ac:dyDescent="0.2"/>
    <row r="307" x14ac:dyDescent="0.2"/>
    <row r="308" x14ac:dyDescent="0.2"/>
    <row r="309" x14ac:dyDescent="0.2"/>
    <row r="310" x14ac:dyDescent="0.2"/>
    <row r="311" x14ac:dyDescent="0.2"/>
    <row r="312" x14ac:dyDescent="0.2"/>
    <row r="313" x14ac:dyDescent="0.2"/>
    <row r="314" x14ac:dyDescent="0.2"/>
    <row r="315" x14ac:dyDescent="0.2"/>
    <row r="316" x14ac:dyDescent="0.2"/>
    <row r="317" x14ac:dyDescent="0.2"/>
    <row r="318" x14ac:dyDescent="0.2"/>
    <row r="319" x14ac:dyDescent="0.2"/>
    <row r="320" x14ac:dyDescent="0.2"/>
    <row r="321" x14ac:dyDescent="0.2"/>
    <row r="322" x14ac:dyDescent="0.2"/>
    <row r="323" x14ac:dyDescent="0.2"/>
  </sheetData>
  <mergeCells count="11">
    <mergeCell ref="B2:C2"/>
    <mergeCell ref="F2:G2"/>
    <mergeCell ref="F4:G4"/>
    <mergeCell ref="F5:O7"/>
    <mergeCell ref="F8:M9"/>
    <mergeCell ref="D14:G14"/>
    <mergeCell ref="H14:O14"/>
    <mergeCell ref="D23:G23"/>
    <mergeCell ref="H23:O23"/>
    <mergeCell ref="B14:C15"/>
    <mergeCell ref="B23:C24"/>
  </mergeCells>
  <conditionalFormatting sqref="U12">
    <cfRule type="iconSet" priority="1082">
      <iconSet iconSet="3Symbols" showValue="0" reverse="1">
        <cfvo type="percent" val="0"/>
        <cfvo type="num" val="1"/>
        <cfvo type="num" val="1.05"/>
      </iconSet>
    </cfRule>
  </conditionalFormatting>
  <conditionalFormatting sqref="U16">
    <cfRule type="iconSet" priority="1081">
      <iconSet iconSet="3Symbols" showValue="0" reverse="1">
        <cfvo type="percent" val="0"/>
        <cfvo type="num" val="1"/>
        <cfvo type="num" val="1.05"/>
      </iconSet>
    </cfRule>
  </conditionalFormatting>
  <conditionalFormatting sqref="P16">
    <cfRule type="iconSet" priority="1071">
      <iconSet iconSet="3Symbols" showValue="0" reverse="1">
        <cfvo type="percent" val="0"/>
        <cfvo type="num" val="1"/>
        <cfvo type="num" val="1.05"/>
      </iconSet>
    </cfRule>
  </conditionalFormatting>
  <conditionalFormatting sqref="F18:F19">
    <cfRule type="cellIs" dxfId="19" priority="447" operator="greaterThan">
      <formula>0</formula>
    </cfRule>
    <cfRule type="cellIs" dxfId="18" priority="448" operator="lessThanOrEqual">
      <formula>0</formula>
    </cfRule>
  </conditionalFormatting>
  <conditionalFormatting sqref="G18:G19">
    <cfRule type="cellIs" dxfId="17" priority="446" operator="greaterThanOrEqual">
      <formula>1</formula>
    </cfRule>
  </conditionalFormatting>
  <conditionalFormatting sqref="Q17">
    <cfRule type="iconSet" priority="421">
      <iconSet iconSet="3Symbols" showValue="0" reverse="1">
        <cfvo type="percent" val="0"/>
        <cfvo type="num" val="1"/>
        <cfvo type="num" val="1.05"/>
      </iconSet>
    </cfRule>
  </conditionalFormatting>
  <conditionalFormatting sqref="F17">
    <cfRule type="cellIs" dxfId="16" priority="417" operator="greaterThan">
      <formula>0</formula>
    </cfRule>
    <cfRule type="cellIs" dxfId="15" priority="418" operator="lessThanOrEqual">
      <formula>0</formula>
    </cfRule>
  </conditionalFormatting>
  <conditionalFormatting sqref="U17">
    <cfRule type="iconSet" priority="422">
      <iconSet iconSet="3Symbols" showValue="0" reverse="1">
        <cfvo type="percent" val="0"/>
        <cfvo type="num" val="1"/>
        <cfvo type="num" val="1.05"/>
      </iconSet>
    </cfRule>
  </conditionalFormatting>
  <conditionalFormatting sqref="P17">
    <cfRule type="iconSet" priority="423">
      <iconSet iconSet="3Symbols" showValue="0" reverse="1">
        <cfvo type="percent" val="0"/>
        <cfvo type="num" val="1"/>
        <cfvo type="num" val="1.05"/>
      </iconSet>
    </cfRule>
  </conditionalFormatting>
  <conditionalFormatting sqref="G17">
    <cfRule type="cellIs" dxfId="14" priority="416" operator="greaterThanOrEqual">
      <formula>1</formula>
    </cfRule>
  </conditionalFormatting>
  <conditionalFormatting sqref="Q18:Q19">
    <cfRule type="iconSet" priority="1083">
      <iconSet iconSet="3Symbols" showValue="0" reverse="1">
        <cfvo type="percent" val="0"/>
        <cfvo type="num" val="1"/>
        <cfvo type="num" val="1.05"/>
      </iconSet>
    </cfRule>
  </conditionalFormatting>
  <conditionalFormatting sqref="U18:U19">
    <cfRule type="iconSet" priority="1084">
      <iconSet iconSet="3Symbols" showValue="0" reverse="1">
        <cfvo type="percent" val="0"/>
        <cfvo type="num" val="1"/>
        <cfvo type="num" val="1.05"/>
      </iconSet>
    </cfRule>
  </conditionalFormatting>
  <conditionalFormatting sqref="P18:P19">
    <cfRule type="iconSet" priority="1085">
      <iconSet iconSet="3Symbols" showValue="0" reverse="1">
        <cfvo type="percent" val="0"/>
        <cfvo type="num" val="1"/>
        <cfvo type="num" val="1.05"/>
      </iconSet>
    </cfRule>
  </conditionalFormatting>
  <conditionalFormatting sqref="F27:F28">
    <cfRule type="cellIs" dxfId="9" priority="25" operator="greaterThan">
      <formula>0</formula>
    </cfRule>
    <cfRule type="cellIs" dxfId="8" priority="26" operator="lessThanOrEqual">
      <formula>0</formula>
    </cfRule>
  </conditionalFormatting>
  <conditionalFormatting sqref="G27:G28">
    <cfRule type="cellIs" dxfId="7" priority="24" operator="greaterThanOrEqual">
      <formula>1</formula>
    </cfRule>
  </conditionalFormatting>
  <conditionalFormatting sqref="F26">
    <cfRule type="cellIs" dxfId="2" priority="4" operator="greaterThan">
      <formula>0</formula>
    </cfRule>
    <cfRule type="cellIs" dxfId="1" priority="5" operator="lessThanOrEqual">
      <formula>0</formula>
    </cfRule>
  </conditionalFormatting>
  <conditionalFormatting sqref="G26">
    <cfRule type="cellIs" dxfId="0" priority="3" operator="greaterThanOrEqual">
      <formula>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2017-06-12T15:15:41Z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K:\XX02\Monitoring PMT\Raporty kierownicy pionow</vt:lpwstr>
  </property>
</Properties>
</file>