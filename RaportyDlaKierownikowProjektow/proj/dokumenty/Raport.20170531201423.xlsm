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workbookTemplate" defaultThemeVersion="124226"/>
  <mc:AlternateContent xmlns:mc="http://schemas.openxmlformats.org/markup-compatibility/2006">
    <mc:Choice Requires="x15">
      <x15ac:absPath xmlns:x15ac="http://schemas.microsoft.com/office/spreadsheetml/2010/11/ac" url="D:\Repos\Remote\GitHub\ILF.Reports\RaportyDlaKierownikowProjektow\proj\dokumenty\"/>
    </mc:Choice>
  </mc:AlternateContent>
  <bookViews>
    <workbookView xWindow="24855" yWindow="-15" windowWidth="15600" windowHeight="7605"/>
  </bookViews>
  <sheets>
    <sheet name="Report" sheetId="1" r:id="rId1"/>
  </sheets>
  <calcPr calcId="162913"/>
</workbook>
</file>

<file path=xl/calcChain.xml><?xml version="1.0" encoding="utf-8"?>
<calcChain xmlns="http://schemas.openxmlformats.org/spreadsheetml/2006/main">
  <c r="J26" i="1" l="1"/>
  <c r="G26" i="1"/>
  <c r="L26" i="1"/>
  <c r="I26" i="1"/>
  <c r="H26" i="1"/>
  <c r="E26" i="1"/>
  <c r="D26" i="1"/>
  <c r="G18" i="1"/>
  <c r="L18" i="1"/>
  <c r="I18" i="1"/>
  <c r="H18" i="1"/>
  <c r="E18" i="1"/>
  <c r="D18" i="1"/>
  <c r="J18" i="1" l="1"/>
  <c r="F25" i="1"/>
  <c r="F26" i="1" s="1"/>
  <c r="F17" i="1"/>
  <c r="F18" i="1" s="1"/>
  <c r="G25" i="1" l="1"/>
  <c r="G17" i="1"/>
  <c r="J17" i="1"/>
  <c r="K17" i="1"/>
  <c r="K18" i="1" s="1"/>
  <c r="M17" i="1"/>
  <c r="O17" i="1" s="1"/>
  <c r="N17" i="1" l="1"/>
  <c r="N18" i="1" s="1"/>
  <c r="M18" i="1"/>
  <c r="O18" i="1" s="1"/>
  <c r="M25" i="1"/>
  <c r="O25" i="1" l="1"/>
  <c r="M26" i="1"/>
  <c r="O26" i="1" s="1"/>
  <c r="K25" i="1"/>
  <c r="K26" i="1" s="1"/>
  <c r="J25" i="1"/>
  <c r="N25" i="1" l="1"/>
  <c r="N26" i="1" s="1"/>
</calcChain>
</file>

<file path=xl/sharedStrings.xml><?xml version="1.0" encoding="utf-8"?>
<sst xmlns="http://schemas.openxmlformats.org/spreadsheetml/2006/main" count="81" uniqueCount="56">
  <si>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</si>
  <si>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</si>
  <si>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</si>
  <si>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</si>
  <si>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</si>
  <si>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</si>
  <si>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</si>
  <si>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</si>
  <si>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</si>
  <si>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</si>
  <si>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</si>
  <si>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</si>
  <si>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</si>
  <si>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</si>
  <si>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</si>
  <si>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</si>
  <si>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</si>
  <si>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</si>
  <si>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</si>
  <si>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</si>
  <si>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</si>
  <si>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</si>
  <si>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</si>
  <si>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</si>
  <si>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</si>
  <si>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</si>
  <si>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</si>
  <si>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</si>
  <si>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</si>
  <si>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</si>
  <si>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</si>
  <si>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</si>
  <si>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</si>
  <si>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</si>
  <si>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</si>
  <si>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</si>
  <si>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</si>
  <si>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</si>
  <si>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</si>
  <si>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</si>
  <si>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</si>
  <si>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</si>
  <si>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</si>
  <si>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</si>
  <si>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</si>
  <si>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</si>
  <si>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</si>
  <si>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</si>
  <si>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</si>
  <si>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</si>
  <si>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</si>
  <si>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</si>
  <si>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</si>
  <si>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</si>
  <si>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Furtak, Dariusz</t>
  </si>
  <si>
    <t>E872 Suma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</si>
</sst>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6">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s>
  <borders count="27">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1">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24" xfId="0" applyNumberFormat="1" applyFont="1" applyBorder="1" applyAlignment="1" applyProtection="1">
      <alignment horizontal="center" vertical="center"/>
    </xf>
    <xf numFmtId="3" fontId="8" fillId="0" borderId="25" xfId="0" applyNumberFormat="1" applyFont="1" applyBorder="1" applyAlignment="1" applyProtection="1">
      <alignment horizontal="center" vertical="center"/>
    </xf>
    <xf numFmtId="3" fontId="8" fillId="0" borderId="26" xfId="0" applyNumberFormat="1" applyFont="1" applyBorder="1" applyAlignment="1" applyProtection="1">
      <alignment horizontal="center" vertical="center"/>
    </xf>
    <xf numFmtId="166" fontId="8" fillId="0" borderId="25" xfId="0" applyNumberFormat="1" applyFont="1" applyBorder="1" applyAlignment="1" applyProtection="1">
      <alignment horizontal="center" vertical="center"/>
    </xf>
    <xf numFmtId="166" fontId="8" fillId="5" borderId="26" xfId="0" applyNumberFormat="1" applyFont="1" applyFill="1" applyBorder="1" applyAlignment="1" applyProtection="1">
      <alignment horizontal="center" vertical="center"/>
    </xf>
    <xf numFmtId="3" fontId="8" fillId="5" borderId="26" xfId="0" applyNumberFormat="1" applyFont="1" applyFill="1" applyBorder="1" applyAlignment="1" applyProtection="1">
      <alignment horizontal="center" vertical="center"/>
    </xf>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0" borderId="21" xfId="0" applyNumberFormat="1" applyFont="1" applyBorder="1" applyAlignment="1" applyProtection="1">
      <alignment horizontal="center" vertical="center"/>
    </xf>
    <xf numFmtId="3" fontId="8" fillId="0" borderId="22" xfId="0" applyNumberFormat="1" applyFont="1" applyBorder="1" applyAlignment="1" applyProtection="1">
      <alignment horizontal="center" vertical="center"/>
    </xf>
    <xf numFmtId="3" fontId="8" fillId="0" borderId="21" xfId="0" applyNumberFormat="1" applyFont="1" applyBorder="1" applyAlignment="1" applyProtection="1">
      <alignment horizontal="center" vertical="center"/>
    </xf>
    <xf numFmtId="3" fontId="8" fillId="0" borderId="23" xfId="0" applyNumberFormat="1" applyFont="1" applyBorder="1" applyAlignment="1" applyProtection="1">
      <alignment horizontal="center" vertical="center"/>
    </xf>
    <xf numFmtId="166" fontId="8" fillId="0" borderId="22" xfId="0" applyNumberFormat="1" applyFont="1" applyBorder="1" applyAlignment="1" applyProtection="1">
      <alignment horizontal="center" vertical="center"/>
    </xf>
    <xf numFmtId="166" fontId="8" fillId="5" borderId="23" xfId="0" applyNumberFormat="1" applyFont="1" applyFill="1" applyBorder="1" applyAlignment="1" applyProtection="1">
      <alignment horizontal="center" vertical="center"/>
    </xf>
    <xf numFmtId="3" fontId="8" fillId="5"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207"/>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78"/>
    </row>
    <row r="6" spans="1:16" s="24" customFormat="1" ht="33.75" customHeight="1" thickBot="1" x14ac:dyDescent="0.25">
      <c r="A6" s="25"/>
      <c r="B6" s="44" t="s">
        <v>9</v>
      </c>
      <c r="C6" s="45" t="s">
        <v>50</v>
      </c>
      <c r="D6" s="38"/>
      <c r="E6" s="35"/>
      <c r="F6" s="17"/>
      <c r="G6" s="18"/>
      <c r="H6" s="18"/>
      <c r="I6" s="18"/>
      <c r="J6" s="18"/>
      <c r="K6" s="18"/>
      <c r="L6" s="18"/>
      <c r="M6" s="18"/>
      <c r="N6" s="18"/>
      <c r="O6" s="79"/>
    </row>
    <row r="7" spans="1:16" s="24" customFormat="1" ht="33.75" customHeight="1" thickBot="1" x14ac:dyDescent="0.25">
      <c r="A7" s="25"/>
      <c r="B7" s="39" t="s">
        <v>10</v>
      </c>
      <c r="C7" s="40" t="s">
        <v>51</v>
      </c>
      <c r="D7" s="38"/>
      <c r="E7" s="35"/>
      <c r="F7" s="19"/>
      <c r="G7" s="20"/>
      <c r="H7" s="20"/>
      <c r="I7" s="20"/>
      <c r="J7" s="20"/>
      <c r="K7" s="20"/>
      <c r="L7" s="20"/>
      <c r="M7" s="20"/>
      <c r="N7" s="20"/>
      <c r="O7" s="80"/>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151.19999999999999</v>
      </c>
      <c r="E17" s="64">
        <v>0</v>
      </c>
      <c r="F17" s="64">
        <f>MAX(D17-E17, 0)</f>
        <v>151.19999999999999</v>
      </c>
      <c r="G17" s="65">
        <f>IF(D17=0,0,ABS(E17/D17))</f>
        <v>0</v>
      </c>
      <c r="H17" s="62">
        <v>6801.6</v>
      </c>
      <c r="I17" s="64">
        <v>3699.75</v>
      </c>
      <c r="J17" s="66">
        <f>IF(H17=0,"No plan at start",I17/H17)</f>
        <v>0.54395289343683839</v>
      </c>
      <c r="K17" s="67">
        <f>H17-I17</f>
        <v>3101.8500000000004</v>
      </c>
      <c r="L17" s="64">
        <v>2796.0000000000005</v>
      </c>
      <c r="M17" s="64">
        <f>I17+L17</f>
        <v>6495.75</v>
      </c>
      <c r="N17" s="64">
        <f>M17-H17</f>
        <v>-305.85000000000036</v>
      </c>
      <c r="O17" s="65">
        <f>IF(H17=0,"No plan at start",M17/H17)</f>
        <v>0.95503263937896965</v>
      </c>
      <c r="P17" s="68"/>
      <c r="Q17" s="69"/>
      <c r="R17" s="70"/>
      <c r="S17" s="70"/>
    </row>
    <row r="18" spans="1:19" s="24" customFormat="1" ht="13.5" outlineLevel="1" collapsed="1" thickBot="1" x14ac:dyDescent="0.25">
      <c r="A18" s="25"/>
      <c r="B18" s="71" t="s">
        <v>55</v>
      </c>
      <c r="C18" s="72"/>
      <c r="D18" s="73">
        <f>SUBTOTAL(9,D17:D17)</f>
        <v>151.19999999999999</v>
      </c>
      <c r="E18" s="74">
        <f>SUBTOTAL(9,E17:E17)</f>
        <v>0</v>
      </c>
      <c r="F18" s="74">
        <f>SUBTOTAL(9,F17:F17)</f>
        <v>151.19999999999999</v>
      </c>
      <c r="G18" s="75">
        <f>IF(D18=0,0,ABS(E18/D18))</f>
        <v>0</v>
      </c>
      <c r="H18" s="73">
        <f>SUBTOTAL(9,H17:H17)</f>
        <v>6801.6</v>
      </c>
      <c r="I18" s="74">
        <f>SUBTOTAL(9,I17:I17)</f>
        <v>3699.75</v>
      </c>
      <c r="J18" s="76">
        <f>IF(H18=0,"No plan at start",I18/H18)</f>
        <v>0.54395289343683839</v>
      </c>
      <c r="K18" s="77">
        <f>SUBTOTAL(9,K17:K17)</f>
        <v>3101.8500000000004</v>
      </c>
      <c r="L18" s="74">
        <f>SUBTOTAL(9,L17:L17)</f>
        <v>2796.0000000000005</v>
      </c>
      <c r="M18" s="74">
        <f>SUBTOTAL(9,M17:M17)</f>
        <v>6495.75</v>
      </c>
      <c r="N18" s="74">
        <f>SUBTOTAL(9,N17:N17)</f>
        <v>-305.85000000000036</v>
      </c>
      <c r="O18" s="75">
        <f>IF(H18=0,"No plan at start",M18/H18)</f>
        <v>0.95503263937896965</v>
      </c>
      <c r="P18" s="68"/>
      <c r="Q18" s="69"/>
      <c r="R18" s="70"/>
      <c r="S18" s="70"/>
    </row>
    <row r="19" spans="1:19" s="24" customFormat="1" ht="28.5" customHeight="1" x14ac:dyDescent="0.2">
      <c r="A19" s="25"/>
      <c r="B19" s="61"/>
      <c r="C19" s="61"/>
      <c r="D19" s="61"/>
      <c r="E19" s="61"/>
      <c r="F19" s="61"/>
      <c r="G19" s="61"/>
      <c r="H19" s="61"/>
      <c r="I19" s="61"/>
      <c r="J19" s="61"/>
      <c r="K19" s="61"/>
      <c r="L19" s="61"/>
      <c r="M19" s="61"/>
      <c r="N19" s="61"/>
      <c r="O19" s="61"/>
    </row>
    <row r="20" spans="1:19" x14ac:dyDescent="0.2">
      <c r="B20" s="53" t="s">
        <v>29</v>
      </c>
      <c r="C20" s="54"/>
      <c r="D20" s="54"/>
      <c r="E20" s="54"/>
      <c r="F20" s="55"/>
      <c r="G20" s="55"/>
      <c r="H20" s="56"/>
      <c r="I20" s="24"/>
      <c r="J20" s="24"/>
      <c r="K20" s="57"/>
      <c r="L20" s="24"/>
      <c r="M20" s="58"/>
      <c r="N20" s="24"/>
      <c r="O20" s="24"/>
    </row>
    <row r="21" spans="1:19" ht="13.5" thickBot="1" x14ac:dyDescent="0.25">
      <c r="B21" s="24"/>
      <c r="C21" s="24"/>
      <c r="D21" s="24"/>
      <c r="E21" s="24"/>
      <c r="F21" s="24"/>
      <c r="G21" s="24"/>
      <c r="H21" s="24"/>
      <c r="I21" s="24"/>
      <c r="J21" s="24"/>
      <c r="K21" s="24"/>
      <c r="L21" s="24"/>
      <c r="M21" s="24"/>
      <c r="N21" s="24"/>
      <c r="O21" s="24"/>
    </row>
    <row r="22" spans="1:19" x14ac:dyDescent="0.2">
      <c r="B22" s="13"/>
      <c r="C22" s="14"/>
      <c r="D22" s="10" t="s">
        <v>38</v>
      </c>
      <c r="E22" s="11"/>
      <c r="F22" s="11"/>
      <c r="G22" s="12"/>
      <c r="H22" s="10" t="s">
        <v>39</v>
      </c>
      <c r="I22" s="11"/>
      <c r="J22" s="11"/>
      <c r="K22" s="11"/>
      <c r="L22" s="11"/>
      <c r="M22" s="11"/>
      <c r="N22" s="11"/>
      <c r="O22" s="12"/>
    </row>
    <row r="23" spans="1:19" x14ac:dyDescent="0.2">
      <c r="B23" s="59"/>
      <c r="C23" s="60"/>
      <c r="D23" s="1" t="s">
        <v>2</v>
      </c>
      <c r="E23" s="3" t="s">
        <v>3</v>
      </c>
      <c r="F23" s="3" t="s">
        <v>43</v>
      </c>
      <c r="G23" s="2" t="s">
        <v>40</v>
      </c>
      <c r="H23" s="1" t="s">
        <v>20</v>
      </c>
      <c r="I23" s="3" t="s">
        <v>33</v>
      </c>
      <c r="J23" s="4" t="s">
        <v>34</v>
      </c>
      <c r="K23" s="4" t="s">
        <v>35</v>
      </c>
      <c r="L23" s="3" t="s">
        <v>19</v>
      </c>
      <c r="M23" s="3" t="s">
        <v>36</v>
      </c>
      <c r="N23" s="3" t="s">
        <v>22</v>
      </c>
      <c r="O23" s="2" t="s">
        <v>23</v>
      </c>
    </row>
    <row r="24" spans="1:19" ht="76.5" x14ac:dyDescent="0.2">
      <c r="B24" s="5" t="s">
        <v>14</v>
      </c>
      <c r="C24" s="6" t="s">
        <v>28</v>
      </c>
      <c r="D24" s="5" t="s">
        <v>44</v>
      </c>
      <c r="E24" s="7" t="s">
        <v>15</v>
      </c>
      <c r="F24" s="7" t="s">
        <v>41</v>
      </c>
      <c r="G24" s="6" t="s">
        <v>42</v>
      </c>
      <c r="H24" s="5" t="s">
        <v>45</v>
      </c>
      <c r="I24" s="7" t="s">
        <v>30</v>
      </c>
      <c r="J24" s="8" t="s">
        <v>46</v>
      </c>
      <c r="K24" s="8" t="s">
        <v>17</v>
      </c>
      <c r="L24" s="7" t="s">
        <v>47</v>
      </c>
      <c r="M24" s="7" t="s">
        <v>31</v>
      </c>
      <c r="N24" s="7" t="s">
        <v>32</v>
      </c>
      <c r="O24" s="6" t="s">
        <v>24</v>
      </c>
    </row>
    <row r="25" spans="1:19" hidden="1" outlineLevel="2" x14ac:dyDescent="0.2">
      <c r="B25" s="62" t="s">
        <v>53</v>
      </c>
      <c r="C25" s="63" t="s">
        <v>54</v>
      </c>
      <c r="D25" s="62">
        <v>9434.880000000001</v>
      </c>
      <c r="E25" s="64">
        <v>0</v>
      </c>
      <c r="F25" s="64">
        <f>MAX(D25-E25, 0)</f>
        <v>9434.880000000001</v>
      </c>
      <c r="G25" s="65">
        <f>IF(D25=0,0,ABS(E25/D25))</f>
        <v>0</v>
      </c>
      <c r="H25" s="62">
        <v>417504.25599999994</v>
      </c>
      <c r="I25" s="64">
        <v>227762.34000000195</v>
      </c>
      <c r="J25" s="66">
        <f>IF(H25=0,"No plan at start",I25/H25)</f>
        <v>0.54553297775245191</v>
      </c>
      <c r="K25" s="67">
        <f>H25-I25</f>
        <v>189741.91599999799</v>
      </c>
      <c r="L25" s="64">
        <v>174470.40000000002</v>
      </c>
      <c r="M25" s="64">
        <f>I25+L25</f>
        <v>402232.74000000197</v>
      </c>
      <c r="N25" s="64">
        <f>M25-H25</f>
        <v>-15271.515999997966</v>
      </c>
      <c r="O25" s="65">
        <f>IF(H25=0,"No plan at start",M25/H25)</f>
        <v>0.96342189144055579</v>
      </c>
    </row>
    <row r="26" spans="1:19" ht="13.5" outlineLevel="1" collapsed="1" thickBot="1" x14ac:dyDescent="0.25">
      <c r="B26" s="71" t="s">
        <v>55</v>
      </c>
      <c r="C26" s="72"/>
      <c r="D26" s="73">
        <f>SUBTOTAL(9,D25:D25)</f>
        <v>9434.880000000001</v>
      </c>
      <c r="E26" s="74">
        <f>SUBTOTAL(9,E25:E25)</f>
        <v>0</v>
      </c>
      <c r="F26" s="74">
        <f>SUBTOTAL(9,F25:F25)</f>
        <v>9434.880000000001</v>
      </c>
      <c r="G26" s="75">
        <f>IF(D26=0,0,ABS(E26/D26))</f>
        <v>0</v>
      </c>
      <c r="H26" s="73">
        <f>SUBTOTAL(9,H25:H25)</f>
        <v>417504.25599999994</v>
      </c>
      <c r="I26" s="74">
        <f>SUBTOTAL(9,I25:I25)</f>
        <v>227762.34000000195</v>
      </c>
      <c r="J26" s="76">
        <f>IF(H26=0,"No plan at start",I26/H26)</f>
        <v>0.54553297775245191</v>
      </c>
      <c r="K26" s="77">
        <f>SUBTOTAL(9,K25:K25)</f>
        <v>189741.91599999799</v>
      </c>
      <c r="L26" s="74">
        <f>SUBTOTAL(9,L25:L25)</f>
        <v>174470.40000000002</v>
      </c>
      <c r="M26" s="74">
        <f>SUBTOTAL(9,M25:M25)</f>
        <v>402232.74000000197</v>
      </c>
      <c r="N26" s="74">
        <f>SUBTOTAL(9,N25:N25)</f>
        <v>-15271.515999997966</v>
      </c>
      <c r="O26" s="75">
        <f>IF(H26=0,"No plan at start",M26/H26)</f>
        <v>0.96342189144055579</v>
      </c>
    </row>
    <row r="27" spans="1:19" x14ac:dyDescent="0.2"/>
    <row r="28" spans="1:19" x14ac:dyDescent="0.2"/>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ht="15" customHeight="1" x14ac:dyDescent="0.2"/>
    <row r="158" x14ac:dyDescent="0.2"/>
    <row r="159"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sheetData>
  <mergeCells count="11">
    <mergeCell ref="B2:C2"/>
    <mergeCell ref="F2:G2"/>
    <mergeCell ref="F4:G4"/>
    <mergeCell ref="F5:O7"/>
    <mergeCell ref="F8:M9"/>
    <mergeCell ref="D14:G14"/>
    <mergeCell ref="H14:O14"/>
    <mergeCell ref="D22:G22"/>
    <mergeCell ref="H22:O22"/>
    <mergeCell ref="B14:C15"/>
    <mergeCell ref="B22:C23"/>
  </mergeCells>
  <conditionalFormatting sqref="U12">
    <cfRule type="iconSet" priority="84">
      <iconSet iconSet="3Symbols" showValue="0" reverse="1">
        <cfvo type="percent" val="0"/>
        <cfvo type="num" val="1"/>
        <cfvo type="num" val="1.05"/>
      </iconSet>
    </cfRule>
  </conditionalFormatting>
  <conditionalFormatting sqref="U16">
    <cfRule type="iconSet" priority="83">
      <iconSet iconSet="3Symbols" showValue="0" reverse="1">
        <cfvo type="percent" val="0"/>
        <cfvo type="num" val="1"/>
        <cfvo type="num" val="1.05"/>
      </iconSet>
    </cfRule>
  </conditionalFormatting>
  <conditionalFormatting sqref="P16">
    <cfRule type="iconSet" priority="73">
      <iconSet iconSet="3Symbols" showValue="0" reverse="1">
        <cfvo type="percent" val="0"/>
        <cfvo type="num" val="1"/>
        <cfvo type="num" val="1.05"/>
      </iconSet>
    </cfRule>
  </conditionalFormatting>
  <conditionalFormatting sqref="N17:N18">
    <cfRule type="cellIs" dxfId="9" priority="65" operator="lessThan">
      <formula>0</formula>
    </cfRule>
    <cfRule type="cellIs" dxfId="8" priority="66" operator="greaterThan">
      <formula>0</formula>
    </cfRule>
  </conditionalFormatting>
  <conditionalFormatting sqref="F17:F18">
    <cfRule type="cellIs" dxfId="7" priority="63" operator="greaterThan">
      <formula>0</formula>
    </cfRule>
    <cfRule type="cellIs" dxfId="6" priority="64" operator="lessThanOrEqual">
      <formula>0</formula>
    </cfRule>
  </conditionalFormatting>
  <conditionalFormatting sqref="N25:N26">
    <cfRule type="cellIs" dxfId="5" priority="37" operator="lessThan">
      <formula>0</formula>
    </cfRule>
    <cfRule type="cellIs" dxfId="4" priority="38" operator="greaterThan">
      <formula>0</formula>
    </cfRule>
  </conditionalFormatting>
  <conditionalFormatting sqref="F25:F26">
    <cfRule type="cellIs" dxfId="3" priority="21" operator="greaterThan">
      <formula>0</formula>
    </cfRule>
    <cfRule type="cellIs" dxfId="2" priority="22" operator="lessThanOrEqual">
      <formula>0</formula>
    </cfRule>
  </conditionalFormatting>
  <conditionalFormatting sqref="G17:G18">
    <cfRule type="cellIs" dxfId="1" priority="17" operator="greaterThanOrEqual">
      <formula>1</formula>
    </cfRule>
  </conditionalFormatting>
  <conditionalFormatting sqref="G25:G26">
    <cfRule type="cellIs" dxfId="0" priority="15" operator="greaterThanOrEqual">
      <formula>1</formula>
    </cfRule>
  </conditionalFormatting>
  <conditionalFormatting sqref="Q17:Q18">
    <cfRule type="iconSet" priority="88">
      <iconSet iconSet="3Symbols" showValue="0" reverse="1">
        <cfvo type="percent" val="0"/>
        <cfvo type="num" val="1"/>
        <cfvo type="num" val="1.05"/>
      </iconSet>
    </cfRule>
  </conditionalFormatting>
  <conditionalFormatting sqref="U17:U18">
    <cfRule type="iconSet" priority="89">
      <iconSet iconSet="3Symbols" showValue="0" reverse="1">
        <cfvo type="percent" val="0"/>
        <cfvo type="num" val="1"/>
        <cfvo type="num" val="1.05"/>
      </iconSet>
    </cfRule>
  </conditionalFormatting>
  <conditionalFormatting sqref="P17:P18">
    <cfRule type="iconSet" priority="90">
      <iconSet iconSet="3Symbols" showValue="0" reverse="1">
        <cfvo type="percent" val="0"/>
        <cfvo type="num" val="1"/>
        <cfvo type="num" val="1.05"/>
      </iconSet>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2017-05-31T18:14:23Z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