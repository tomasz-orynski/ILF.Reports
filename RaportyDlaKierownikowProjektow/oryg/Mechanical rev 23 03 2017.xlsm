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en_skoroszyt" defaultThemeVersion="124226"/>
  <bookViews>
    <workbookView xWindow="-15" yWindow="-15" windowWidth="28830" windowHeight="7605"/>
  </bookViews>
  <sheets>
    <sheet name="M &amp; P - Mechanical" sheetId="1" r:id="rId1"/>
  </sheets>
  <externalReferences>
    <externalReference r:id="rId2"/>
  </externalReferences>
  <calcPr calcId="145621"/>
</workbook>
</file>

<file path=xl/calcChain.xml><?xml version="1.0" encoding="utf-8"?>
<calcChain xmlns="http://schemas.openxmlformats.org/spreadsheetml/2006/main">
  <c r="M16" i="1" l="1"/>
  <c r="L16" i="1"/>
  <c r="J16" i="1"/>
  <c r="H16" i="1"/>
  <c r="E26" i="1"/>
  <c r="E16" i="1"/>
  <c r="F16" i="1" l="1"/>
  <c r="N16" i="1" l="1"/>
</calcChain>
</file>

<file path=xl/sharedStrings.xml><?xml version="1.0" encoding="utf-8"?>
<sst xmlns="http://schemas.openxmlformats.org/spreadsheetml/2006/main" count="124" uniqueCount="67">
  <si>
    <t>Division</t>
  </si>
  <si>
    <t>Mechanical</t>
  </si>
  <si>
    <t>Division Manager</t>
  </si>
  <si>
    <t>Robert.Kowalczyk</t>
  </si>
  <si>
    <t>Reporting to</t>
  </si>
  <si>
    <t>a</t>
  </si>
  <si>
    <t>b</t>
  </si>
  <si>
    <t>d</t>
  </si>
  <si>
    <t>Subtotals</t>
  </si>
  <si>
    <t>Division manager remarks:</t>
  </si>
  <si>
    <t>Notes:</t>
  </si>
  <si>
    <t>E872</t>
  </si>
  <si>
    <t>F808</t>
  </si>
  <si>
    <t>H808</t>
  </si>
  <si>
    <t>No plan at start</t>
  </si>
  <si>
    <t>J500</t>
  </si>
  <si>
    <t>H919</t>
  </si>
  <si>
    <t>K392</t>
  </si>
  <si>
    <t>E556</t>
  </si>
  <si>
    <t>K325</t>
  </si>
  <si>
    <t>K094</t>
  </si>
  <si>
    <t>K504</t>
  </si>
  <si>
    <t>Manhours Consumption Report</t>
  </si>
  <si>
    <t>Department</t>
  </si>
  <si>
    <t>Projects</t>
  </si>
  <si>
    <t>Area</t>
  </si>
  <si>
    <t>Technology</t>
  </si>
  <si>
    <t>Team</t>
  </si>
  <si>
    <t>Team Leader</t>
  </si>
  <si>
    <t>Piotr.Stanislawek</t>
  </si>
  <si>
    <t>Percentage deviation</t>
  </si>
  <si>
    <t>c = b - a</t>
  </si>
  <si>
    <t>to</t>
  </si>
  <si>
    <t>Reporting period from</t>
  </si>
  <si>
    <t>Mechanical &amp; Process</t>
  </si>
  <si>
    <t>Project report -&gt; Manhours Consumption</t>
  </si>
  <si>
    <t>Project No.</t>
  </si>
  <si>
    <t>Planned</t>
  </si>
  <si>
    <t>Consumed</t>
  </si>
  <si>
    <t>Deviation</t>
  </si>
  <si>
    <t xml:space="preserve">Total mh consumption on cut-off date
</t>
  </si>
  <si>
    <t xml:space="preserve">Remaining Discipline Budget
</t>
  </si>
  <si>
    <t>Percentage  Discipline 
Total Budget consumption on cut-off date</t>
  </si>
  <si>
    <t>i</t>
  </si>
  <si>
    <t>e</t>
  </si>
  <si>
    <t>Expected total mh consumption on Project end</t>
  </si>
  <si>
    <t xml:space="preserve">k = j - e </t>
  </si>
  <si>
    <t xml:space="preserve">l = j / e </t>
  </si>
  <si>
    <t>Expected percentage Discipline 
Total Budget consumption on Project end</t>
  </si>
  <si>
    <r>
      <t xml:space="preserve">Discipline 
Total Budget </t>
    </r>
    <r>
      <rPr>
        <i/>
        <strike/>
        <sz val="8.5"/>
        <rFont val="Arial"/>
        <family val="2"/>
      </rPr>
      <t xml:space="preserve">
</t>
    </r>
    <r>
      <rPr>
        <sz val="8"/>
        <rFont val="Arial"/>
        <family val="2"/>
      </rPr>
      <t>NOTE 1</t>
    </r>
  </si>
  <si>
    <r>
      <t xml:space="preserve">Estimate to complete 
</t>
    </r>
    <r>
      <rPr>
        <sz val="8"/>
        <rFont val="Arial"/>
        <family val="2"/>
      </rPr>
      <t>NOTE 2</t>
    </r>
  </si>
  <si>
    <r>
      <rPr>
        <b/>
        <sz val="10"/>
        <rFont val="Arial"/>
        <family val="2"/>
      </rPr>
      <t xml:space="preserve">Expected deviation from Discipline 
Total Budget on Project end </t>
    </r>
    <r>
      <rPr>
        <b/>
        <strike/>
        <sz val="10"/>
        <color rgb="FFFF0000"/>
        <rFont val="Arial"/>
        <family val="2"/>
        <charset val="238"/>
      </rPr>
      <t/>
    </r>
  </si>
  <si>
    <t>2017-02-31</t>
  </si>
  <si>
    <t>Project report -&gt; Manhours Cost</t>
  </si>
  <si>
    <t xml:space="preserve">
Total mh cost on cut-off date
</t>
  </si>
  <si>
    <r>
      <t xml:space="preserve">Expected total mh cost on Project end
</t>
    </r>
    <r>
      <rPr>
        <b/>
        <strike/>
        <sz val="10"/>
        <color rgb="FFFF0000"/>
        <rFont val="Arial"/>
        <family val="2"/>
        <charset val="238"/>
      </rPr>
      <t/>
    </r>
  </si>
  <si>
    <t>Expected deviation from Discipline 
Total Budget on Project end</t>
  </si>
  <si>
    <r>
      <t xml:space="preserve">Discipline 
Total Budget 
</t>
    </r>
    <r>
      <rPr>
        <sz val="8"/>
        <rFont val="Arial"/>
        <family val="2"/>
        <charset val="238"/>
      </rPr>
      <t>NOTE 1</t>
    </r>
  </si>
  <si>
    <r>
      <rPr>
        <i/>
        <strike/>
        <sz val="8.5"/>
        <rFont val="Arial"/>
        <family val="2"/>
        <charset val="238"/>
      </rPr>
      <t xml:space="preserve"> </t>
    </r>
    <r>
      <rPr>
        <b/>
        <sz val="10"/>
        <rFont val="Arial"/>
        <family val="2"/>
        <charset val="238"/>
      </rPr>
      <t>Percentage  Discipline 
Total Budget consumption on cut-off date</t>
    </r>
  </si>
  <si>
    <r>
      <t xml:space="preserve">Estimate to complete </t>
    </r>
    <r>
      <rPr>
        <i/>
        <strike/>
        <sz val="10"/>
        <rFont val="Arial"/>
        <family val="2"/>
        <charset val="238"/>
      </rPr>
      <t xml:space="preserve">
</t>
    </r>
    <r>
      <rPr>
        <sz val="8"/>
        <rFont val="Arial"/>
        <family val="2"/>
        <charset val="238"/>
      </rPr>
      <t>NOTE 2</t>
    </r>
  </si>
  <si>
    <t>raporty.godzin@ilf.com</t>
  </si>
  <si>
    <t>1. Discipline Total Budget is set on Project start and then in-/decreased during Project life cycle based on Contract amendments, extensions, agreed with Client extra works etc.</t>
  </si>
  <si>
    <t>2. Based on current PMT02.</t>
  </si>
  <si>
    <t>f = e - g</t>
  </si>
  <si>
    <t>g</t>
  </si>
  <si>
    <t>h = g / e</t>
  </si>
  <si>
    <t>j = g + 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</si>
</sst>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#,##0\ &quot;€&quot;"/>
    <numFmt numFmtId="165" formatCode="_-* #,##0.00\ &quot;€&quot;_-;\-* #,##0.00\ &quot;€&quot;_-;_-* &quot;-&quot;??\ &quot;€&quot;_-;_-@_-"/>
    <numFmt numFmtId="166" formatCode="0.0%"/>
  </numFmts>
  <fonts count="22" x14ac:knownFonts="1">
    <font>
      <sz val="10"/>
      <name val="Arial"/>
    </font>
    <font>
      <sz val="11"/>
      <color theme="1"/>
      <name val="Calibri"/>
      <family val="2"/>
      <charset val="238"/>
    </font>
    <font>
      <b/>
      <sz val="12"/>
      <color rgb="FFFF0000"/>
      <name val="Arial"/>
      <family val="2"/>
      <charset val="238"/>
    </font>
    <font>
      <b/>
      <sz val="10"/>
      <name val="Arial"/>
      <family val="2"/>
      <charset val="238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  <charset val="238"/>
    </font>
    <font>
      <sz val="10"/>
      <color theme="1"/>
      <name val="Arial"/>
      <family val="2"/>
      <charset val="238"/>
    </font>
    <font>
      <sz val="10"/>
      <color theme="0" tint="-0.249977111117893"/>
      <name val="Arial"/>
      <family val="2"/>
      <charset val="238"/>
    </font>
    <font>
      <sz val="8"/>
      <name val="Arial"/>
      <family val="2"/>
      <charset val="238"/>
    </font>
    <font>
      <sz val="11"/>
      <color rgb="FF3F3F7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trike/>
      <sz val="10"/>
      <color rgb="FFFF0000"/>
      <name val="Arial"/>
      <family val="2"/>
      <charset val="238"/>
    </font>
    <font>
      <i/>
      <strike/>
      <sz val="8.5"/>
      <name val="Arial"/>
      <family val="2"/>
    </font>
    <font>
      <sz val="8"/>
      <name val="Arial"/>
      <family val="2"/>
    </font>
    <font>
      <b/>
      <strike/>
      <sz val="10"/>
      <name val="Arial"/>
      <family val="2"/>
    </font>
    <font>
      <i/>
      <strike/>
      <sz val="8.5"/>
      <name val="Arial"/>
      <family val="2"/>
      <charset val="238"/>
    </font>
    <font>
      <i/>
      <strike/>
      <sz val="10"/>
      <name val="Arial"/>
      <family val="2"/>
      <charset val="238"/>
    </font>
    <font>
      <u/>
      <sz val="10"/>
      <color theme="10"/>
      <name val="Arial"/>
      <family val="2"/>
      <charset val="238"/>
    </font>
    <font>
      <sz val="11"/>
      <color rgb="FF000000"/>
      <name val="Arial"/>
      <family val="2"/>
      <charset val="238"/>
    </font>
    <font>
      <b/>
      <sz val="13"/>
      <name val="Arial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2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7">
    <xf numFmtId="0" fontId="0" fillId="0" borderId="0"/>
    <xf numFmtId="9" fontId="4" fillId="0" borderId="0" applyFont="0" applyFill="0" applyBorder="0" applyAlignment="0" applyProtection="0"/>
    <xf numFmtId="0" fontId="10" fillId="3" borderId="1" applyNumberFormat="0" applyAlignment="0" applyProtection="0"/>
    <xf numFmtId="0" fontId="11" fillId="2" borderId="0" applyNumberFormat="0" applyBorder="0" applyAlignment="0" applyProtection="0"/>
    <xf numFmtId="0" fontId="4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2" fillId="0" borderId="0"/>
    <xf numFmtId="0" fontId="12" fillId="0" borderId="0"/>
    <xf numFmtId="0" fontId="6" fillId="0" borderId="0"/>
    <xf numFmtId="0" fontId="6" fillId="0" borderId="0"/>
    <xf numFmtId="0" fontId="1" fillId="0" borderId="0"/>
    <xf numFmtId="9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19" fillId="0" borderId="0" applyNumberFormat="0" applyFill="0" applyBorder="0" applyAlignment="0" applyProtection="0"/>
  </cellStyleXfs>
  <cellXfs count="103">
    <xf numFmtId="0" fontId="0" fillId="0" borderId="0" xfId="0"/>
    <xf numFmtId="2" fontId="2" fillId="0" borderId="2" xfId="0" applyNumberFormat="1" applyFont="1" applyBorder="1" applyAlignment="1" applyProtection="1">
      <alignment horizontal="center" vertical="center" wrapText="1"/>
      <protection locked="0"/>
    </xf>
    <xf numFmtId="2" fontId="2" fillId="0" borderId="3" xfId="0" applyNumberFormat="1" applyFont="1" applyBorder="1" applyAlignment="1" applyProtection="1">
      <alignment horizontal="center" vertical="center" wrapText="1"/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0" xfId="0" applyProtection="1">
      <protection locked="0"/>
    </xf>
    <xf numFmtId="0" fontId="0" fillId="0" borderId="5" xfId="0" applyBorder="1" applyProtection="1">
      <protection locked="0"/>
    </xf>
    <xf numFmtId="2" fontId="2" fillId="0" borderId="0" xfId="0" applyNumberFormat="1" applyFont="1" applyBorder="1" applyAlignment="1" applyProtection="1">
      <alignment horizontal="center" vertical="center" wrapText="1"/>
      <protection locked="0"/>
    </xf>
    <xf numFmtId="14" fontId="3" fillId="0" borderId="6" xfId="0" applyNumberFormat="1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9" xfId="0" applyBorder="1" applyProtection="1">
      <protection locked="0"/>
    </xf>
    <xf numFmtId="0" fontId="3" fillId="0" borderId="2" xfId="0" applyFont="1" applyBorder="1" applyAlignment="1" applyProtection="1">
      <alignment horizontal="center" vertical="center"/>
      <protection locked="0"/>
    </xf>
    <xf numFmtId="0" fontId="4" fillId="0" borderId="4" xfId="0" applyFont="1" applyBorder="1" applyAlignment="1" applyProtection="1">
      <alignment horizontal="center" vertical="center"/>
      <protection locked="0"/>
    </xf>
    <xf numFmtId="0" fontId="0" fillId="0" borderId="0" xfId="0" quotePrefix="1" applyBorder="1" applyProtection="1"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4" fillId="0" borderId="9" xfId="0" applyFont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3" fillId="0" borderId="0" xfId="0" applyFont="1" applyBorder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center" vertical="center"/>
      <protection locked="0"/>
    </xf>
    <xf numFmtId="0" fontId="5" fillId="0" borderId="0" xfId="0" applyFont="1" applyBorder="1" applyAlignment="1" applyProtection="1">
      <alignment horizontal="left"/>
      <protection locked="0"/>
    </xf>
    <xf numFmtId="0" fontId="5" fillId="0" borderId="0" xfId="0" applyFont="1" applyBorder="1" applyProtection="1">
      <protection locked="0"/>
    </xf>
    <xf numFmtId="0" fontId="6" fillId="0" borderId="0" xfId="0" applyFont="1" applyBorder="1" applyProtection="1">
      <protection locked="0"/>
    </xf>
    <xf numFmtId="164" fontId="0" fillId="0" borderId="0" xfId="0" applyNumberFormat="1" applyBorder="1" applyProtection="1">
      <protection locked="0"/>
    </xf>
    <xf numFmtId="10" fontId="0" fillId="0" borderId="0" xfId="0" applyNumberFormat="1" applyBorder="1" applyProtection="1">
      <protection locked="0"/>
    </xf>
    <xf numFmtId="0" fontId="5" fillId="4" borderId="12" xfId="0" applyFont="1" applyFill="1" applyBorder="1" applyAlignment="1" applyProtection="1">
      <alignment horizontal="center" vertical="center"/>
      <protection locked="0"/>
    </xf>
    <xf numFmtId="0" fontId="5" fillId="4" borderId="13" xfId="0" applyFont="1" applyFill="1" applyBorder="1" applyAlignment="1" applyProtection="1">
      <alignment horizontal="center" vertical="center"/>
      <protection locked="0"/>
    </xf>
    <xf numFmtId="0" fontId="5" fillId="4" borderId="14" xfId="0" applyFont="1" applyFill="1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5" fillId="4" borderId="16" xfId="0" applyFont="1" applyFill="1" applyBorder="1" applyAlignment="1" applyProtection="1">
      <alignment horizontal="center" vertical="center" wrapText="1"/>
      <protection locked="0"/>
    </xf>
    <xf numFmtId="0" fontId="5" fillId="4" borderId="18" xfId="0" applyFont="1" applyFill="1" applyBorder="1" applyAlignment="1" applyProtection="1">
      <alignment horizontal="center" vertical="center" wrapText="1"/>
      <protection locked="0"/>
    </xf>
    <xf numFmtId="3" fontId="7" fillId="0" borderId="12" xfId="0" applyNumberFormat="1" applyFont="1" applyBorder="1" applyAlignment="1" applyProtection="1">
      <alignment horizontal="center" vertical="center"/>
      <protection locked="0"/>
    </xf>
    <xf numFmtId="3" fontId="7" fillId="0" borderId="14" xfId="0" applyNumberFormat="1" applyFont="1" applyBorder="1" applyAlignment="1" applyProtection="1">
      <alignment horizontal="center" vertical="center"/>
      <protection locked="0"/>
    </xf>
    <xf numFmtId="3" fontId="7" fillId="5" borderId="14" xfId="0" applyNumberFormat="1" applyFont="1" applyFill="1" applyBorder="1" applyAlignment="1" applyProtection="1">
      <alignment horizontal="center" vertical="center"/>
      <protection locked="0"/>
    </xf>
    <xf numFmtId="10" fontId="7" fillId="5" borderId="14" xfId="0" applyNumberFormat="1" applyFont="1" applyFill="1" applyBorder="1" applyAlignment="1" applyProtection="1">
      <alignment horizontal="center" vertical="center"/>
      <protection locked="0"/>
    </xf>
    <xf numFmtId="10" fontId="7" fillId="0" borderId="14" xfId="0" applyNumberFormat="1" applyFont="1" applyBorder="1" applyAlignment="1" applyProtection="1">
      <alignment horizontal="center" vertical="center"/>
      <protection locked="0"/>
    </xf>
    <xf numFmtId="10" fontId="8" fillId="0" borderId="9" xfId="0" applyNumberFormat="1" applyFont="1" applyBorder="1" applyProtection="1">
      <protection locked="0"/>
    </xf>
    <xf numFmtId="10" fontId="0" fillId="0" borderId="0" xfId="1" applyNumberFormat="1" applyFont="1" applyAlignment="1" applyProtection="1">
      <alignment horizontal="right" vertical="center"/>
      <protection locked="0"/>
    </xf>
    <xf numFmtId="0" fontId="4" fillId="0" borderId="0" xfId="0" applyFont="1" applyAlignment="1" applyProtection="1">
      <alignment horizontal="left"/>
      <protection locked="0"/>
    </xf>
    <xf numFmtId="3" fontId="7" fillId="0" borderId="20" xfId="0" applyNumberFormat="1" applyFont="1" applyBorder="1" applyAlignment="1" applyProtection="1">
      <alignment horizontal="center" vertical="center"/>
      <protection locked="0"/>
    </xf>
    <xf numFmtId="3" fontId="7" fillId="0" borderId="21" xfId="0" applyNumberFormat="1" applyFont="1" applyBorder="1" applyAlignment="1" applyProtection="1">
      <alignment horizontal="center" vertical="center"/>
      <protection locked="0"/>
    </xf>
    <xf numFmtId="3" fontId="7" fillId="5" borderId="21" xfId="0" applyNumberFormat="1" applyFont="1" applyFill="1" applyBorder="1" applyAlignment="1" applyProtection="1">
      <alignment horizontal="center" vertical="center"/>
      <protection locked="0"/>
    </xf>
    <xf numFmtId="10" fontId="7" fillId="5" borderId="21" xfId="0" applyNumberFormat="1" applyFont="1" applyFill="1" applyBorder="1" applyAlignment="1" applyProtection="1">
      <alignment horizontal="center" vertical="center"/>
      <protection locked="0"/>
    </xf>
    <xf numFmtId="10" fontId="7" fillId="0" borderId="21" xfId="0" applyNumberFormat="1" applyFont="1" applyBorder="1" applyAlignment="1" applyProtection="1">
      <alignment horizontal="center" vertical="center"/>
      <protection locked="0"/>
    </xf>
    <xf numFmtId="164" fontId="0" fillId="0" borderId="9" xfId="0" applyNumberFormat="1" applyBorder="1" applyProtection="1">
      <protection locked="0"/>
    </xf>
    <xf numFmtId="3" fontId="7" fillId="0" borderId="16" xfId="0" applyNumberFormat="1" applyFont="1" applyBorder="1" applyAlignment="1" applyProtection="1">
      <alignment horizontal="center" vertical="center"/>
      <protection locked="0"/>
    </xf>
    <xf numFmtId="3" fontId="7" fillId="0" borderId="18" xfId="0" applyNumberFormat="1" applyFont="1" applyBorder="1" applyAlignment="1" applyProtection="1">
      <alignment horizontal="center" vertical="center"/>
      <protection locked="0"/>
    </xf>
    <xf numFmtId="10" fontId="7" fillId="0" borderId="18" xfId="0" applyNumberFormat="1" applyFont="1" applyBorder="1" applyAlignment="1" applyProtection="1">
      <alignment horizontal="center" vertical="center"/>
      <protection locked="0"/>
    </xf>
    <xf numFmtId="3" fontId="7" fillId="0" borderId="22" xfId="0" applyNumberFormat="1" applyFont="1" applyBorder="1" applyAlignment="1" applyProtection="1">
      <alignment horizontal="center" vertical="center"/>
      <protection locked="0"/>
    </xf>
    <xf numFmtId="3" fontId="7" fillId="0" borderId="23" xfId="0" applyNumberFormat="1" applyFont="1" applyBorder="1" applyAlignment="1" applyProtection="1">
      <alignment horizontal="center" vertical="center"/>
      <protection locked="0"/>
    </xf>
    <xf numFmtId="3" fontId="7" fillId="5" borderId="23" xfId="0" applyNumberFormat="1" applyFont="1" applyFill="1" applyBorder="1" applyAlignment="1" applyProtection="1">
      <alignment horizontal="center" vertical="center"/>
      <protection locked="0"/>
    </xf>
    <xf numFmtId="10" fontId="7" fillId="5" borderId="23" xfId="0" applyNumberFormat="1" applyFont="1" applyFill="1" applyBorder="1" applyAlignment="1" applyProtection="1">
      <alignment horizontal="center" vertical="center"/>
      <protection locked="0"/>
    </xf>
    <xf numFmtId="10" fontId="7" fillId="0" borderId="23" xfId="0" applyNumberFormat="1" applyFon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5" fillId="0" borderId="0" xfId="0" applyFont="1" applyBorder="1" applyAlignment="1" applyProtection="1">
      <alignment horizontal="left" vertical="center"/>
      <protection locked="0"/>
    </xf>
    <xf numFmtId="0" fontId="5" fillId="0" borderId="0" xfId="0" applyFont="1" applyBorder="1" applyAlignment="1" applyProtection="1">
      <alignment horizontal="center" vertical="center"/>
      <protection locked="0"/>
    </xf>
    <xf numFmtId="0" fontId="6" fillId="0" borderId="0" xfId="0" applyFont="1" applyBorder="1" applyAlignment="1" applyProtection="1">
      <alignment horizontal="center" vertical="center"/>
      <protection locked="0"/>
    </xf>
    <xf numFmtId="164" fontId="0" fillId="0" borderId="0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Border="1" applyAlignment="1" applyProtection="1">
      <alignment horizontal="center" vertical="center"/>
      <protection locked="0"/>
    </xf>
    <xf numFmtId="0" fontId="9" fillId="0" borderId="0" xfId="0" applyFont="1" applyBorder="1" applyProtection="1">
      <protection locked="0"/>
    </xf>
    <xf numFmtId="10" fontId="0" fillId="0" borderId="0" xfId="1" applyNumberFormat="1" applyFont="1" applyBorder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left"/>
      <protection locked="0"/>
    </xf>
    <xf numFmtId="0" fontId="0" fillId="0" borderId="0" xfId="0" applyBorder="1" applyAlignment="1" applyProtection="1">
      <alignment horizontal="left"/>
      <protection locked="0"/>
    </xf>
    <xf numFmtId="0" fontId="0" fillId="0" borderId="10" xfId="0" applyBorder="1" applyProtection="1">
      <protection locked="0"/>
    </xf>
    <xf numFmtId="10" fontId="0" fillId="0" borderId="24" xfId="1" applyNumberFormat="1" applyFont="1" applyBorder="1" applyAlignment="1" applyProtection="1">
      <alignment horizontal="center" vertical="center"/>
      <protection locked="0"/>
    </xf>
    <xf numFmtId="0" fontId="4" fillId="0" borderId="24" xfId="0" applyFont="1" applyBorder="1" applyAlignment="1" applyProtection="1">
      <alignment horizontal="left"/>
      <protection locked="0"/>
    </xf>
    <xf numFmtId="0" fontId="0" fillId="0" borderId="24" xfId="0" applyBorder="1" applyAlignment="1" applyProtection="1">
      <alignment horizontal="left"/>
      <protection locked="0"/>
    </xf>
    <xf numFmtId="0" fontId="0" fillId="0" borderId="24" xfId="0" applyBorder="1" applyProtection="1">
      <protection locked="0"/>
    </xf>
    <xf numFmtId="0" fontId="0" fillId="0" borderId="11" xfId="0" applyBorder="1" applyProtection="1">
      <protection locked="0"/>
    </xf>
    <xf numFmtId="14" fontId="3" fillId="0" borderId="0" xfId="0" applyNumberFormat="1" applyFont="1" applyBorder="1" applyAlignment="1" applyProtection="1">
      <alignment horizontal="center" vertical="center"/>
      <protection locked="0"/>
    </xf>
    <xf numFmtId="0" fontId="3" fillId="4" borderId="18" xfId="0" applyFont="1" applyFill="1" applyBorder="1" applyAlignment="1" applyProtection="1">
      <alignment horizontal="center" vertical="center" wrapText="1"/>
      <protection locked="0"/>
    </xf>
    <xf numFmtId="9" fontId="7" fillId="0" borderId="14" xfId="0" applyNumberFormat="1" applyFont="1" applyBorder="1" applyAlignment="1" applyProtection="1">
      <alignment horizontal="center" vertical="center"/>
      <protection locked="0"/>
    </xf>
    <xf numFmtId="166" fontId="7" fillId="0" borderId="14" xfId="0" applyNumberFormat="1" applyFont="1" applyBorder="1" applyAlignment="1" applyProtection="1">
      <alignment horizontal="center" vertical="center"/>
      <protection locked="0"/>
    </xf>
    <xf numFmtId="14" fontId="3" fillId="0" borderId="7" xfId="0" applyNumberFormat="1" applyFont="1" applyBorder="1" applyAlignment="1" applyProtection="1">
      <alignment horizontal="right" vertical="center"/>
      <protection locked="0"/>
    </xf>
    <xf numFmtId="14" fontId="3" fillId="0" borderId="8" xfId="0" applyNumberFormat="1" applyFont="1" applyBorder="1" applyAlignment="1" applyProtection="1">
      <alignment horizontal="left" vertical="center"/>
      <protection locked="0"/>
    </xf>
    <xf numFmtId="14" fontId="3" fillId="0" borderId="7" xfId="0" applyNumberFormat="1" applyFont="1" applyBorder="1" applyAlignment="1" applyProtection="1">
      <alignment horizontal="center" vertical="center"/>
      <protection locked="0"/>
    </xf>
    <xf numFmtId="0" fontId="6" fillId="0" borderId="4" xfId="0" applyFont="1" applyBorder="1" applyAlignment="1" applyProtection="1">
      <alignment horizontal="center" vertical="center"/>
      <protection locked="0"/>
    </xf>
    <xf numFmtId="0" fontId="6" fillId="0" borderId="9" xfId="0" applyFont="1" applyBorder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0" fontId="5" fillId="4" borderId="15" xfId="0" applyFont="1" applyFill="1" applyBorder="1" applyAlignment="1" applyProtection="1">
      <alignment horizontal="center" vertical="center"/>
      <protection locked="0"/>
    </xf>
    <xf numFmtId="0" fontId="5" fillId="4" borderId="17" xfId="0" applyFont="1" applyFill="1" applyBorder="1" applyAlignment="1" applyProtection="1">
      <alignment horizontal="center" vertical="center" wrapText="1"/>
      <protection locked="0"/>
    </xf>
    <xf numFmtId="0" fontId="5" fillId="5" borderId="18" xfId="0" applyFont="1" applyFill="1" applyBorder="1" applyAlignment="1" applyProtection="1">
      <alignment horizontal="center" vertical="center" wrapText="1"/>
      <protection locked="0"/>
    </xf>
    <xf numFmtId="0" fontId="16" fillId="4" borderId="18" xfId="0" applyFont="1" applyFill="1" applyBorder="1" applyAlignment="1" applyProtection="1">
      <alignment horizontal="center" vertical="center" wrapText="1"/>
      <protection locked="0"/>
    </xf>
    <xf numFmtId="0" fontId="5" fillId="4" borderId="19" xfId="0" applyFont="1" applyFill="1" applyBorder="1" applyAlignment="1" applyProtection="1">
      <alignment horizontal="center" vertical="center" wrapText="1"/>
      <protection locked="0"/>
    </xf>
    <xf numFmtId="0" fontId="3" fillId="4" borderId="17" xfId="0" applyFont="1" applyFill="1" applyBorder="1" applyAlignment="1" applyProtection="1">
      <alignment horizontal="center" vertical="center" wrapText="1"/>
      <protection locked="0"/>
    </xf>
    <xf numFmtId="0" fontId="3" fillId="4" borderId="14" xfId="0" applyFont="1" applyFill="1" applyBorder="1" applyAlignment="1" applyProtection="1">
      <alignment horizontal="center" vertical="center"/>
      <protection locked="0"/>
    </xf>
    <xf numFmtId="0" fontId="3" fillId="5" borderId="14" xfId="0" applyFont="1" applyFill="1" applyBorder="1" applyAlignment="1" applyProtection="1">
      <alignment horizontal="center" vertical="center"/>
      <protection locked="0"/>
    </xf>
    <xf numFmtId="0" fontId="3" fillId="4" borderId="15" xfId="0" applyFont="1" applyFill="1" applyBorder="1" applyAlignment="1" applyProtection="1">
      <alignment horizontal="center" vertical="center"/>
      <protection locked="0"/>
    </xf>
    <xf numFmtId="0" fontId="3" fillId="5" borderId="18" xfId="0" applyFont="1" applyFill="1" applyBorder="1" applyAlignment="1" applyProtection="1">
      <alignment horizontal="center" vertical="center" wrapText="1"/>
      <protection locked="0"/>
    </xf>
    <xf numFmtId="0" fontId="3" fillId="4" borderId="19" xfId="0" applyFont="1" applyFill="1" applyBorder="1" applyAlignment="1" applyProtection="1">
      <alignment horizontal="center" vertical="center" wrapText="1"/>
      <protection locked="0"/>
    </xf>
    <xf numFmtId="0" fontId="19" fillId="0" borderId="11" xfId="16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14" fontId="3" fillId="0" borderId="0" xfId="0" applyNumberFormat="1" applyFont="1" applyBorder="1" applyAlignment="1" applyProtection="1">
      <alignment horizontal="left" vertical="center"/>
      <protection locked="0"/>
    </xf>
    <xf numFmtId="3" fontId="0" fillId="0" borderId="0" xfId="0" applyNumberFormat="1" applyBorder="1" applyProtection="1">
      <protection locked="0"/>
    </xf>
    <xf numFmtId="0" fontId="21" fillId="0" borderId="2" xfId="0" applyFont="1" applyBorder="1" applyAlignment="1" applyProtection="1">
      <alignment horizontal="center" vertical="center"/>
      <protection locked="0"/>
    </xf>
    <xf numFmtId="0" fontId="21" fillId="0" borderId="4" xfId="0" applyFont="1" applyBorder="1" applyAlignment="1" applyProtection="1">
      <alignment horizontal="center" vertical="center"/>
      <protection locked="0"/>
    </xf>
  </cellXfs>
  <cellStyles count="17">
    <cellStyle name="Dane wejściowe 2" xfId="2"/>
    <cellStyle name="Hiperłącze" xfId="16" builtinId="8"/>
    <cellStyle name="Neutralne 2" xfId="3"/>
    <cellStyle name="Normal 2" xfId="4"/>
    <cellStyle name="Normalny" xfId="0" builtinId="0"/>
    <cellStyle name="Normalny 2" xfId="5"/>
    <cellStyle name="Normalny 2 2" xfId="6"/>
    <cellStyle name="Normalny 2 2 2" xfId="7"/>
    <cellStyle name="Normalny 2 3" xfId="8"/>
    <cellStyle name="Normalny 3" xfId="9"/>
    <cellStyle name="Normalny 3 2" xfId="10"/>
    <cellStyle name="Normalny 4" xfId="11"/>
    <cellStyle name="Normalny 5" xfId="12"/>
    <cellStyle name="Normalny 6" xfId="13"/>
    <cellStyle name="Procentowy" xfId="1" builtinId="5"/>
    <cellStyle name="Procentowy 2" xfId="14"/>
    <cellStyle name="Walutowy 2" xfId="15"/>
  </cellStyles>
  <dxfs count="1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1145241</xdr:colOff>
          <xdr:row>46</xdr:row>
          <xdr:rowOff>114300</xdr:rowOff>
        </xdr:from>
        <xdr:to>
          <xdr:col>10</xdr:col>
          <xdr:colOff>697567</xdr:colOff>
          <xdr:row>50</xdr:row>
          <xdr:rowOff>84045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Confirmed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echanic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 &amp; P - Mechanical"/>
    </sheetNames>
    <definedNames>
      <definedName name="Przycisk1_Kliknięcie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aporty.godzin@ilf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A1:GF198"/>
  <sheetViews>
    <sheetView showGridLines="0" tabSelected="1" zoomScale="70" zoomScaleNormal="70" workbookViewId="0">
      <selection activeCell="L8" sqref="L8"/>
    </sheetView>
  </sheetViews>
  <sheetFormatPr defaultColWidth="0" defaultRowHeight="12.75" zeroHeight="1" x14ac:dyDescent="0.2"/>
  <cols>
    <col min="1" max="1" width="15.28515625" style="5" customWidth="1"/>
    <col min="2" max="2" width="17.28515625" style="5" customWidth="1"/>
    <col min="3" max="3" width="22.140625" style="5" customWidth="1"/>
    <col min="4" max="4" width="17.28515625" style="5" customWidth="1"/>
    <col min="5" max="5" width="21.42578125" style="5" bestFit="1" customWidth="1"/>
    <col min="6" max="12" width="17.28515625" style="5" customWidth="1"/>
    <col min="13" max="13" width="18.85546875" style="5" bestFit="1" customWidth="1"/>
    <col min="14" max="15" width="16.85546875" style="5" customWidth="1"/>
    <col min="16" max="36" width="16.85546875" style="5" hidden="1" customWidth="1"/>
    <col min="37" max="37" width="18.85546875" style="5" hidden="1" customWidth="1"/>
    <col min="38" max="39" width="20.28515625" style="5" hidden="1" customWidth="1"/>
    <col min="40" max="41" width="26.42578125" style="5" hidden="1" customWidth="1"/>
    <col min="42" max="186" width="10.5703125" style="5" hidden="1" customWidth="1"/>
    <col min="187" max="187" width="15.42578125" style="5" hidden="1" customWidth="1"/>
    <col min="188" max="188" width="15.42578125" style="5" hidden="1"/>
    <col min="189" max="16384" width="15.28515625" style="5" hidden="1"/>
  </cols>
  <sheetData>
    <row r="1" spans="1:18" ht="16.5" thickBot="1" x14ac:dyDescent="0.2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"/>
      <c r="O1" s="4"/>
    </row>
    <row r="2" spans="1:18" ht="42.75" customHeight="1" thickBot="1" x14ac:dyDescent="0.25">
      <c r="A2" s="6"/>
      <c r="B2" s="101" t="s">
        <v>22</v>
      </c>
      <c r="C2" s="102"/>
      <c r="D2" s="7"/>
      <c r="E2" s="8" t="s">
        <v>33</v>
      </c>
      <c r="F2" s="72">
        <v>42782</v>
      </c>
      <c r="G2" s="74" t="s">
        <v>32</v>
      </c>
      <c r="H2" s="73" t="s">
        <v>52</v>
      </c>
      <c r="I2" s="99"/>
      <c r="J2" s="7"/>
      <c r="K2" s="7"/>
      <c r="L2" s="7"/>
      <c r="M2" s="7"/>
      <c r="N2" s="9"/>
      <c r="O2" s="10"/>
    </row>
    <row r="3" spans="1:18" ht="42.75" customHeight="1" thickBot="1" x14ac:dyDescent="0.25">
      <c r="A3" s="6"/>
      <c r="B3" s="11" t="s">
        <v>23</v>
      </c>
      <c r="C3" s="75" t="s">
        <v>24</v>
      </c>
      <c r="D3" s="7"/>
      <c r="E3" s="68"/>
      <c r="F3" s="68"/>
      <c r="G3" s="68"/>
      <c r="H3" s="68"/>
      <c r="I3" s="68"/>
      <c r="J3" s="7"/>
      <c r="K3" s="7"/>
      <c r="L3" s="7"/>
      <c r="M3" s="7"/>
      <c r="N3" s="9"/>
      <c r="O3" s="10"/>
    </row>
    <row r="4" spans="1:18" ht="42.75" customHeight="1" thickBot="1" x14ac:dyDescent="0.25">
      <c r="A4" s="6"/>
      <c r="B4" s="11" t="s">
        <v>25</v>
      </c>
      <c r="C4" s="75" t="s">
        <v>26</v>
      </c>
      <c r="D4" s="7"/>
      <c r="E4" s="68"/>
      <c r="F4" s="68"/>
      <c r="G4" s="68"/>
      <c r="H4" s="68"/>
      <c r="I4" s="68"/>
      <c r="J4" s="7"/>
      <c r="K4" s="7"/>
      <c r="L4" s="7"/>
      <c r="M4" s="7"/>
      <c r="N4" s="9"/>
      <c r="O4" s="10"/>
    </row>
    <row r="5" spans="1:18" ht="42.75" customHeight="1" x14ac:dyDescent="0.2">
      <c r="A5" s="6"/>
      <c r="B5" s="11" t="s">
        <v>0</v>
      </c>
      <c r="C5" s="12" t="s">
        <v>34</v>
      </c>
      <c r="D5" s="7"/>
      <c r="E5" s="13"/>
      <c r="F5" s="13"/>
      <c r="G5" s="7"/>
      <c r="H5" s="7"/>
      <c r="I5" s="7"/>
      <c r="J5" s="7"/>
      <c r="K5" s="7"/>
      <c r="L5" s="7"/>
      <c r="M5" s="7"/>
      <c r="N5" s="9"/>
      <c r="O5" s="10"/>
    </row>
    <row r="6" spans="1:18" ht="42.75" customHeight="1" x14ac:dyDescent="0.2">
      <c r="A6" s="6"/>
      <c r="B6" s="14" t="s">
        <v>27</v>
      </c>
      <c r="C6" s="76" t="s">
        <v>1</v>
      </c>
      <c r="D6" s="7"/>
      <c r="E6" s="13"/>
      <c r="F6" s="13"/>
      <c r="G6" s="7"/>
      <c r="H6" s="7"/>
      <c r="I6" s="7"/>
      <c r="J6" s="7"/>
      <c r="K6" s="7"/>
      <c r="L6" s="7"/>
      <c r="M6" s="7"/>
      <c r="N6" s="9"/>
      <c r="O6" s="10"/>
    </row>
    <row r="7" spans="1:18" ht="42.75" customHeight="1" x14ac:dyDescent="0.2">
      <c r="A7" s="6"/>
      <c r="B7" s="14" t="s">
        <v>28</v>
      </c>
      <c r="C7" s="76" t="s">
        <v>29</v>
      </c>
      <c r="D7" s="7"/>
      <c r="E7" s="13"/>
      <c r="F7" s="13"/>
      <c r="G7" s="7"/>
      <c r="H7" s="7"/>
      <c r="I7" s="7"/>
      <c r="J7" s="7"/>
      <c r="K7" s="7"/>
      <c r="L7" s="7"/>
      <c r="M7" s="7"/>
      <c r="N7" s="9"/>
      <c r="O7" s="10"/>
    </row>
    <row r="8" spans="1:18" ht="42.75" customHeight="1" x14ac:dyDescent="0.2">
      <c r="A8" s="6"/>
      <c r="B8" s="14" t="s">
        <v>2</v>
      </c>
      <c r="C8" s="15" t="s">
        <v>3</v>
      </c>
      <c r="D8" s="7"/>
      <c r="E8" s="7"/>
      <c r="F8" s="7"/>
      <c r="G8" s="7"/>
      <c r="H8" s="7"/>
      <c r="I8" s="7"/>
      <c r="J8" s="7"/>
      <c r="K8" s="7"/>
      <c r="L8" s="7"/>
      <c r="M8" s="7"/>
      <c r="N8" s="9"/>
      <c r="O8" s="10"/>
    </row>
    <row r="9" spans="1:18" ht="42.75" customHeight="1" thickBot="1" x14ac:dyDescent="0.25">
      <c r="A9" s="6"/>
      <c r="B9" s="16" t="s">
        <v>4</v>
      </c>
      <c r="C9" s="89" t="s">
        <v>60</v>
      </c>
      <c r="D9" s="7"/>
      <c r="E9" s="7"/>
      <c r="F9" s="7"/>
      <c r="G9" s="7"/>
      <c r="H9" s="7"/>
      <c r="I9" s="7"/>
      <c r="J9" s="7"/>
      <c r="K9" s="7"/>
      <c r="L9" s="7"/>
      <c r="M9" s="7"/>
      <c r="N9" s="9"/>
      <c r="O9" s="10"/>
    </row>
    <row r="10" spans="1:18" ht="15.75" x14ac:dyDescent="0.2">
      <c r="A10" s="6"/>
      <c r="B10" s="17"/>
      <c r="C10" s="18"/>
      <c r="D10" s="7"/>
      <c r="E10" s="7"/>
      <c r="F10" s="7"/>
      <c r="G10" s="7"/>
      <c r="H10" s="7"/>
      <c r="I10" s="7"/>
      <c r="J10" s="7"/>
      <c r="K10" s="7"/>
      <c r="L10" s="7"/>
      <c r="M10" s="7"/>
      <c r="N10" s="9"/>
      <c r="O10" s="10"/>
    </row>
    <row r="11" spans="1:18" x14ac:dyDescent="0.2">
      <c r="A11" s="6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10"/>
    </row>
    <row r="12" spans="1:18" x14ac:dyDescent="0.2">
      <c r="A12" s="6"/>
      <c r="B12" s="19" t="s">
        <v>35</v>
      </c>
      <c r="C12" s="20"/>
      <c r="D12" s="20"/>
      <c r="E12" s="21"/>
      <c r="F12" s="21"/>
      <c r="G12" s="22"/>
      <c r="H12" s="9"/>
      <c r="I12" s="9"/>
      <c r="J12" s="23"/>
      <c r="K12" s="9"/>
      <c r="L12" s="100"/>
      <c r="M12" s="9"/>
      <c r="N12" s="9"/>
      <c r="O12" s="10"/>
    </row>
    <row r="13" spans="1:18" ht="13.5" thickBot="1" x14ac:dyDescent="0.25">
      <c r="A13" s="6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10"/>
    </row>
    <row r="14" spans="1:18" x14ac:dyDescent="0.2">
      <c r="A14" s="6"/>
      <c r="B14" s="24"/>
      <c r="C14" s="25" t="s">
        <v>5</v>
      </c>
      <c r="D14" s="26" t="s">
        <v>6</v>
      </c>
      <c r="E14" s="26" t="s">
        <v>31</v>
      </c>
      <c r="F14" s="26" t="s">
        <v>7</v>
      </c>
      <c r="G14" s="26" t="s">
        <v>44</v>
      </c>
      <c r="H14" s="77" t="s">
        <v>63</v>
      </c>
      <c r="I14" s="26" t="s">
        <v>64</v>
      </c>
      <c r="J14" s="77" t="s">
        <v>65</v>
      </c>
      <c r="K14" s="26" t="s">
        <v>43</v>
      </c>
      <c r="L14" s="26" t="s">
        <v>66</v>
      </c>
      <c r="M14" s="26" t="s">
        <v>46</v>
      </c>
      <c r="N14" s="78" t="s">
        <v>47</v>
      </c>
      <c r="O14" s="27"/>
    </row>
    <row r="15" spans="1:18" ht="77.25" thickBot="1" x14ac:dyDescent="0.25">
      <c r="A15" s="6"/>
      <c r="B15" s="28" t="s">
        <v>36</v>
      </c>
      <c r="C15" s="79" t="s">
        <v>37</v>
      </c>
      <c r="D15" s="29" t="s">
        <v>38</v>
      </c>
      <c r="E15" s="29" t="s">
        <v>39</v>
      </c>
      <c r="F15" s="29" t="s">
        <v>30</v>
      </c>
      <c r="G15" s="29" t="s">
        <v>49</v>
      </c>
      <c r="H15" s="80" t="s">
        <v>41</v>
      </c>
      <c r="I15" s="29" t="s">
        <v>40</v>
      </c>
      <c r="J15" s="80" t="s">
        <v>42</v>
      </c>
      <c r="K15" s="29" t="s">
        <v>50</v>
      </c>
      <c r="L15" s="29" t="s">
        <v>45</v>
      </c>
      <c r="M15" s="81" t="s">
        <v>51</v>
      </c>
      <c r="N15" s="82" t="s">
        <v>48</v>
      </c>
      <c r="O15" s="10"/>
    </row>
    <row r="16" spans="1:18" x14ac:dyDescent="0.2">
      <c r="A16" s="6"/>
      <c r="B16" s="30" t="s">
        <v>11</v>
      </c>
      <c r="C16" s="31">
        <v>172</v>
      </c>
      <c r="D16" s="31">
        <v>132</v>
      </c>
      <c r="E16" s="31">
        <f>D16-C16</f>
        <v>-40</v>
      </c>
      <c r="F16" s="70">
        <f>ABS(E16/C16)</f>
        <v>0.23255813953488372</v>
      </c>
      <c r="G16" s="31">
        <v>4156</v>
      </c>
      <c r="H16" s="32">
        <f>G16-I16</f>
        <v>3918</v>
      </c>
      <c r="I16" s="31">
        <v>238</v>
      </c>
      <c r="J16" s="33">
        <f>I16/G16</f>
        <v>5.7266602502406158E-2</v>
      </c>
      <c r="K16" s="31">
        <v>1699.2000000000003</v>
      </c>
      <c r="L16" s="31">
        <f>I16+K16</f>
        <v>1937.2000000000003</v>
      </c>
      <c r="M16" s="31">
        <f>L16-G16</f>
        <v>-2218.7999999999997</v>
      </c>
      <c r="N16" s="71">
        <f>L16/G16</f>
        <v>0.46612127045235813</v>
      </c>
      <c r="O16" s="35"/>
      <c r="P16" s="36"/>
      <c r="Q16" s="37"/>
      <c r="R16" s="37"/>
    </row>
    <row r="17" spans="1:18" x14ac:dyDescent="0.2">
      <c r="A17" s="6"/>
      <c r="B17" s="38" t="s">
        <v>12</v>
      </c>
      <c r="C17" s="39">
        <v>0</v>
      </c>
      <c r="D17" s="39">
        <v>0</v>
      </c>
      <c r="E17" s="39">
        <v>0</v>
      </c>
      <c r="F17" s="39"/>
      <c r="G17" s="39">
        <v>364.00000000000006</v>
      </c>
      <c r="H17" s="40">
        <v>364.00000000000006</v>
      </c>
      <c r="I17" s="39">
        <v>0</v>
      </c>
      <c r="J17" s="41">
        <v>0</v>
      </c>
      <c r="K17" s="39">
        <v>0</v>
      </c>
      <c r="L17" s="39">
        <v>0</v>
      </c>
      <c r="M17" s="39">
        <v>-364.00000000000006</v>
      </c>
      <c r="N17" s="42">
        <v>-1</v>
      </c>
      <c r="O17" s="35"/>
      <c r="P17" s="36"/>
      <c r="Q17" s="37"/>
      <c r="R17" s="37"/>
    </row>
    <row r="18" spans="1:18" x14ac:dyDescent="0.2">
      <c r="A18" s="6"/>
      <c r="B18" s="38" t="s">
        <v>13</v>
      </c>
      <c r="C18" s="39">
        <v>0</v>
      </c>
      <c r="D18" s="39">
        <v>0</v>
      </c>
      <c r="E18" s="39">
        <v>0</v>
      </c>
      <c r="F18" s="39"/>
      <c r="G18" s="39">
        <v>0</v>
      </c>
      <c r="H18" s="40">
        <v>0</v>
      </c>
      <c r="I18" s="39">
        <v>0</v>
      </c>
      <c r="J18" s="41" t="s">
        <v>14</v>
      </c>
      <c r="K18" s="39">
        <v>0</v>
      </c>
      <c r="L18" s="39">
        <v>0</v>
      </c>
      <c r="M18" s="39">
        <v>0</v>
      </c>
      <c r="N18" s="42" t="s">
        <v>14</v>
      </c>
      <c r="O18" s="35"/>
      <c r="P18" s="36"/>
      <c r="Q18" s="37"/>
      <c r="R18" s="37"/>
    </row>
    <row r="19" spans="1:18" x14ac:dyDescent="0.2">
      <c r="A19" s="6"/>
      <c r="B19" s="38" t="s">
        <v>15</v>
      </c>
      <c r="C19" s="39">
        <v>0</v>
      </c>
      <c r="D19" s="39">
        <v>0</v>
      </c>
      <c r="E19" s="39">
        <v>0</v>
      </c>
      <c r="F19" s="39"/>
      <c r="G19" s="39">
        <v>0</v>
      </c>
      <c r="H19" s="40">
        <v>0</v>
      </c>
      <c r="I19" s="39">
        <v>0</v>
      </c>
      <c r="J19" s="41" t="s">
        <v>14</v>
      </c>
      <c r="K19" s="39">
        <v>0</v>
      </c>
      <c r="L19" s="39">
        <v>0</v>
      </c>
      <c r="M19" s="39">
        <v>0</v>
      </c>
      <c r="N19" s="42" t="s">
        <v>14</v>
      </c>
      <c r="O19" s="10"/>
      <c r="P19" s="36"/>
      <c r="Q19" s="37"/>
    </row>
    <row r="20" spans="1:18" x14ac:dyDescent="0.2">
      <c r="A20" s="6"/>
      <c r="B20" s="38" t="s">
        <v>16</v>
      </c>
      <c r="C20" s="39">
        <v>0</v>
      </c>
      <c r="D20" s="39">
        <v>0</v>
      </c>
      <c r="E20" s="39">
        <v>0</v>
      </c>
      <c r="F20" s="39"/>
      <c r="G20" s="39">
        <v>25.2</v>
      </c>
      <c r="H20" s="40">
        <v>25.2</v>
      </c>
      <c r="I20" s="39">
        <v>0</v>
      </c>
      <c r="J20" s="41">
        <v>0</v>
      </c>
      <c r="K20" s="39">
        <v>25.2</v>
      </c>
      <c r="L20" s="39">
        <v>25.2</v>
      </c>
      <c r="M20" s="39">
        <v>0</v>
      </c>
      <c r="N20" s="42">
        <v>0</v>
      </c>
      <c r="O20" s="10"/>
      <c r="P20" s="36"/>
      <c r="Q20" s="37"/>
    </row>
    <row r="21" spans="1:18" x14ac:dyDescent="0.2">
      <c r="A21" s="6"/>
      <c r="B21" s="38" t="s">
        <v>17</v>
      </c>
      <c r="C21" s="39">
        <v>0</v>
      </c>
      <c r="D21" s="39">
        <v>0</v>
      </c>
      <c r="E21" s="39">
        <v>0</v>
      </c>
      <c r="F21" s="39"/>
      <c r="G21" s="39">
        <v>0</v>
      </c>
      <c r="H21" s="40">
        <v>0</v>
      </c>
      <c r="I21" s="39">
        <v>0</v>
      </c>
      <c r="J21" s="41" t="s">
        <v>14</v>
      </c>
      <c r="K21" s="39">
        <v>0</v>
      </c>
      <c r="L21" s="39">
        <v>0</v>
      </c>
      <c r="M21" s="39">
        <v>0</v>
      </c>
      <c r="N21" s="42" t="s">
        <v>14</v>
      </c>
      <c r="O21" s="43"/>
      <c r="P21" s="36"/>
      <c r="Q21" s="37"/>
    </row>
    <row r="22" spans="1:18" x14ac:dyDescent="0.2">
      <c r="A22" s="6"/>
      <c r="B22" s="38" t="s">
        <v>18</v>
      </c>
      <c r="C22" s="39">
        <v>0</v>
      </c>
      <c r="D22" s="39">
        <v>0</v>
      </c>
      <c r="E22" s="39">
        <v>0</v>
      </c>
      <c r="F22" s="39"/>
      <c r="G22" s="39">
        <v>0</v>
      </c>
      <c r="H22" s="40">
        <v>0</v>
      </c>
      <c r="I22" s="39">
        <v>0</v>
      </c>
      <c r="J22" s="41" t="s">
        <v>14</v>
      </c>
      <c r="K22" s="39">
        <v>0</v>
      </c>
      <c r="L22" s="39">
        <v>0</v>
      </c>
      <c r="M22" s="39">
        <v>0</v>
      </c>
      <c r="N22" s="42" t="s">
        <v>14</v>
      </c>
      <c r="O22" s="10"/>
    </row>
    <row r="23" spans="1:18" x14ac:dyDescent="0.2">
      <c r="A23" s="6"/>
      <c r="B23" s="38" t="s">
        <v>19</v>
      </c>
      <c r="C23" s="39">
        <v>0</v>
      </c>
      <c r="D23" s="39">
        <v>0</v>
      </c>
      <c r="E23" s="39">
        <v>0</v>
      </c>
      <c r="F23" s="39"/>
      <c r="G23" s="39">
        <v>0</v>
      </c>
      <c r="H23" s="40">
        <v>0</v>
      </c>
      <c r="I23" s="39">
        <v>0</v>
      </c>
      <c r="J23" s="41" t="s">
        <v>14</v>
      </c>
      <c r="K23" s="39">
        <v>0</v>
      </c>
      <c r="L23" s="39">
        <v>0</v>
      </c>
      <c r="M23" s="39">
        <v>0</v>
      </c>
      <c r="N23" s="42" t="s">
        <v>14</v>
      </c>
      <c r="O23" s="27"/>
    </row>
    <row r="24" spans="1:18" x14ac:dyDescent="0.2">
      <c r="A24" s="6"/>
      <c r="B24" s="38" t="s">
        <v>20</v>
      </c>
      <c r="C24" s="39">
        <v>0</v>
      </c>
      <c r="D24" s="39">
        <v>0</v>
      </c>
      <c r="E24" s="39">
        <v>0</v>
      </c>
      <c r="F24" s="39"/>
      <c r="G24" s="39">
        <v>0</v>
      </c>
      <c r="H24" s="40">
        <v>0</v>
      </c>
      <c r="I24" s="39">
        <v>0</v>
      </c>
      <c r="J24" s="41" t="s">
        <v>14</v>
      </c>
      <c r="K24" s="39">
        <v>0</v>
      </c>
      <c r="L24" s="39">
        <v>0</v>
      </c>
      <c r="M24" s="39">
        <v>0</v>
      </c>
      <c r="N24" s="42" t="s">
        <v>14</v>
      </c>
      <c r="O24" s="10"/>
    </row>
    <row r="25" spans="1:18" ht="13.5" thickBot="1" x14ac:dyDescent="0.25">
      <c r="A25" s="6"/>
      <c r="B25" s="44" t="s">
        <v>21</v>
      </c>
      <c r="C25" s="45">
        <v>0</v>
      </c>
      <c r="D25" s="45">
        <v>0</v>
      </c>
      <c r="E25" s="39">
        <v>0</v>
      </c>
      <c r="F25" s="45"/>
      <c r="G25" s="45">
        <v>0</v>
      </c>
      <c r="H25" s="40">
        <v>0</v>
      </c>
      <c r="I25" s="45">
        <v>0</v>
      </c>
      <c r="J25" s="41" t="s">
        <v>14</v>
      </c>
      <c r="K25" s="45">
        <v>0</v>
      </c>
      <c r="L25" s="45">
        <v>0</v>
      </c>
      <c r="M25" s="39">
        <v>0</v>
      </c>
      <c r="N25" s="46" t="s">
        <v>14</v>
      </c>
      <c r="O25" s="35"/>
    </row>
    <row r="26" spans="1:18" ht="13.5" thickBot="1" x14ac:dyDescent="0.25">
      <c r="A26" s="6"/>
      <c r="B26" s="47" t="s">
        <v>8</v>
      </c>
      <c r="C26" s="48">
        <v>172</v>
      </c>
      <c r="D26" s="48">
        <v>132</v>
      </c>
      <c r="E26" s="48">
        <f>SUM(E16:E25)</f>
        <v>-40</v>
      </c>
      <c r="F26" s="48"/>
      <c r="G26" s="48">
        <v>4545.2</v>
      </c>
      <c r="H26" s="49">
        <v>4307.2</v>
      </c>
      <c r="I26" s="48">
        <v>238</v>
      </c>
      <c r="J26" s="50">
        <v>5.236293232421016E-2</v>
      </c>
      <c r="K26" s="48">
        <v>1724.4000000000003</v>
      </c>
      <c r="L26" s="48">
        <v>1962.4000000000003</v>
      </c>
      <c r="M26" s="48">
        <v>-2582.7999999999993</v>
      </c>
      <c r="N26" s="51">
        <v>0.43175217812197492</v>
      </c>
      <c r="O26" s="10"/>
    </row>
    <row r="27" spans="1:18" x14ac:dyDescent="0.2">
      <c r="A27" s="6"/>
      <c r="B27" s="52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10"/>
    </row>
    <row r="28" spans="1:18" x14ac:dyDescent="0.2">
      <c r="A28" s="6"/>
      <c r="B28" s="52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</row>
    <row r="29" spans="1:18" x14ac:dyDescent="0.2">
      <c r="A29" s="6"/>
      <c r="B29" s="53" t="s">
        <v>53</v>
      </c>
      <c r="C29" s="54"/>
      <c r="D29" s="54"/>
      <c r="E29" s="54"/>
      <c r="F29" s="54"/>
      <c r="G29" s="55"/>
      <c r="H29" s="56"/>
      <c r="I29" s="56"/>
      <c r="J29" s="57"/>
      <c r="K29" s="52"/>
      <c r="L29" s="52"/>
      <c r="M29" s="52"/>
      <c r="N29" s="52"/>
      <c r="O29" s="10"/>
    </row>
    <row r="30" spans="1:18" ht="13.5" thickBot="1" x14ac:dyDescent="0.25">
      <c r="A30" s="6"/>
      <c r="B30" s="52"/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10"/>
    </row>
    <row r="31" spans="1:18" x14ac:dyDescent="0.2">
      <c r="A31" s="6"/>
      <c r="B31" s="24"/>
      <c r="C31" s="25" t="s">
        <v>5</v>
      </c>
      <c r="D31" s="26" t="s">
        <v>6</v>
      </c>
      <c r="E31" s="26" t="s">
        <v>31</v>
      </c>
      <c r="F31" s="84" t="s">
        <v>7</v>
      </c>
      <c r="G31" s="84" t="s">
        <v>44</v>
      </c>
      <c r="H31" s="85" t="s">
        <v>63</v>
      </c>
      <c r="I31" s="84" t="s">
        <v>64</v>
      </c>
      <c r="J31" s="85" t="s">
        <v>65</v>
      </c>
      <c r="K31" s="84" t="s">
        <v>43</v>
      </c>
      <c r="L31" s="84" t="s">
        <v>66</v>
      </c>
      <c r="M31" s="84" t="s">
        <v>46</v>
      </c>
      <c r="N31" s="86" t="s">
        <v>47</v>
      </c>
      <c r="O31" s="10"/>
    </row>
    <row r="32" spans="1:18" ht="77.25" thickBot="1" x14ac:dyDescent="0.25">
      <c r="A32" s="6"/>
      <c r="B32" s="28" t="s">
        <v>36</v>
      </c>
      <c r="C32" s="83" t="s">
        <v>37</v>
      </c>
      <c r="D32" s="69" t="s">
        <v>38</v>
      </c>
      <c r="E32" s="69" t="s">
        <v>39</v>
      </c>
      <c r="F32" s="69" t="s">
        <v>30</v>
      </c>
      <c r="G32" s="69" t="s">
        <v>57</v>
      </c>
      <c r="H32" s="87" t="s">
        <v>41</v>
      </c>
      <c r="I32" s="69" t="s">
        <v>54</v>
      </c>
      <c r="J32" s="87" t="s">
        <v>58</v>
      </c>
      <c r="K32" s="69" t="s">
        <v>59</v>
      </c>
      <c r="L32" s="69" t="s">
        <v>55</v>
      </c>
      <c r="M32" s="69" t="s">
        <v>56</v>
      </c>
      <c r="N32" s="88" t="s">
        <v>48</v>
      </c>
      <c r="O32" s="10"/>
    </row>
    <row r="33" spans="1:15" x14ac:dyDescent="0.2">
      <c r="A33" s="6"/>
      <c r="B33" s="30" t="s">
        <v>11</v>
      </c>
      <c r="C33" s="31">
        <v>4472</v>
      </c>
      <c r="D33" s="31">
        <v>3432</v>
      </c>
      <c r="E33" s="31">
        <v>-1040</v>
      </c>
      <c r="F33" s="31"/>
      <c r="G33" s="31">
        <v>108056</v>
      </c>
      <c r="H33" s="32">
        <v>101868</v>
      </c>
      <c r="I33" s="31">
        <v>6188</v>
      </c>
      <c r="J33" s="33">
        <v>5.7266602502406158E-2</v>
      </c>
      <c r="K33" s="31">
        <v>44179.199999999997</v>
      </c>
      <c r="L33" s="31">
        <v>50367.199999999997</v>
      </c>
      <c r="M33" s="31">
        <v>-57688.800000000003</v>
      </c>
      <c r="N33" s="34">
        <v>-0.53387872954764193</v>
      </c>
      <c r="O33" s="10"/>
    </row>
    <row r="34" spans="1:15" x14ac:dyDescent="0.2">
      <c r="A34" s="6"/>
      <c r="B34" s="38" t="s">
        <v>12</v>
      </c>
      <c r="C34" s="39">
        <v>0</v>
      </c>
      <c r="D34" s="39">
        <v>0</v>
      </c>
      <c r="E34" s="39">
        <v>0</v>
      </c>
      <c r="F34" s="39"/>
      <c r="G34" s="39">
        <v>9464</v>
      </c>
      <c r="H34" s="40">
        <v>9464</v>
      </c>
      <c r="I34" s="39">
        <v>0</v>
      </c>
      <c r="J34" s="41">
        <v>0</v>
      </c>
      <c r="K34" s="39">
        <v>0</v>
      </c>
      <c r="L34" s="39">
        <v>0</v>
      </c>
      <c r="M34" s="39">
        <v>-9464</v>
      </c>
      <c r="N34" s="42">
        <v>-1</v>
      </c>
      <c r="O34" s="10"/>
    </row>
    <row r="35" spans="1:15" x14ac:dyDescent="0.2">
      <c r="A35" s="6"/>
      <c r="B35" s="38" t="s">
        <v>13</v>
      </c>
      <c r="C35" s="39">
        <v>0</v>
      </c>
      <c r="D35" s="39">
        <v>0</v>
      </c>
      <c r="E35" s="39">
        <v>0</v>
      </c>
      <c r="F35" s="39"/>
      <c r="G35" s="39">
        <v>0</v>
      </c>
      <c r="H35" s="40">
        <v>0</v>
      </c>
      <c r="I35" s="39">
        <v>0</v>
      </c>
      <c r="J35" s="41" t="s">
        <v>14</v>
      </c>
      <c r="K35" s="39">
        <v>0</v>
      </c>
      <c r="L35" s="39">
        <v>0</v>
      </c>
      <c r="M35" s="39">
        <v>0</v>
      </c>
      <c r="N35" s="42" t="s">
        <v>14</v>
      </c>
      <c r="O35" s="10"/>
    </row>
    <row r="36" spans="1:15" x14ac:dyDescent="0.2">
      <c r="A36" s="6"/>
      <c r="B36" s="38" t="s">
        <v>15</v>
      </c>
      <c r="C36" s="39">
        <v>0</v>
      </c>
      <c r="D36" s="39">
        <v>0</v>
      </c>
      <c r="E36" s="39">
        <v>0</v>
      </c>
      <c r="F36" s="39"/>
      <c r="G36" s="39">
        <v>0</v>
      </c>
      <c r="H36" s="40">
        <v>0</v>
      </c>
      <c r="I36" s="39">
        <v>0</v>
      </c>
      <c r="J36" s="41" t="s">
        <v>14</v>
      </c>
      <c r="K36" s="39">
        <v>0</v>
      </c>
      <c r="L36" s="39">
        <v>0</v>
      </c>
      <c r="M36" s="39">
        <v>0</v>
      </c>
      <c r="N36" s="42" t="s">
        <v>14</v>
      </c>
      <c r="O36" s="10"/>
    </row>
    <row r="37" spans="1:15" x14ac:dyDescent="0.2">
      <c r="A37" s="6"/>
      <c r="B37" s="38" t="s">
        <v>16</v>
      </c>
      <c r="C37" s="39">
        <v>0</v>
      </c>
      <c r="D37" s="39">
        <v>0</v>
      </c>
      <c r="E37" s="39">
        <v>0</v>
      </c>
      <c r="F37" s="39"/>
      <c r="G37" s="39">
        <v>655.19999999999993</v>
      </c>
      <c r="H37" s="40">
        <v>655.19999999999993</v>
      </c>
      <c r="I37" s="39">
        <v>0</v>
      </c>
      <c r="J37" s="41">
        <v>0</v>
      </c>
      <c r="K37" s="39">
        <v>655.19999999999993</v>
      </c>
      <c r="L37" s="39">
        <v>655.19999999999993</v>
      </c>
      <c r="M37" s="39">
        <v>0</v>
      </c>
      <c r="N37" s="42">
        <v>0</v>
      </c>
      <c r="O37" s="10"/>
    </row>
    <row r="38" spans="1:15" x14ac:dyDescent="0.2">
      <c r="A38" s="6"/>
      <c r="B38" s="38" t="s">
        <v>17</v>
      </c>
      <c r="C38" s="39">
        <v>0</v>
      </c>
      <c r="D38" s="39">
        <v>0</v>
      </c>
      <c r="E38" s="39">
        <v>0</v>
      </c>
      <c r="F38" s="39"/>
      <c r="G38" s="39">
        <v>0</v>
      </c>
      <c r="H38" s="40">
        <v>0</v>
      </c>
      <c r="I38" s="39">
        <v>0</v>
      </c>
      <c r="J38" s="41" t="s">
        <v>14</v>
      </c>
      <c r="K38" s="39">
        <v>0</v>
      </c>
      <c r="L38" s="39">
        <v>0</v>
      </c>
      <c r="M38" s="39">
        <v>0</v>
      </c>
      <c r="N38" s="42" t="s">
        <v>14</v>
      </c>
      <c r="O38" s="10"/>
    </row>
    <row r="39" spans="1:15" x14ac:dyDescent="0.2">
      <c r="A39" s="6"/>
      <c r="B39" s="38" t="s">
        <v>18</v>
      </c>
      <c r="C39" s="39">
        <v>0</v>
      </c>
      <c r="D39" s="39">
        <v>0</v>
      </c>
      <c r="E39" s="39">
        <v>0</v>
      </c>
      <c r="F39" s="39"/>
      <c r="G39" s="39">
        <v>0</v>
      </c>
      <c r="H39" s="40">
        <v>0</v>
      </c>
      <c r="I39" s="39">
        <v>0</v>
      </c>
      <c r="J39" s="41" t="s">
        <v>14</v>
      </c>
      <c r="K39" s="39">
        <v>0</v>
      </c>
      <c r="L39" s="39">
        <v>0</v>
      </c>
      <c r="M39" s="39">
        <v>0</v>
      </c>
      <c r="N39" s="42" t="s">
        <v>14</v>
      </c>
      <c r="O39" s="10"/>
    </row>
    <row r="40" spans="1:15" x14ac:dyDescent="0.2">
      <c r="A40" s="6"/>
      <c r="B40" s="38" t="s">
        <v>19</v>
      </c>
      <c r="C40" s="39">
        <v>0</v>
      </c>
      <c r="D40" s="39">
        <v>0</v>
      </c>
      <c r="E40" s="39">
        <v>0</v>
      </c>
      <c r="F40" s="39"/>
      <c r="G40" s="39">
        <v>0</v>
      </c>
      <c r="H40" s="40">
        <v>0</v>
      </c>
      <c r="I40" s="39">
        <v>0</v>
      </c>
      <c r="J40" s="41" t="s">
        <v>14</v>
      </c>
      <c r="K40" s="39">
        <v>0</v>
      </c>
      <c r="L40" s="39">
        <v>0</v>
      </c>
      <c r="M40" s="39">
        <v>0</v>
      </c>
      <c r="N40" s="42" t="s">
        <v>14</v>
      </c>
      <c r="O40" s="10"/>
    </row>
    <row r="41" spans="1:15" x14ac:dyDescent="0.2">
      <c r="A41" s="6"/>
      <c r="B41" s="38" t="s">
        <v>20</v>
      </c>
      <c r="C41" s="39">
        <v>0</v>
      </c>
      <c r="D41" s="39">
        <v>0</v>
      </c>
      <c r="E41" s="39">
        <v>0</v>
      </c>
      <c r="F41" s="39"/>
      <c r="G41" s="39">
        <v>0</v>
      </c>
      <c r="H41" s="40">
        <v>0</v>
      </c>
      <c r="I41" s="39">
        <v>0</v>
      </c>
      <c r="J41" s="41" t="s">
        <v>14</v>
      </c>
      <c r="K41" s="39">
        <v>0</v>
      </c>
      <c r="L41" s="39">
        <v>0</v>
      </c>
      <c r="M41" s="39">
        <v>0</v>
      </c>
      <c r="N41" s="42" t="s">
        <v>14</v>
      </c>
      <c r="O41" s="10"/>
    </row>
    <row r="42" spans="1:15" ht="13.5" thickBot="1" x14ac:dyDescent="0.25">
      <c r="A42" s="6"/>
      <c r="B42" s="44" t="s">
        <v>21</v>
      </c>
      <c r="C42" s="45">
        <v>0</v>
      </c>
      <c r="D42" s="45">
        <v>0</v>
      </c>
      <c r="E42" s="39">
        <v>0</v>
      </c>
      <c r="F42" s="45"/>
      <c r="G42" s="45">
        <v>0</v>
      </c>
      <c r="H42" s="40">
        <v>0</v>
      </c>
      <c r="I42" s="45">
        <v>0</v>
      </c>
      <c r="J42" s="41" t="s">
        <v>14</v>
      </c>
      <c r="K42" s="45">
        <v>0</v>
      </c>
      <c r="L42" s="45">
        <v>0</v>
      </c>
      <c r="M42" s="39">
        <v>0</v>
      </c>
      <c r="N42" s="46" t="s">
        <v>14</v>
      </c>
      <c r="O42" s="10"/>
    </row>
    <row r="43" spans="1:15" ht="13.5" thickBot="1" x14ac:dyDescent="0.25">
      <c r="A43" s="6"/>
      <c r="B43" s="47" t="s">
        <v>8</v>
      </c>
      <c r="C43" s="48">
        <v>4472</v>
      </c>
      <c r="D43" s="48">
        <v>3432</v>
      </c>
      <c r="E43" s="48">
        <v>-1040</v>
      </c>
      <c r="F43" s="48"/>
      <c r="G43" s="48">
        <v>118175.2</v>
      </c>
      <c r="H43" s="49">
        <v>111987.2</v>
      </c>
      <c r="I43" s="48">
        <v>6188</v>
      </c>
      <c r="J43" s="50">
        <v>5.236293232421016E-2</v>
      </c>
      <c r="K43" s="48">
        <v>44834.399999999994</v>
      </c>
      <c r="L43" s="48">
        <v>51022.399999999994</v>
      </c>
      <c r="M43" s="48">
        <v>-67152.800000000003</v>
      </c>
      <c r="N43" s="51">
        <v>0.43175217812197481</v>
      </c>
      <c r="O43" s="10"/>
    </row>
    <row r="44" spans="1:15" x14ac:dyDescent="0.2">
      <c r="A44" s="6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10"/>
    </row>
    <row r="45" spans="1:15" x14ac:dyDescent="0.2">
      <c r="A45" s="6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10"/>
    </row>
    <row r="46" spans="1:15" x14ac:dyDescent="0.2">
      <c r="A46" s="6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10"/>
    </row>
    <row r="47" spans="1:15" ht="13.5" thickBot="1" x14ac:dyDescent="0.25">
      <c r="A47" s="6"/>
      <c r="B47" s="9"/>
      <c r="C47" s="9" t="s">
        <v>9</v>
      </c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10"/>
    </row>
    <row r="48" spans="1:15" x14ac:dyDescent="0.2">
      <c r="A48" s="6"/>
      <c r="B48" s="9"/>
      <c r="C48" s="90"/>
      <c r="D48" s="91"/>
      <c r="E48" s="91"/>
      <c r="F48" s="91"/>
      <c r="G48" s="91"/>
      <c r="H48" s="91"/>
      <c r="I48" s="92"/>
      <c r="J48" s="9"/>
      <c r="K48" s="9"/>
      <c r="L48" s="9"/>
      <c r="M48" s="9"/>
      <c r="N48" s="9"/>
      <c r="O48" s="10"/>
    </row>
    <row r="49" spans="1:15" x14ac:dyDescent="0.2">
      <c r="A49" s="6"/>
      <c r="B49" s="9"/>
      <c r="C49" s="93"/>
      <c r="D49" s="94"/>
      <c r="E49" s="94"/>
      <c r="F49" s="94"/>
      <c r="G49" s="94"/>
      <c r="H49" s="94"/>
      <c r="I49" s="95"/>
      <c r="J49" s="9"/>
      <c r="K49" s="9"/>
      <c r="L49" s="9"/>
      <c r="M49" s="9"/>
      <c r="N49" s="9"/>
      <c r="O49" s="10"/>
    </row>
    <row r="50" spans="1:15" ht="13.5" thickBot="1" x14ac:dyDescent="0.25">
      <c r="A50" s="6"/>
      <c r="B50" s="9"/>
      <c r="C50" s="96"/>
      <c r="D50" s="97"/>
      <c r="E50" s="97"/>
      <c r="F50" s="97"/>
      <c r="G50" s="97"/>
      <c r="H50" s="97"/>
      <c r="I50" s="98"/>
      <c r="J50" s="9"/>
      <c r="K50" s="9"/>
      <c r="L50" s="9"/>
      <c r="M50" s="9"/>
      <c r="N50" s="9"/>
      <c r="O50" s="10"/>
    </row>
    <row r="51" spans="1:15" x14ac:dyDescent="0.2">
      <c r="A51" s="6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10"/>
    </row>
    <row r="52" spans="1:15" x14ac:dyDescent="0.2">
      <c r="A52" s="6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10"/>
    </row>
    <row r="53" spans="1:15" x14ac:dyDescent="0.2">
      <c r="A53" s="6"/>
      <c r="B53" s="58" t="s">
        <v>10</v>
      </c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10"/>
    </row>
    <row r="54" spans="1:15" x14ac:dyDescent="0.2">
      <c r="A54" s="6"/>
      <c r="B54" s="58" t="s">
        <v>61</v>
      </c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10"/>
    </row>
    <row r="55" spans="1:15" x14ac:dyDescent="0.2">
      <c r="A55" s="6"/>
      <c r="B55" s="58" t="s">
        <v>62</v>
      </c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10"/>
    </row>
    <row r="56" spans="1:15" x14ac:dyDescent="0.2">
      <c r="A56" s="6"/>
      <c r="B56" s="59"/>
      <c r="C56" s="60"/>
      <c r="D56" s="61"/>
      <c r="E56" s="61"/>
      <c r="F56" s="61"/>
      <c r="G56" s="9"/>
      <c r="H56" s="9"/>
      <c r="I56" s="9"/>
      <c r="J56" s="9"/>
      <c r="K56" s="9"/>
      <c r="L56" s="9"/>
      <c r="M56" s="9"/>
      <c r="N56" s="9"/>
      <c r="O56" s="10"/>
    </row>
    <row r="57" spans="1:15" x14ac:dyDescent="0.2">
      <c r="A57" s="6"/>
      <c r="B57" s="59"/>
      <c r="C57" s="60"/>
      <c r="D57" s="61"/>
      <c r="E57" s="61"/>
      <c r="F57" s="61"/>
      <c r="G57" s="9"/>
      <c r="H57" s="9"/>
      <c r="I57" s="9"/>
      <c r="J57" s="9"/>
      <c r="K57" s="9"/>
      <c r="L57" s="9"/>
      <c r="M57" s="9"/>
      <c r="N57" s="9"/>
      <c r="O57" s="10"/>
    </row>
    <row r="58" spans="1:15" ht="13.5" thickBot="1" x14ac:dyDescent="0.25">
      <c r="A58" s="62"/>
      <c r="B58" s="63"/>
      <c r="C58" s="64"/>
      <c r="D58" s="65"/>
      <c r="E58" s="65"/>
      <c r="F58" s="65"/>
      <c r="G58" s="66"/>
      <c r="H58" s="66"/>
      <c r="I58" s="66"/>
      <c r="J58" s="66"/>
      <c r="K58" s="66"/>
      <c r="L58" s="66"/>
      <c r="M58" s="66"/>
      <c r="N58" s="66"/>
      <c r="O58" s="67"/>
    </row>
    <row r="59" spans="1:15" hidden="1" x14ac:dyDescent="0.2"/>
    <row r="60" spans="1:15" hidden="1" x14ac:dyDescent="0.2"/>
    <row r="61" spans="1:15" hidden="1" x14ac:dyDescent="0.2"/>
    <row r="62" spans="1:15" hidden="1" x14ac:dyDescent="0.2"/>
    <row r="63" spans="1:15" hidden="1" x14ac:dyDescent="0.2"/>
    <row r="64" spans="1:15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</sheetData>
  <mergeCells count="2">
    <mergeCell ref="B2:C2"/>
    <mergeCell ref="C48:I50"/>
  </mergeCells>
  <conditionalFormatting sqref="T12">
    <cfRule type="iconSet" priority="28">
      <iconSet iconSet="3Symbols" showValue="0" reverse="1">
        <cfvo type="percent" val="0"/>
        <cfvo type="num" val="1"/>
        <cfvo type="num" val="1.05"/>
      </iconSet>
    </cfRule>
  </conditionalFormatting>
  <conditionalFormatting sqref="T15">
    <cfRule type="iconSet" priority="27">
      <iconSet iconSet="3Symbols" showValue="0" reverse="1">
        <cfvo type="percent" val="0"/>
        <cfvo type="num" val="1"/>
        <cfvo type="num" val="1.05"/>
      </iconSet>
    </cfRule>
  </conditionalFormatting>
  <conditionalFormatting sqref="T17">
    <cfRule type="iconSet" priority="26">
      <iconSet iconSet="3Symbols" showValue="0" reverse="1">
        <cfvo type="percent" val="0"/>
        <cfvo type="num" val="1"/>
        <cfvo type="num" val="1.05"/>
      </iconSet>
    </cfRule>
  </conditionalFormatting>
  <conditionalFormatting sqref="T16 T18">
    <cfRule type="iconSet" priority="29">
      <iconSet iconSet="3Symbols" showValue="0" reverse="1">
        <cfvo type="percent" val="0"/>
        <cfvo type="num" val="1"/>
        <cfvo type="num" val="1.05"/>
      </iconSet>
    </cfRule>
  </conditionalFormatting>
  <conditionalFormatting sqref="P16">
    <cfRule type="iconSet" priority="25">
      <iconSet iconSet="3Symbols" showValue="0" reverse="1">
        <cfvo type="percent" val="0"/>
        <cfvo type="num" val="1"/>
        <cfvo type="num" val="1.05"/>
      </iconSet>
    </cfRule>
  </conditionalFormatting>
  <conditionalFormatting sqref="P17">
    <cfRule type="iconSet" priority="24">
      <iconSet iconSet="3Symbols" showValue="0" reverse="1">
        <cfvo type="percent" val="0"/>
        <cfvo type="num" val="1"/>
        <cfvo type="num" val="1.05"/>
      </iconSet>
    </cfRule>
  </conditionalFormatting>
  <conditionalFormatting sqref="P18">
    <cfRule type="iconSet" priority="23">
      <iconSet iconSet="3Symbols" showValue="0" reverse="1">
        <cfvo type="percent" val="0"/>
        <cfvo type="num" val="1"/>
        <cfvo type="num" val="1.05"/>
      </iconSet>
    </cfRule>
  </conditionalFormatting>
  <conditionalFormatting sqref="P19">
    <cfRule type="iconSet" priority="22">
      <iconSet iconSet="3Symbols" showValue="0" reverse="1">
        <cfvo type="percent" val="0"/>
        <cfvo type="num" val="1"/>
        <cfvo type="num" val="1.05"/>
      </iconSet>
    </cfRule>
  </conditionalFormatting>
  <conditionalFormatting sqref="P20">
    <cfRule type="iconSet" priority="21">
      <iconSet iconSet="3Symbols" showValue="0" reverse="1">
        <cfvo type="percent" val="0"/>
        <cfvo type="num" val="1"/>
        <cfvo type="num" val="1.05"/>
      </iconSet>
    </cfRule>
  </conditionalFormatting>
  <conditionalFormatting sqref="P21">
    <cfRule type="iconSet" priority="20">
      <iconSet iconSet="3Symbols" showValue="0" reverse="1">
        <cfvo type="percent" val="0"/>
        <cfvo type="num" val="1"/>
        <cfvo type="num" val="1.05"/>
      </iconSet>
    </cfRule>
  </conditionalFormatting>
  <conditionalFormatting sqref="O15">
    <cfRule type="iconSet" priority="17">
      <iconSet iconSet="3Symbols" showValue="0" reverse="1">
        <cfvo type="percent" val="0"/>
        <cfvo type="num" val="1"/>
        <cfvo type="num" val="1.05"/>
      </iconSet>
    </cfRule>
  </conditionalFormatting>
  <conditionalFormatting sqref="O17">
    <cfRule type="iconSet" priority="16">
      <iconSet iconSet="3Symbols" showValue="0" reverse="1">
        <cfvo type="percent" val="0"/>
        <cfvo type="num" val="1"/>
        <cfvo type="num" val="1.05"/>
      </iconSet>
    </cfRule>
  </conditionalFormatting>
  <conditionalFormatting sqref="O16 O18">
    <cfRule type="iconSet" priority="18">
      <iconSet iconSet="3Symbols" showValue="0" reverse="1">
        <cfvo type="percent" val="0"/>
        <cfvo type="num" val="1"/>
        <cfvo type="num" val="1.05"/>
      </iconSet>
    </cfRule>
  </conditionalFormatting>
  <conditionalFormatting sqref="O21">
    <cfRule type="iconSet" priority="15">
      <iconSet iconSet="3Symbols" showValue="0" reverse="1">
        <cfvo type="percent" val="0"/>
        <cfvo type="num" val="1"/>
        <cfvo type="num" val="1.05"/>
      </iconSet>
    </cfRule>
  </conditionalFormatting>
  <conditionalFormatting sqref="O24">
    <cfRule type="iconSet" priority="14">
      <iconSet iconSet="3Symbols" showValue="0" reverse="1">
        <cfvo type="percent" val="0"/>
        <cfvo type="num" val="1"/>
        <cfvo type="num" val="1.05"/>
      </iconSet>
    </cfRule>
  </conditionalFormatting>
  <conditionalFormatting sqref="B56">
    <cfRule type="iconSet" priority="13">
      <iconSet iconSet="3Symbols" showValue="0" reverse="1">
        <cfvo type="percent" val="0"/>
        <cfvo type="num" val="1"/>
        <cfvo type="num" val="1.05"/>
      </iconSet>
    </cfRule>
  </conditionalFormatting>
  <conditionalFormatting sqref="B57">
    <cfRule type="iconSet" priority="12">
      <iconSet iconSet="3Symbols" showValue="0" reverse="1">
        <cfvo type="percent" val="0"/>
        <cfvo type="num" val="1"/>
        <cfvo type="num" val="1.05"/>
      </iconSet>
    </cfRule>
  </conditionalFormatting>
  <conditionalFormatting sqref="B58">
    <cfRule type="iconSet" priority="11">
      <iconSet iconSet="3Symbols" showValue="0" reverse="1">
        <cfvo type="percent" val="0"/>
        <cfvo type="num" val="1"/>
        <cfvo type="num" val="1.05"/>
      </iconSet>
    </cfRule>
  </conditionalFormatting>
  <conditionalFormatting sqref="O25">
    <cfRule type="iconSet" priority="19">
      <iconSet iconSet="3Symbols" showValue="0" reverse="1">
        <cfvo type="percent" val="0"/>
        <cfvo type="num" val="1"/>
        <cfvo type="num" val="1.05"/>
      </iconSet>
    </cfRule>
  </conditionalFormatting>
  <conditionalFormatting sqref="M16:M26">
    <cfRule type="cellIs" dxfId="9" priority="9" operator="lessThan">
      <formula>0</formula>
    </cfRule>
    <cfRule type="cellIs" dxfId="8" priority="10" operator="greaterThan">
      <formula>0</formula>
    </cfRule>
  </conditionalFormatting>
  <conditionalFormatting sqref="E17:F26 E16">
    <cfRule type="cellIs" dxfId="7" priority="7" operator="lessThan">
      <formula>0</formula>
    </cfRule>
    <cfRule type="cellIs" dxfId="6" priority="8" operator="greaterThan">
      <formula>0</formula>
    </cfRule>
  </conditionalFormatting>
  <conditionalFormatting sqref="E33:F42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E43:F43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M33:M43">
    <cfRule type="cellIs" dxfId="1" priority="1" operator="lessThan">
      <formula>0</formula>
    </cfRule>
    <cfRule type="cellIs" dxfId="0" priority="2" operator="greaterThan">
      <formula>0</formula>
    </cfRule>
  </conditionalFormatting>
  <hyperlinks>
    <hyperlink ref="C9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Przycisk1_Kliknięcie">
                <anchor moveWithCells="1" sizeWithCells="1">
                  <from>
                    <xdr:col>8</xdr:col>
                    <xdr:colOff>1143000</xdr:colOff>
                    <xdr:row>46</xdr:row>
                    <xdr:rowOff>114300</xdr:rowOff>
                  </from>
                  <to>
                    <xdr:col>10</xdr:col>
                    <xdr:colOff>695325</xdr:colOff>
                    <xdr:row>50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M &amp; P - Mechanical</vt:lpstr>
    </vt:vector>
  </TitlesOfParts>
  <Company>ILF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Mical, Piotr</dc:creator>
  <cp:lastModifiedBy>Mical, Piotr</cp:lastModifiedBy>
  <dcterms:created xsi:type="dcterms:W3CDTF">2017-02-10T14:49:17Z</dcterms:created>
  <dcterms:modified xsi:type="dcterms:W3CDTF">2017-03-28T14:23:37Z</dcterms:modified>
</cp:coreProperties>
</file>